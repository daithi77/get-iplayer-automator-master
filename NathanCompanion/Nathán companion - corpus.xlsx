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Lists" sheetId="2" state="visible" r:id="rId4"/>
    <sheet name="Vocabulary" sheetId="3" state="visible" r:id="rId5"/>
    <sheet name="Speaking questions" sheetId="4" state="visible" r:id="rId6"/>
    <sheet name="Grammar" sheetId="5" state="visible" r:id="rId7"/>
    <sheet name="Rubrics" sheetId="6" state="visible" r:id="rId8"/>
    <sheet name="KS3 vocabulary" sheetId="7" state="visible" r:id="rId9"/>
    <sheet name="KS3 phonics" sheetId="8" state="visible" r:id="rId10"/>
    <sheet name="KS3 grammar" sheetId="9" state="visible" r:id="rId11"/>
  </sheets>
  <definedNames>
    <definedName function="false" hidden="true" localSheetId="4" name="_xlnm._FilterDatabase" vbProcedure="false">Grammar!$A$1:$J$300</definedName>
    <definedName function="false" hidden="true" localSheetId="8" name="_xlnm._FilterDatabase" vbProcedure="false">'KS3 grammar'!$A$1:$E$200</definedName>
    <definedName function="false" hidden="true" localSheetId="7" name="_xlnm._FilterDatabase" vbProcedure="false">'KS3 phonics'!$A$1:$L$300</definedName>
    <definedName function="false" hidden="true" localSheetId="6" name="_xlnm._FilterDatabase" vbProcedure="false">'KS3 vocabulary'!$A$1:$I$1500</definedName>
    <definedName function="false" hidden="true" localSheetId="5" name="_xlnm._FilterDatabase" vbProcedure="false">Rubrics!$A$1:$G$200</definedName>
    <definedName function="false" hidden="true" localSheetId="3" name="_xlnm._FilterDatabase" vbProcedure="false">'Speaking questions'!$A$1:$L$800</definedName>
    <definedName function="false" hidden="true" localSheetId="2" name="_xlnm._FilterDatabase" vbProcedure="false">Vocabulary!$A$1:$S$4000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<sst xmlns="http://schemas.openxmlformats.org/spreadsheetml/2006/main" count="29890" uniqueCount="10611">
  <si>
    <t xml:space="preserve">Nathán companion: corpus workbook</t>
  </si>
  <si>
    <t xml:space="preserve">Purpose</t>
  </si>
  <si>
    <t xml:space="preserve">One place to clean, correct and extend the language data the companion app will ship. Every sheet exports to the app as it stands, so what is here is what pupils will see.</t>
  </si>
  <si>
    <t xml:space="preserve">Yellow cells</t>
  </si>
  <si>
    <t xml:space="preserve">Editable. Change anything in a yellow cell. White cells (ID, Source page) are for reference and should be left alone.</t>
  </si>
  <si>
    <t xml:space="preserve">Status</t>
  </si>
  <si>
    <t xml:space="preserve">Every row starts as Raw. Set it to Checked when you have confirmed the row, Edited if you changed it, Added for a row you created, Remove for a row the app should drop. Only Checked, Edited and Added rows are exported.</t>
  </si>
  <si>
    <t xml:space="preserve">Adding rows</t>
  </si>
  <si>
    <t xml:space="preserve">Type into the next empty row. Give it the next ID in sequence, set Status to Added and Origin to Added. The dropdowns already cover the spare rows.</t>
  </si>
  <si>
    <t xml:space="preserve">Gender</t>
  </si>
  <si>
    <t xml:space="preserve">The source marked masculine nouns only. A blank Gender on a noun almost always means feminine, but confirm each one rather than assuming.</t>
  </si>
  <si>
    <t xml:space="preserve">Verbs</t>
  </si>
  <si>
    <t xml:space="preserve">Root, verbal noun and governing preposition were split automatically from entries written as "buail (ag bualadh) le". Check the split; compound verbs like "cuir iarratas isteach ar" will need a hand.</t>
  </si>
  <si>
    <t xml:space="preserve">Type</t>
  </si>
  <si>
    <t xml:space="preserve">Inferred where the source made it obvious (verbs, nouns with a gender mark, numbers, questions). Blank Type means undecided: fill it in.</t>
  </si>
  <si>
    <t xml:space="preserve">Context and Topic</t>
  </si>
  <si>
    <t xml:space="preserve">The three Contexts for Learning, plus General for vocabulary that belongs to no single topic (days, numbers, prepositions, connectives). Rename topics freely; the app uses whatever is here.</t>
  </si>
  <si>
    <t xml:space="preserve">Speaking questions</t>
  </si>
  <si>
    <t xml:space="preserve">The conversation question bank by topic. The English and the two model-answer columns are empty and are for authoring.</t>
  </si>
  <si>
    <t xml:space="preserve">Grammar</t>
  </si>
  <si>
    <t xml:space="preserve">The checklist of structures examined, with examples. Receptive only means the pupil need only recognise it.</t>
  </si>
  <si>
    <t xml:space="preserve">Rubrics</t>
  </si>
  <si>
    <t xml:space="preserve">Exam instruction wording, Irish and English, for the decoder cards.</t>
  </si>
  <si>
    <t xml:space="preserve">Irish as printed</t>
  </si>
  <si>
    <t xml:space="preserve">The original string before any splitting, kept so a bad automatic split can be recovered. Never exported.</t>
  </si>
  <si>
    <t xml:space="preserve">KS3 rank</t>
  </si>
  <si>
    <t xml:space="preserve">The word's frequency rank in the Key Stage 3 Irish appendix, where the headword matches. Blank means the word is not on the KS3 list, or is written differently there.</t>
  </si>
  <si>
    <t xml:space="preserve">KS3 vocabulary</t>
  </si>
  <si>
    <t xml:space="preserve">The Key Stage 3 appendix list as issued for consultation, in its frequency order: about 800 headwords with part of speech, gender and frequency rank. The primary spine for Years 8 to 10.</t>
  </si>
  <si>
    <t xml:space="preserve">KS3 phonics</t>
  </si>
  <si>
    <t xml:space="preserve">The sound-symbol correspondences from the same appendix, each with a source word and cluster words.</t>
  </si>
  <si>
    <t xml:space="preserve">KS3 grammar</t>
  </si>
  <si>
    <t xml:space="preserve">The Irish grammar features from the appendix. Only the two Irish columns were taken; the draft sheet's first four columns carry Spanish content by mistake and were left out.</t>
  </si>
  <si>
    <t xml:space="preserve">Example of an added row (Vocabulary)</t>
  </si>
  <si>
    <t xml:space="preserve">ID V2248 | Irish: scáthán | Gender: m | Number: sg | Type: noun | English: mirror | Context: 2 Local, National, International and Global | Topic: My local environment | Sub-topic: In my house | Status: Added | Origin: Added</t>
  </si>
  <si>
    <t xml:space="preserve">Counts</t>
  </si>
  <si>
    <t xml:space="preserve">Vocabulary rows</t>
  </si>
  <si>
    <t xml:space="preserve">  Raw</t>
  </si>
  <si>
    <t xml:space="preserve">  Checked</t>
  </si>
  <si>
    <t xml:space="preserve">  Edited</t>
  </si>
  <si>
    <t xml:space="preserve">  Added</t>
  </si>
  <si>
    <t xml:space="preserve">  Remove</t>
  </si>
  <si>
    <t xml:space="preserve">  Verbs</t>
  </si>
  <si>
    <t xml:space="preserve">  Nouns marked masculine</t>
  </si>
  <si>
    <t xml:space="preserve">  Nouns marked feminine</t>
  </si>
  <si>
    <t xml:space="preserve">  English missing</t>
  </si>
  <si>
    <t xml:space="preserve">  with a Foundation model answer</t>
  </si>
  <si>
    <t xml:space="preserve">Grammar points</t>
  </si>
  <si>
    <t xml:space="preserve">KS3 headwords</t>
  </si>
  <si>
    <t xml:space="preserve">  GCSE words with a KS3 rank</t>
  </si>
  <si>
    <t xml:space="preserve">KS3 sound-symbol correspondences</t>
  </si>
  <si>
    <t xml:space="preserve">KS3 grammar terms</t>
  </si>
  <si>
    <t xml:space="preserve">Sources: the specification appendices supplied as a PDF (71 pages; Source page numbers refer to it), and the Key Stage 3 Irish appendix spreadsheet issued for consultation. Both extracted automatically on 26 September 2026.</t>
  </si>
  <si>
    <t xml:space="preserve">Number</t>
  </si>
  <si>
    <t xml:space="preserve">Tier</t>
  </si>
  <si>
    <t xml:space="preserve">Origin</t>
  </si>
  <si>
    <t xml:space="preserve">Context</t>
  </si>
  <si>
    <t xml:space="preserve">GrammarTier</t>
  </si>
  <si>
    <t xml:space="preserve">m</t>
  </si>
  <si>
    <t xml:space="preserve">sg</t>
  </si>
  <si>
    <t xml:space="preserve">noun</t>
  </si>
  <si>
    <t xml:space="preserve">F</t>
  </si>
  <si>
    <t xml:space="preserve">Raw</t>
  </si>
  <si>
    <t xml:space="preserve">Source list</t>
  </si>
  <si>
    <t xml:space="preserve">1 Identity, Lifestyle and Culture</t>
  </si>
  <si>
    <t xml:space="preserve">Foundation</t>
  </si>
  <si>
    <t xml:space="preserve">f</t>
  </si>
  <si>
    <t xml:space="preserve">pl</t>
  </si>
  <si>
    <t xml:space="preserve">verb</t>
  </si>
  <si>
    <t xml:space="preserve">H</t>
  </si>
  <si>
    <t xml:space="preserve">Checked</t>
  </si>
  <si>
    <t xml:space="preserve">Added</t>
  </si>
  <si>
    <t xml:space="preserve">2 Local, National, International and Global</t>
  </si>
  <si>
    <t xml:space="preserve">Higher</t>
  </si>
  <si>
    <t xml:space="preserve">adjective</t>
  </si>
  <si>
    <t xml:space="preserve">Edited</t>
  </si>
  <si>
    <t xml:space="preserve">3 School Life, Studies and the World of Work</t>
  </si>
  <si>
    <t xml:space="preserve">adverb</t>
  </si>
  <si>
    <t xml:space="preserve">General (all contexts)</t>
  </si>
  <si>
    <t xml:space="preserve">phrase</t>
  </si>
  <si>
    <t xml:space="preserve">Remove</t>
  </si>
  <si>
    <t xml:space="preserve">construction</t>
  </si>
  <si>
    <t xml:space="preserve">question</t>
  </si>
  <si>
    <t xml:space="preserve">number</t>
  </si>
  <si>
    <t xml:space="preserve">preposition</t>
  </si>
  <si>
    <t xml:space="preserve">pronoun</t>
  </si>
  <si>
    <t xml:space="preserve">connective</t>
  </si>
  <si>
    <t xml:space="preserve">other</t>
  </si>
  <si>
    <t xml:space="preserve">ID</t>
  </si>
  <si>
    <t xml:space="preserve">Irish</t>
  </si>
  <si>
    <t xml:space="preserve">Verb root</t>
  </si>
  <si>
    <t xml:space="preserve">Verbal noun</t>
  </si>
  <si>
    <t xml:space="preserve">Preposition</t>
  </si>
  <si>
    <t xml:space="preserve">English</t>
  </si>
  <si>
    <t xml:space="preserve">Topic</t>
  </si>
  <si>
    <t xml:space="preserve">Sub-topic</t>
  </si>
  <si>
    <t xml:space="preserve">Source page</t>
  </si>
  <si>
    <t xml:space="preserve">Notes</t>
  </si>
  <si>
    <t xml:space="preserve">V0001</t>
  </si>
  <si>
    <t xml:space="preserve">abairt</t>
  </si>
  <si>
    <t xml:space="preserve">sentence, phrase</t>
  </si>
  <si>
    <t xml:space="preserve">Myself, my family, relationships and choices</t>
  </si>
  <si>
    <t xml:space="preserve">Myself and my family</t>
  </si>
  <si>
    <t xml:space="preserve">V0002</t>
  </si>
  <si>
    <t xml:space="preserve">ach</t>
  </si>
  <si>
    <t xml:space="preserve">but</t>
  </si>
  <si>
    <t xml:space="preserve">V0003</t>
  </si>
  <si>
    <t xml:space="preserve">ádh</t>
  </si>
  <si>
    <t xml:space="preserve">luck</t>
  </si>
  <si>
    <t xml:space="preserve">ádh [m]</t>
  </si>
  <si>
    <t xml:space="preserve">V0004</t>
  </si>
  <si>
    <t xml:space="preserve">áfach</t>
  </si>
  <si>
    <t xml:space="preserve">however</t>
  </si>
  <si>
    <t xml:space="preserve">V0005</t>
  </si>
  <si>
    <t xml:space="preserve">ag</t>
  </si>
  <si>
    <t xml:space="preserve">at</t>
  </si>
  <si>
    <t xml:space="preserve">V0006</t>
  </si>
  <si>
    <t xml:space="preserve">agus</t>
  </si>
  <si>
    <t xml:space="preserve">and</t>
  </si>
  <si>
    <t xml:space="preserve">V0007</t>
  </si>
  <si>
    <t xml:space="preserve">Aibreán, mí Aibreáin</t>
  </si>
  <si>
    <t xml:space="preserve">April</t>
  </si>
  <si>
    <t xml:space="preserve">Aibreán [m], mí Aibreáin</t>
  </si>
  <si>
    <t xml:space="preserve">V0008</t>
  </si>
  <si>
    <t xml:space="preserve">aiféala</t>
  </si>
  <si>
    <t xml:space="preserve">regret</t>
  </si>
  <si>
    <t xml:space="preserve">aiféala [m]</t>
  </si>
  <si>
    <t xml:space="preserve">V0009</t>
  </si>
  <si>
    <t xml:space="preserve">ainm</t>
  </si>
  <si>
    <t xml:space="preserve">name</t>
  </si>
  <si>
    <t xml:space="preserve">ainm [m]</t>
  </si>
  <si>
    <t xml:space="preserve">V0010</t>
  </si>
  <si>
    <t xml:space="preserve">aintín</t>
  </si>
  <si>
    <t xml:space="preserve">aunt</t>
  </si>
  <si>
    <t xml:space="preserve">V0011</t>
  </si>
  <si>
    <t xml:space="preserve">aithne</t>
  </si>
  <si>
    <t xml:space="preserve">acquaintance</t>
  </si>
  <si>
    <t xml:space="preserve">V0012</t>
  </si>
  <si>
    <t xml:space="preserve">amháin</t>
  </si>
  <si>
    <t xml:space="preserve">one, only</t>
  </si>
  <si>
    <t xml:space="preserve">V0013</t>
  </si>
  <si>
    <t xml:space="preserve">an-</t>
  </si>
  <si>
    <t xml:space="preserve">very, great</t>
  </si>
  <si>
    <t xml:space="preserve">V0014</t>
  </si>
  <si>
    <t xml:space="preserve">an Aoine</t>
  </si>
  <si>
    <t xml:space="preserve">Friday</t>
  </si>
  <si>
    <t xml:space="preserve">V0015</t>
  </si>
  <si>
    <t xml:space="preserve">an Chéadaoin</t>
  </si>
  <si>
    <t xml:space="preserve">Wednesday</t>
  </si>
  <si>
    <t xml:space="preserve">V0016</t>
  </si>
  <si>
    <t xml:space="preserve">an Domhnach</t>
  </si>
  <si>
    <t xml:space="preserve">Sunday</t>
  </si>
  <si>
    <t xml:space="preserve">an Domhnach [m]</t>
  </si>
  <si>
    <t xml:space="preserve">V0017</t>
  </si>
  <si>
    <t xml:space="preserve">an Luan</t>
  </si>
  <si>
    <t xml:space="preserve">Monday</t>
  </si>
  <si>
    <t xml:space="preserve">an Luan [m]</t>
  </si>
  <si>
    <t xml:space="preserve">V0018</t>
  </si>
  <si>
    <t xml:space="preserve">an Mháirt</t>
  </si>
  <si>
    <t xml:space="preserve">Tuesday</t>
  </si>
  <si>
    <t xml:space="preserve">V0019</t>
  </si>
  <si>
    <t xml:space="preserve">an Satharn</t>
  </si>
  <si>
    <t xml:space="preserve">Saturday</t>
  </si>
  <si>
    <t xml:space="preserve">an Satharn [m]</t>
  </si>
  <si>
    <t xml:space="preserve">V0020</t>
  </si>
  <si>
    <t xml:space="preserve">argóint</t>
  </si>
  <si>
    <t xml:space="preserve">argument</t>
  </si>
  <si>
    <t xml:space="preserve">V0021</t>
  </si>
  <si>
    <t xml:space="preserve">athair</t>
  </si>
  <si>
    <t xml:space="preserve">father</t>
  </si>
  <si>
    <t xml:space="preserve">athair [m]</t>
  </si>
  <si>
    <t xml:space="preserve">V0022</t>
  </si>
  <si>
    <t xml:space="preserve">bábóg</t>
  </si>
  <si>
    <t xml:space="preserve">doll</t>
  </si>
  <si>
    <t xml:space="preserve">V0023</t>
  </si>
  <si>
    <t xml:space="preserve">baintreach/baintreach fir</t>
  </si>
  <si>
    <t xml:space="preserve">widow/widower</t>
  </si>
  <si>
    <t xml:space="preserve">V0024</t>
  </si>
  <si>
    <t xml:space="preserve">Bealtaine, mí na Bealtaine</t>
  </si>
  <si>
    <t xml:space="preserve">May</t>
  </si>
  <si>
    <t xml:space="preserve">V0025</t>
  </si>
  <si>
    <t xml:space="preserve">bean</t>
  </si>
  <si>
    <t xml:space="preserve">woman</t>
  </si>
  <si>
    <t xml:space="preserve">V0026</t>
  </si>
  <si>
    <t xml:space="preserve">bean an tí</t>
  </si>
  <si>
    <t xml:space="preserve">housewife</t>
  </si>
  <si>
    <t xml:space="preserve">V0027</t>
  </si>
  <si>
    <t xml:space="preserve">bean chéile</t>
  </si>
  <si>
    <t xml:space="preserve">wife</t>
  </si>
  <si>
    <t xml:space="preserve">V0028</t>
  </si>
  <si>
    <t xml:space="preserve">beannacht</t>
  </si>
  <si>
    <t xml:space="preserve">blessing</t>
  </si>
  <si>
    <t xml:space="preserve">V0029</t>
  </si>
  <si>
    <t xml:space="preserve">beart</t>
  </si>
  <si>
    <t xml:space="preserve">parcel, bundle</t>
  </si>
  <si>
    <t xml:space="preserve">beart [m]</t>
  </si>
  <si>
    <t xml:space="preserve">V0030</t>
  </si>
  <si>
    <t xml:space="preserve">beo</t>
  </si>
  <si>
    <t xml:space="preserve">alive</t>
  </si>
  <si>
    <t xml:space="preserve">V0031</t>
  </si>
  <si>
    <t xml:space="preserve">bhuel</t>
  </si>
  <si>
    <t xml:space="preserve">well</t>
  </si>
  <si>
    <t xml:space="preserve">V0032</t>
  </si>
  <si>
    <t xml:space="preserve">bliain</t>
  </si>
  <si>
    <t xml:space="preserve">year</t>
  </si>
  <si>
    <t xml:space="preserve">V0033</t>
  </si>
  <si>
    <t xml:space="preserve">breith</t>
  </si>
  <si>
    <t xml:space="preserve">birth</t>
  </si>
  <si>
    <t xml:space="preserve">V0034</t>
  </si>
  <si>
    <t xml:space="preserve">breithlá, lá breithe</t>
  </si>
  <si>
    <t xml:space="preserve">birthday</t>
  </si>
  <si>
    <t xml:space="preserve">breithlá, lá breithe [m]</t>
  </si>
  <si>
    <t xml:space="preserve">V0035</t>
  </si>
  <si>
    <t xml:space="preserve">brionglóid</t>
  </si>
  <si>
    <t xml:space="preserve">dream</t>
  </si>
  <si>
    <t xml:space="preserve">V0036</t>
  </si>
  <si>
    <t xml:space="preserve">buachaill, gasúr</t>
  </si>
  <si>
    <t xml:space="preserve">boy, boyfriend</t>
  </si>
  <si>
    <t xml:space="preserve">buachaill, gasúr [m]</t>
  </si>
  <si>
    <t xml:space="preserve">V0037</t>
  </si>
  <si>
    <t xml:space="preserve">cá mhéad?</t>
  </si>
  <si>
    <t xml:space="preserve">how much?, how many?</t>
  </si>
  <si>
    <t xml:space="preserve">V0038</t>
  </si>
  <si>
    <t xml:space="preserve">cad (é)?</t>
  </si>
  <si>
    <t xml:space="preserve">what (is it)?</t>
  </si>
  <si>
    <t xml:space="preserve">V0039</t>
  </si>
  <si>
    <t xml:space="preserve">cad chuige?, cén fáth?</t>
  </si>
  <si>
    <t xml:space="preserve">why?</t>
  </si>
  <si>
    <t xml:space="preserve">V0040</t>
  </si>
  <si>
    <t xml:space="preserve">cailín, girseach</t>
  </si>
  <si>
    <t xml:space="preserve">girl, girlfriend</t>
  </si>
  <si>
    <t xml:space="preserve">cailín [m], girseach</t>
  </si>
  <si>
    <t xml:space="preserve">V0041</t>
  </si>
  <si>
    <t xml:space="preserve">caint</t>
  </si>
  <si>
    <t xml:space="preserve">speech, talk</t>
  </si>
  <si>
    <t xml:space="preserve">V0042</t>
  </si>
  <si>
    <t xml:space="preserve">cara</t>
  </si>
  <si>
    <t xml:space="preserve">friend (male or female)</t>
  </si>
  <si>
    <t xml:space="preserve">cara [m]</t>
  </si>
  <si>
    <t xml:space="preserve">V0043</t>
  </si>
  <si>
    <t xml:space="preserve">céad</t>
  </si>
  <si>
    <t xml:space="preserve">hundred</t>
  </si>
  <si>
    <t xml:space="preserve">céad [m]</t>
  </si>
  <si>
    <t xml:space="preserve">V0044</t>
  </si>
  <si>
    <t xml:space="preserve">céile</t>
  </si>
  <si>
    <t xml:space="preserve">partner</t>
  </si>
  <si>
    <t xml:space="preserve">céile [m]</t>
  </si>
  <si>
    <t xml:space="preserve">V0045</t>
  </si>
  <si>
    <t xml:space="preserve">clann, teaghlach</t>
  </si>
  <si>
    <t xml:space="preserve">family</t>
  </si>
  <si>
    <t xml:space="preserve">clann, teaghlach [m]</t>
  </si>
  <si>
    <t xml:space="preserve">V0046</t>
  </si>
  <si>
    <t xml:space="preserve">clú</t>
  </si>
  <si>
    <t xml:space="preserve">reputation</t>
  </si>
  <si>
    <t xml:space="preserve">clú [m]</t>
  </si>
  <si>
    <t xml:space="preserve">V0047</t>
  </si>
  <si>
    <t xml:space="preserve">coitianta</t>
  </si>
  <si>
    <t xml:space="preserve">common</t>
  </si>
  <si>
    <t xml:space="preserve">V0048</t>
  </si>
  <si>
    <t xml:space="preserve">col ceathrair</t>
  </si>
  <si>
    <t xml:space="preserve">cousin</t>
  </si>
  <si>
    <t xml:space="preserve">col ceathrair [m]</t>
  </si>
  <si>
    <t xml:space="preserve">V0049</t>
  </si>
  <si>
    <t xml:space="preserve">comhrá</t>
  </si>
  <si>
    <t xml:space="preserve">conversation</t>
  </si>
  <si>
    <t xml:space="preserve">comhrá [m]</t>
  </si>
  <si>
    <t xml:space="preserve">V0050</t>
  </si>
  <si>
    <t xml:space="preserve">cónaí</t>
  </si>
  <si>
    <t xml:space="preserve">residence</t>
  </si>
  <si>
    <t xml:space="preserve">cónaí [m]</t>
  </si>
  <si>
    <t xml:space="preserve">V0051</t>
  </si>
  <si>
    <t xml:space="preserve">cóngarach</t>
  </si>
  <si>
    <t xml:space="preserve">near</t>
  </si>
  <si>
    <t xml:space="preserve">V0052</t>
  </si>
  <si>
    <t xml:space="preserve">craic</t>
  </si>
  <si>
    <t xml:space="preserve">craic, conversation</t>
  </si>
  <si>
    <t xml:space="preserve">V0053</t>
  </si>
  <si>
    <t xml:space="preserve">cúpla</t>
  </si>
  <si>
    <t xml:space="preserve">twins, couple</t>
  </si>
  <si>
    <t xml:space="preserve">cúpla [m]</t>
  </si>
  <si>
    <t xml:space="preserve">V0054</t>
  </si>
  <si>
    <t xml:space="preserve">daid</t>
  </si>
  <si>
    <t xml:space="preserve">dad</t>
  </si>
  <si>
    <t xml:space="preserve">daid [m]</t>
  </si>
  <si>
    <t xml:space="preserve">V0055</t>
  </si>
  <si>
    <t xml:space="preserve">dáta</t>
  </si>
  <si>
    <t xml:space="preserve">date</t>
  </si>
  <si>
    <t xml:space="preserve">dáta [m]</t>
  </si>
  <si>
    <t xml:space="preserve">V0056</t>
  </si>
  <si>
    <t xml:space="preserve">déagóir</t>
  </si>
  <si>
    <t xml:space="preserve">teenager</t>
  </si>
  <si>
    <t xml:space="preserve">déagóir [m]</t>
  </si>
  <si>
    <t xml:space="preserve">V0057</t>
  </si>
  <si>
    <t xml:space="preserve">Déardaoin</t>
  </si>
  <si>
    <t xml:space="preserve">Thursday</t>
  </si>
  <si>
    <t xml:space="preserve">V0058</t>
  </si>
  <si>
    <t xml:space="preserve">deartháir</t>
  </si>
  <si>
    <t xml:space="preserve">brother</t>
  </si>
  <si>
    <t xml:space="preserve">deartháir [m]</t>
  </si>
  <si>
    <t xml:space="preserve">V0059</t>
  </si>
  <si>
    <t xml:space="preserve">deartháir céile/deirfiúr céile</t>
  </si>
  <si>
    <t xml:space="preserve">brother-in-law/sister-in-law</t>
  </si>
  <si>
    <t xml:space="preserve">V0060</t>
  </si>
  <si>
    <t xml:space="preserve">Dé Céadaoin</t>
  </si>
  <si>
    <t xml:space="preserve">on Wednesday</t>
  </si>
  <si>
    <t xml:space="preserve">V0061</t>
  </si>
  <si>
    <t xml:space="preserve">Dé Domhnaigh</t>
  </si>
  <si>
    <t xml:space="preserve">on Sunday</t>
  </si>
  <si>
    <t xml:space="preserve">V0062</t>
  </si>
  <si>
    <t xml:space="preserve">Dé hAoine</t>
  </si>
  <si>
    <t xml:space="preserve">on Friday</t>
  </si>
  <si>
    <t xml:space="preserve">V0063</t>
  </si>
  <si>
    <t xml:space="preserve">Deireadh Fómhair, mí Dheireadh Fómhair</t>
  </si>
  <si>
    <t xml:space="preserve">October</t>
  </si>
  <si>
    <t xml:space="preserve">Deireadh Fómhair [m], mí Dheireadh Fómhair</t>
  </si>
  <si>
    <t xml:space="preserve">V0064</t>
  </si>
  <si>
    <t xml:space="preserve">deirfiúr</t>
  </si>
  <si>
    <t xml:space="preserve">sister</t>
  </si>
  <si>
    <t xml:space="preserve">V0065</t>
  </si>
  <si>
    <t xml:space="preserve">Dé Luain</t>
  </si>
  <si>
    <t xml:space="preserve">on Monday</t>
  </si>
  <si>
    <t xml:space="preserve">V0066</t>
  </si>
  <si>
    <t xml:space="preserve">Dé Máirt</t>
  </si>
  <si>
    <t xml:space="preserve">on Tuesday</t>
  </si>
  <si>
    <t xml:space="preserve">V0067</t>
  </si>
  <si>
    <t xml:space="preserve">Dé Sathairn</t>
  </si>
  <si>
    <t xml:space="preserve">on Saturday</t>
  </si>
  <si>
    <t xml:space="preserve">V0068</t>
  </si>
  <si>
    <t xml:space="preserve">Dia</t>
  </si>
  <si>
    <t xml:space="preserve">God</t>
  </si>
  <si>
    <t xml:space="preserve">Dia [m]</t>
  </si>
  <si>
    <t xml:space="preserve">V0069</t>
  </si>
  <si>
    <t xml:space="preserve">díomá</t>
  </si>
  <si>
    <t xml:space="preserve">disappointment</t>
  </si>
  <si>
    <t xml:space="preserve">V0070</t>
  </si>
  <si>
    <t xml:space="preserve">duine</t>
  </si>
  <si>
    <t xml:space="preserve">person</t>
  </si>
  <si>
    <t xml:space="preserve">duine [m]</t>
  </si>
  <si>
    <t xml:space="preserve">V0071</t>
  </si>
  <si>
    <t xml:space="preserve">duine fásta</t>
  </si>
  <si>
    <t xml:space="preserve">adult</t>
  </si>
  <si>
    <t xml:space="preserve">V0072</t>
  </si>
  <si>
    <t xml:space="preserve">Eanáir, mí Eanáir</t>
  </si>
  <si>
    <t xml:space="preserve">January</t>
  </si>
  <si>
    <t xml:space="preserve">Eanáir [m], mí Eanáir</t>
  </si>
  <si>
    <t xml:space="preserve">V0073</t>
  </si>
  <si>
    <t xml:space="preserve">earrach</t>
  </si>
  <si>
    <t xml:space="preserve">spring</t>
  </si>
  <si>
    <t xml:space="preserve">earrach [m]</t>
  </si>
  <si>
    <t xml:space="preserve">V0074</t>
  </si>
  <si>
    <t xml:space="preserve">fáilte</t>
  </si>
  <si>
    <t xml:space="preserve">welcome</t>
  </si>
  <si>
    <t xml:space="preserve">V0075</t>
  </si>
  <si>
    <t xml:space="preserve">Feabhra, mí Feabhra</t>
  </si>
  <si>
    <t xml:space="preserve">February</t>
  </si>
  <si>
    <t xml:space="preserve">V0076</t>
  </si>
  <si>
    <t xml:space="preserve">fear</t>
  </si>
  <si>
    <t xml:space="preserve">man</t>
  </si>
  <si>
    <t xml:space="preserve">fear [m]</t>
  </si>
  <si>
    <t xml:space="preserve">V0077</t>
  </si>
  <si>
    <t xml:space="preserve">fear an tí</t>
  </si>
  <si>
    <t xml:space="preserve">husband</t>
  </si>
  <si>
    <t xml:space="preserve">fear an tí [m]</t>
  </si>
  <si>
    <t xml:space="preserve">V0078</t>
  </si>
  <si>
    <t xml:space="preserve">fear céile</t>
  </si>
  <si>
    <t xml:space="preserve">man of the house</t>
  </si>
  <si>
    <t xml:space="preserve">fear céile [m]</t>
  </si>
  <si>
    <t xml:space="preserve">V0079</t>
  </si>
  <si>
    <t xml:space="preserve">féasóg</t>
  </si>
  <si>
    <t xml:space="preserve">beard</t>
  </si>
  <si>
    <t xml:space="preserve">V0080</t>
  </si>
  <si>
    <t xml:space="preserve">féin</t>
  </si>
  <si>
    <t xml:space="preserve">self</t>
  </si>
  <si>
    <t xml:space="preserve">V0081</t>
  </si>
  <si>
    <t xml:space="preserve">fómhar</t>
  </si>
  <si>
    <t xml:space="preserve">autumn</t>
  </si>
  <si>
    <t xml:space="preserve">fómhar [m]</t>
  </si>
  <si>
    <t xml:space="preserve">V0082</t>
  </si>
  <si>
    <t xml:space="preserve">gabh mo leithscéal</t>
  </si>
  <si>
    <t xml:space="preserve">excuse me</t>
  </si>
  <si>
    <t xml:space="preserve">V0083</t>
  </si>
  <si>
    <t xml:space="preserve">gaol</t>
  </si>
  <si>
    <t xml:space="preserve">relationship, relation</t>
  </si>
  <si>
    <t xml:space="preserve">gaol [m]</t>
  </si>
  <si>
    <t xml:space="preserve">V0084</t>
  </si>
  <si>
    <t xml:space="preserve">gaolta (le)</t>
  </si>
  <si>
    <t xml:space="preserve">related (to)</t>
  </si>
  <si>
    <t xml:space="preserve">V0085</t>
  </si>
  <si>
    <t xml:space="preserve">garmhac/gariníon</t>
  </si>
  <si>
    <t xml:space="preserve">grandson/granddaughter</t>
  </si>
  <si>
    <t xml:space="preserve">V0086</t>
  </si>
  <si>
    <t xml:space="preserve">geimhreadh</t>
  </si>
  <si>
    <t xml:space="preserve">winter</t>
  </si>
  <si>
    <t xml:space="preserve">geimhreadh [m]</t>
  </si>
  <si>
    <t xml:space="preserve">V0087</t>
  </si>
  <si>
    <t xml:space="preserve">i measc</t>
  </si>
  <si>
    <t xml:space="preserve">among</t>
  </si>
  <si>
    <t xml:space="preserve">V0088</t>
  </si>
  <si>
    <t xml:space="preserve">iníon</t>
  </si>
  <si>
    <t xml:space="preserve">daughter</t>
  </si>
  <si>
    <t xml:space="preserve">V0089</t>
  </si>
  <si>
    <t xml:space="preserve">Iúil, mí Iúil</t>
  </si>
  <si>
    <t xml:space="preserve">July</t>
  </si>
  <si>
    <t xml:space="preserve">Iúil [m], mí Iúil</t>
  </si>
  <si>
    <t xml:space="preserve">V0090</t>
  </si>
  <si>
    <t xml:space="preserve">lánúin</t>
  </si>
  <si>
    <t xml:space="preserve">(married or engaged) couple</t>
  </si>
  <si>
    <t xml:space="preserve">V0091</t>
  </si>
  <si>
    <t xml:space="preserve">leanbh</t>
  </si>
  <si>
    <t xml:space="preserve">child</t>
  </si>
  <si>
    <t xml:space="preserve">leanbh [m]</t>
  </si>
  <si>
    <t xml:space="preserve">V0092</t>
  </si>
  <si>
    <t xml:space="preserve">leasmhac</t>
  </si>
  <si>
    <t xml:space="preserve">stepson</t>
  </si>
  <si>
    <t xml:space="preserve">V0093</t>
  </si>
  <si>
    <t xml:space="preserve">leasdeartháir</t>
  </si>
  <si>
    <t xml:space="preserve">stepbrother</t>
  </si>
  <si>
    <t xml:space="preserve">V0094</t>
  </si>
  <si>
    <t xml:space="preserve">Lúnasa, mí Lúnasa</t>
  </si>
  <si>
    <t xml:space="preserve">August</t>
  </si>
  <si>
    <t xml:space="preserve">Lúnasa [m], mí Lúnasa</t>
  </si>
  <si>
    <t xml:space="preserve">V0095</t>
  </si>
  <si>
    <t xml:space="preserve">mac cleamhnais/bean mo mhic</t>
  </si>
  <si>
    <t xml:space="preserve">son-in-law/daughter-in-law</t>
  </si>
  <si>
    <t xml:space="preserve">V0096</t>
  </si>
  <si>
    <t xml:space="preserve">mamaí</t>
  </si>
  <si>
    <t xml:space="preserve">mum</t>
  </si>
  <si>
    <t xml:space="preserve">V0097</t>
  </si>
  <si>
    <t xml:space="preserve">marbh</t>
  </si>
  <si>
    <t xml:space="preserve">dead</t>
  </si>
  <si>
    <t xml:space="preserve">V0098</t>
  </si>
  <si>
    <t xml:space="preserve">Márta</t>
  </si>
  <si>
    <t xml:space="preserve">March</t>
  </si>
  <si>
    <t xml:space="preserve">Márta [m]</t>
  </si>
  <si>
    <t xml:space="preserve">V0099</t>
  </si>
  <si>
    <t xml:space="preserve">máthair</t>
  </si>
  <si>
    <t xml:space="preserve">mother</t>
  </si>
  <si>
    <t xml:space="preserve">V0100</t>
  </si>
  <si>
    <t xml:space="preserve">Meán Fómhair, mí Mheán Fómhair</t>
  </si>
  <si>
    <t xml:space="preserve">September</t>
  </si>
  <si>
    <t xml:space="preserve">Meán Fómhair [m], mí Mheán Fómhair</t>
  </si>
  <si>
    <t xml:space="preserve">V0101</t>
  </si>
  <si>
    <t xml:space="preserve">Meitheamh, mí an Mheithimh</t>
  </si>
  <si>
    <t xml:space="preserve">June</t>
  </si>
  <si>
    <t xml:space="preserve">Meitheamh [m], mí an Mheithimh</t>
  </si>
  <si>
    <t xml:space="preserve">V0102</t>
  </si>
  <si>
    <t xml:space="preserve">mí</t>
  </si>
  <si>
    <t xml:space="preserve">month</t>
  </si>
  <si>
    <t xml:space="preserve">V0103</t>
  </si>
  <si>
    <t xml:space="preserve">mná</t>
  </si>
  <si>
    <t xml:space="preserve">women</t>
  </si>
  <si>
    <t xml:space="preserve">V0104</t>
  </si>
  <si>
    <t xml:space="preserve">naíonán</t>
  </si>
  <si>
    <t xml:space="preserve">baby</t>
  </si>
  <si>
    <t xml:space="preserve">naíonán [m]</t>
  </si>
  <si>
    <t xml:space="preserve">V0105</t>
  </si>
  <si>
    <t xml:space="preserve">neacht</t>
  </si>
  <si>
    <t xml:space="preserve">niece</t>
  </si>
  <si>
    <t xml:space="preserve">V0106</t>
  </si>
  <si>
    <t xml:space="preserve">nia</t>
  </si>
  <si>
    <t xml:space="preserve">nephew</t>
  </si>
  <si>
    <t xml:space="preserve">nia [m]</t>
  </si>
  <si>
    <t xml:space="preserve">V0107</t>
  </si>
  <si>
    <t xml:space="preserve">Nollaig (Nollaig, mí na Nollag)</t>
  </si>
  <si>
    <t xml:space="preserve">Christmas (December)</t>
  </si>
  <si>
    <t xml:space="preserve">V0108</t>
  </si>
  <si>
    <t xml:space="preserve">páiste</t>
  </si>
  <si>
    <t xml:space="preserve">páiste [m]</t>
  </si>
  <si>
    <t xml:space="preserve">V0109</t>
  </si>
  <si>
    <t xml:space="preserve">Samhain (mí na Samhna)</t>
  </si>
  <si>
    <t xml:space="preserve">November</t>
  </si>
  <si>
    <t xml:space="preserve">V0110</t>
  </si>
  <si>
    <t xml:space="preserve">samhradh</t>
  </si>
  <si>
    <t xml:space="preserve">summer</t>
  </si>
  <si>
    <t xml:space="preserve">samhradh [m]</t>
  </si>
  <si>
    <t xml:space="preserve">V0111</t>
  </si>
  <si>
    <t xml:space="preserve">seanathair, athair mór</t>
  </si>
  <si>
    <t xml:space="preserve">grandfather</t>
  </si>
  <si>
    <t xml:space="preserve">seanathair, athair mór [m]</t>
  </si>
  <si>
    <t xml:space="preserve">V0112</t>
  </si>
  <si>
    <t xml:space="preserve">seanmháthair, máthair mhór</t>
  </si>
  <si>
    <t xml:space="preserve">grandmother</t>
  </si>
  <si>
    <t xml:space="preserve">V0113</t>
  </si>
  <si>
    <t xml:space="preserve">seantuismitheoir</t>
  </si>
  <si>
    <t xml:space="preserve">grandparent</t>
  </si>
  <si>
    <t xml:space="preserve">seantuismitheoir [m]</t>
  </si>
  <si>
    <t xml:space="preserve">V0114</t>
  </si>
  <si>
    <t xml:space="preserve">séasúr, ráithe</t>
  </si>
  <si>
    <t xml:space="preserve">season</t>
  </si>
  <si>
    <t xml:space="preserve">séasúr [m], ráithe</t>
  </si>
  <si>
    <t xml:space="preserve">V0115</t>
  </si>
  <si>
    <t xml:space="preserve">tráthnóna</t>
  </si>
  <si>
    <t xml:space="preserve">afternoon</t>
  </si>
  <si>
    <t xml:space="preserve">tráthnóna [m]</t>
  </si>
  <si>
    <t xml:space="preserve">V0116</t>
  </si>
  <si>
    <t xml:space="preserve">tuismitheoir</t>
  </si>
  <si>
    <t xml:space="preserve">parent</t>
  </si>
  <si>
    <t xml:space="preserve">tuismitheoir [m]</t>
  </si>
  <si>
    <t xml:space="preserve">V0117</t>
  </si>
  <si>
    <t xml:space="preserve">uncail</t>
  </si>
  <si>
    <t xml:space="preserve">uncle</t>
  </si>
  <si>
    <t xml:space="preserve">uncail [m]</t>
  </si>
  <si>
    <t xml:space="preserve">V0118</t>
  </si>
  <si>
    <t xml:space="preserve">féith an ghrinn</t>
  </si>
  <si>
    <t xml:space="preserve">sense of humour</t>
  </si>
  <si>
    <t xml:space="preserve">Describing people</t>
  </si>
  <si>
    <t xml:space="preserve">V0119</t>
  </si>
  <si>
    <t xml:space="preserve">fial</t>
  </si>
  <si>
    <t xml:space="preserve">generous</t>
  </si>
  <si>
    <t xml:space="preserve">V0120</t>
  </si>
  <si>
    <t xml:space="preserve">fionn</t>
  </si>
  <si>
    <t xml:space="preserve">fair</t>
  </si>
  <si>
    <t xml:space="preserve">V0121</t>
  </si>
  <si>
    <t xml:space="preserve">fionnrua</t>
  </si>
  <si>
    <t xml:space="preserve">strawberry blonde</t>
  </si>
  <si>
    <t xml:space="preserve">V0122</t>
  </si>
  <si>
    <t xml:space="preserve">foighne</t>
  </si>
  <si>
    <t xml:space="preserve">patience</t>
  </si>
  <si>
    <t xml:space="preserve">V0123</t>
  </si>
  <si>
    <t xml:space="preserve">foighneach</t>
  </si>
  <si>
    <t xml:space="preserve">patient</t>
  </si>
  <si>
    <t xml:space="preserve">V0124</t>
  </si>
  <si>
    <t xml:space="preserve">Gael</t>
  </si>
  <si>
    <t xml:space="preserve">Irishman, Irishwoman</t>
  </si>
  <si>
    <t xml:space="preserve">Gael [m]</t>
  </si>
  <si>
    <t xml:space="preserve">V0125</t>
  </si>
  <si>
    <t xml:space="preserve">gáire, miongháire</t>
  </si>
  <si>
    <t xml:space="preserve">laugh, smile</t>
  </si>
  <si>
    <t xml:space="preserve">gáire, miongháire [m]</t>
  </si>
  <si>
    <t xml:space="preserve">V0126</t>
  </si>
  <si>
    <t xml:space="preserve">gairid</t>
  </si>
  <si>
    <t xml:space="preserve">short</t>
  </si>
  <si>
    <t xml:space="preserve">V0127</t>
  </si>
  <si>
    <t xml:space="preserve">galánta</t>
  </si>
  <si>
    <t xml:space="preserve">beautiful</t>
  </si>
  <si>
    <t xml:space="preserve">V0128</t>
  </si>
  <si>
    <t xml:space="preserve">glas</t>
  </si>
  <si>
    <t xml:space="preserve">green</t>
  </si>
  <si>
    <t xml:space="preserve">V0129</t>
  </si>
  <si>
    <t xml:space="preserve">glic</t>
  </si>
  <si>
    <t xml:space="preserve">clever</t>
  </si>
  <si>
    <t xml:space="preserve">V0130</t>
  </si>
  <si>
    <t xml:space="preserve">gorm</t>
  </si>
  <si>
    <t xml:space="preserve">blue</t>
  </si>
  <si>
    <t xml:space="preserve">V0131</t>
  </si>
  <si>
    <t xml:space="preserve">grá</t>
  </si>
  <si>
    <t xml:space="preserve">love</t>
  </si>
  <si>
    <t xml:space="preserve">grá [m]</t>
  </si>
  <si>
    <t xml:space="preserve">V0132</t>
  </si>
  <si>
    <t xml:space="preserve">gránna</t>
  </si>
  <si>
    <t xml:space="preserve">ugly</t>
  </si>
  <si>
    <t xml:space="preserve">V0133</t>
  </si>
  <si>
    <t xml:space="preserve">greann</t>
  </si>
  <si>
    <t xml:space="preserve">fun</t>
  </si>
  <si>
    <t xml:space="preserve">greann [m]</t>
  </si>
  <si>
    <t xml:space="preserve">V0134</t>
  </si>
  <si>
    <t xml:space="preserve">greannmhar</t>
  </si>
  <si>
    <t xml:space="preserve">funny</t>
  </si>
  <si>
    <t xml:space="preserve">V0135</t>
  </si>
  <si>
    <t xml:space="preserve">gruaig</t>
  </si>
  <si>
    <t xml:space="preserve">hair</t>
  </si>
  <si>
    <t xml:space="preserve">V0136</t>
  </si>
  <si>
    <t xml:space="preserve">imní</t>
  </si>
  <si>
    <t xml:space="preserve">worry</t>
  </si>
  <si>
    <t xml:space="preserve">V0137</t>
  </si>
  <si>
    <t xml:space="preserve">ionraic</t>
  </si>
  <si>
    <t xml:space="preserve">honest</t>
  </si>
  <si>
    <t xml:space="preserve">V0138</t>
  </si>
  <si>
    <t xml:space="preserve">iontas</t>
  </si>
  <si>
    <t xml:space="preserve">surprise</t>
  </si>
  <si>
    <t xml:space="preserve">iontas [m]</t>
  </si>
  <si>
    <t xml:space="preserve">V0139</t>
  </si>
  <si>
    <t xml:space="preserve">íseal</t>
  </si>
  <si>
    <t xml:space="preserve">low</t>
  </si>
  <si>
    <t xml:space="preserve">V0140</t>
  </si>
  <si>
    <t xml:space="preserve">láidir</t>
  </si>
  <si>
    <t xml:space="preserve">strong</t>
  </si>
  <si>
    <t xml:space="preserve">V0141</t>
  </si>
  <si>
    <t xml:space="preserve">leadránach</t>
  </si>
  <si>
    <t xml:space="preserve">boring</t>
  </si>
  <si>
    <t xml:space="preserve">V0142</t>
  </si>
  <si>
    <t xml:space="preserve">leithleach</t>
  </si>
  <si>
    <t xml:space="preserve">selfish</t>
  </si>
  <si>
    <t xml:space="preserve">V0143</t>
  </si>
  <si>
    <t xml:space="preserve">liath</t>
  </si>
  <si>
    <t xml:space="preserve">grey</t>
  </si>
  <si>
    <t xml:space="preserve">V0144</t>
  </si>
  <si>
    <t xml:space="preserve">lofa</t>
  </si>
  <si>
    <t xml:space="preserve">rotten</t>
  </si>
  <si>
    <t xml:space="preserve">V0145</t>
  </si>
  <si>
    <t xml:space="preserve">lúcháir</t>
  </si>
  <si>
    <t xml:space="preserve">delight, joy</t>
  </si>
  <si>
    <t xml:space="preserve">V0146</t>
  </si>
  <si>
    <t xml:space="preserve">meáchan</t>
  </si>
  <si>
    <t xml:space="preserve">weight</t>
  </si>
  <si>
    <t xml:space="preserve">meáchan [m]</t>
  </si>
  <si>
    <t xml:space="preserve">V0147</t>
  </si>
  <si>
    <t xml:space="preserve">meánaosta</t>
  </si>
  <si>
    <t xml:space="preserve">middle-aged</t>
  </si>
  <si>
    <t xml:space="preserve">V0148</t>
  </si>
  <si>
    <t xml:space="preserve">mífhoighneach</t>
  </si>
  <si>
    <t xml:space="preserve">impatient</t>
  </si>
  <si>
    <t xml:space="preserve">V0149</t>
  </si>
  <si>
    <t xml:space="preserve">mór</t>
  </si>
  <si>
    <t xml:space="preserve">big</t>
  </si>
  <si>
    <t xml:space="preserve">V0150</t>
  </si>
  <si>
    <t xml:space="preserve">náire</t>
  </si>
  <si>
    <t xml:space="preserve">shame</t>
  </si>
  <si>
    <t xml:space="preserve">V0151</t>
  </si>
  <si>
    <t xml:space="preserve">ocras</t>
  </si>
  <si>
    <t xml:space="preserve">hunger</t>
  </si>
  <si>
    <t xml:space="preserve">ocras [m]</t>
  </si>
  <si>
    <t xml:space="preserve">V0152</t>
  </si>
  <si>
    <t xml:space="preserve">óg</t>
  </si>
  <si>
    <t xml:space="preserve">young</t>
  </si>
  <si>
    <t xml:space="preserve">V0153</t>
  </si>
  <si>
    <t xml:space="preserve">ór</t>
  </si>
  <si>
    <t xml:space="preserve">gold</t>
  </si>
  <si>
    <t xml:space="preserve">ór [m]</t>
  </si>
  <si>
    <t xml:space="preserve">V0154</t>
  </si>
  <si>
    <t xml:space="preserve">oráiste</t>
  </si>
  <si>
    <t xml:space="preserve">orange</t>
  </si>
  <si>
    <t xml:space="preserve">oráiste [m]</t>
  </si>
  <si>
    <t xml:space="preserve">V0155</t>
  </si>
  <si>
    <t xml:space="preserve">pósta</t>
  </si>
  <si>
    <t xml:space="preserve">married</t>
  </si>
  <si>
    <t xml:space="preserve">V0156</t>
  </si>
  <si>
    <t xml:space="preserve">ramhar</t>
  </si>
  <si>
    <t xml:space="preserve">fat</t>
  </si>
  <si>
    <t xml:space="preserve">V0157</t>
  </si>
  <si>
    <t xml:space="preserve">rua</t>
  </si>
  <si>
    <t xml:space="preserve">red-haired</t>
  </si>
  <si>
    <t xml:space="preserve">V0158</t>
  </si>
  <si>
    <t xml:space="preserve">sámh</t>
  </si>
  <si>
    <t xml:space="preserve">peaceful</t>
  </si>
  <si>
    <t xml:space="preserve">V0159</t>
  </si>
  <si>
    <t xml:space="preserve">samhnas</t>
  </si>
  <si>
    <t xml:space="preserve">disgust</t>
  </si>
  <si>
    <t xml:space="preserve">samhnas [m]</t>
  </si>
  <si>
    <t xml:space="preserve">V0160</t>
  </si>
  <si>
    <t xml:space="preserve">sean</t>
  </si>
  <si>
    <t xml:space="preserve">old</t>
  </si>
  <si>
    <t xml:space="preserve">V0161</t>
  </si>
  <si>
    <t xml:space="preserve">scartha</t>
  </si>
  <si>
    <t xml:space="preserve">separated</t>
  </si>
  <si>
    <t xml:space="preserve">V0162</t>
  </si>
  <si>
    <t xml:space="preserve">singil</t>
  </si>
  <si>
    <t xml:space="preserve">single</t>
  </si>
  <si>
    <t xml:space="preserve">V0163</t>
  </si>
  <si>
    <t xml:space="preserve">sloinne</t>
  </si>
  <si>
    <t xml:space="preserve">surname</t>
  </si>
  <si>
    <t xml:space="preserve">sloinne [m]</t>
  </si>
  <si>
    <t xml:space="preserve">V0164</t>
  </si>
  <si>
    <t xml:space="preserve">spéaclaí</t>
  </si>
  <si>
    <t xml:space="preserve">glasses</t>
  </si>
  <si>
    <t xml:space="preserve">spéaclaí [mpl]</t>
  </si>
  <si>
    <t xml:space="preserve">V0165</t>
  </si>
  <si>
    <t xml:space="preserve">spórtúil</t>
  </si>
  <si>
    <t xml:space="preserve">sporty</t>
  </si>
  <si>
    <t xml:space="preserve">V0166</t>
  </si>
  <si>
    <t xml:space="preserve">stoda (sróine)</t>
  </si>
  <si>
    <t xml:space="preserve">(nose) stud</t>
  </si>
  <si>
    <t xml:space="preserve">stoda (sróine) [m]</t>
  </si>
  <si>
    <t xml:space="preserve">V0167</t>
  </si>
  <si>
    <t xml:space="preserve">súile</t>
  </si>
  <si>
    <t xml:space="preserve">eyes</t>
  </si>
  <si>
    <t xml:space="preserve">V0168</t>
  </si>
  <si>
    <t xml:space="preserve">tanaí</t>
  </si>
  <si>
    <t xml:space="preserve">thin</t>
  </si>
  <si>
    <t xml:space="preserve">V0169</t>
  </si>
  <si>
    <t xml:space="preserve">tart</t>
  </si>
  <si>
    <t xml:space="preserve">thirst</t>
  </si>
  <si>
    <t xml:space="preserve">tart [m]</t>
  </si>
  <si>
    <t xml:space="preserve">V0170</t>
  </si>
  <si>
    <t xml:space="preserve">trom</t>
  </si>
  <si>
    <t xml:space="preserve">heavy</t>
  </si>
  <si>
    <t xml:space="preserve">V0171</t>
  </si>
  <si>
    <t xml:space="preserve">tuirse</t>
  </si>
  <si>
    <t xml:space="preserve">tiredness</t>
  </si>
  <si>
    <t xml:space="preserve">V0172</t>
  </si>
  <si>
    <t xml:space="preserve">uasal</t>
  </si>
  <si>
    <t xml:space="preserve">gentleman</t>
  </si>
  <si>
    <t xml:space="preserve">uasal [m]</t>
  </si>
  <si>
    <t xml:space="preserve">V0173</t>
  </si>
  <si>
    <t xml:space="preserve">abair (ag rá)</t>
  </si>
  <si>
    <t xml:space="preserve">abair</t>
  </si>
  <si>
    <t xml:space="preserve">ag rá</t>
  </si>
  <si>
    <t xml:space="preserve">to say (saying)</t>
  </si>
  <si>
    <t xml:space="preserve">Useful verbs</t>
  </si>
  <si>
    <t xml:space="preserve">V0174</t>
  </si>
  <si>
    <t xml:space="preserve">bí (ag bheith)</t>
  </si>
  <si>
    <t xml:space="preserve">bí</t>
  </si>
  <si>
    <t xml:space="preserve">ag bheith</t>
  </si>
  <si>
    <t xml:space="preserve">to be</t>
  </si>
  <si>
    <t xml:space="preserve">V0175</t>
  </si>
  <si>
    <t xml:space="preserve">braith (ag brath) ar</t>
  </si>
  <si>
    <t xml:space="preserve">braith</t>
  </si>
  <si>
    <t xml:space="preserve">ag brath</t>
  </si>
  <si>
    <t xml:space="preserve">ar</t>
  </si>
  <si>
    <t xml:space="preserve">to depend on, to rely on (depending on, relying on)</t>
  </si>
  <si>
    <t xml:space="preserve">V0176</t>
  </si>
  <si>
    <t xml:space="preserve">buail (ag bualadh) le</t>
  </si>
  <si>
    <t xml:space="preserve">buail</t>
  </si>
  <si>
    <t xml:space="preserve">ag bualadh</t>
  </si>
  <si>
    <t xml:space="preserve">le</t>
  </si>
  <si>
    <t xml:space="preserve">to meet (meeting)</t>
  </si>
  <si>
    <t xml:space="preserve">V0177</t>
  </si>
  <si>
    <t xml:space="preserve">caith (ag caitheamh)</t>
  </si>
  <si>
    <t xml:space="preserve">caith</t>
  </si>
  <si>
    <t xml:space="preserve">ag caitheamh</t>
  </si>
  <si>
    <t xml:space="preserve">to wear, to smoke, to throw, to spend (wearing, smoking, throwing, spending)</t>
  </si>
  <si>
    <t xml:space="preserve">V0178</t>
  </si>
  <si>
    <t xml:space="preserve">cáin (ag cáineadh)</t>
  </si>
  <si>
    <t xml:space="preserve">cáin</t>
  </si>
  <si>
    <t xml:space="preserve">ag cáineadh</t>
  </si>
  <si>
    <t xml:space="preserve">to criticise (criticising)</t>
  </si>
  <si>
    <t xml:space="preserve">V0179</t>
  </si>
  <si>
    <t xml:space="preserve">caoin (ag caoineadh)</t>
  </si>
  <si>
    <t xml:space="preserve">caoin</t>
  </si>
  <si>
    <t xml:space="preserve">ag caoineadh</t>
  </si>
  <si>
    <t xml:space="preserve">to cry (crying)</t>
  </si>
  <si>
    <t xml:space="preserve">V0180</t>
  </si>
  <si>
    <t xml:space="preserve">fás (ag fás)</t>
  </si>
  <si>
    <t xml:space="preserve">fás</t>
  </si>
  <si>
    <t xml:space="preserve">ag fás</t>
  </si>
  <si>
    <t xml:space="preserve">to grow (growing)</t>
  </si>
  <si>
    <t xml:space="preserve">V0181</t>
  </si>
  <si>
    <t xml:space="preserve">labhair (ag labhairt) le</t>
  </si>
  <si>
    <t xml:space="preserve">labhair</t>
  </si>
  <si>
    <t xml:space="preserve">ag labhairt</t>
  </si>
  <si>
    <t xml:space="preserve">to chat to, to speak with/to (chatting to, speaking with/to)</t>
  </si>
  <si>
    <t xml:space="preserve">V0182</t>
  </si>
  <si>
    <t xml:space="preserve">pós (ag pósadh)</t>
  </si>
  <si>
    <t xml:space="preserve">pós</t>
  </si>
  <si>
    <t xml:space="preserve">ag pósadh</t>
  </si>
  <si>
    <t xml:space="preserve">to marry (marrying)</t>
  </si>
  <si>
    <t xml:space="preserve">V0183</t>
  </si>
  <si>
    <t xml:space="preserve">réitigh (ag réiteach) le</t>
  </si>
  <si>
    <t xml:space="preserve">réitigh</t>
  </si>
  <si>
    <t xml:space="preserve">ag réiteach</t>
  </si>
  <si>
    <t xml:space="preserve">to get on with (getting on with)</t>
  </si>
  <si>
    <t xml:space="preserve">V0184</t>
  </si>
  <si>
    <t xml:space="preserve">roinn (ag roinnt)</t>
  </si>
  <si>
    <t xml:space="preserve">roinn</t>
  </si>
  <si>
    <t xml:space="preserve">ag roinnt</t>
  </si>
  <si>
    <t xml:space="preserve">to share (sharing)</t>
  </si>
  <si>
    <t xml:space="preserve">V0185</t>
  </si>
  <si>
    <t xml:space="preserve">rugadh mé</t>
  </si>
  <si>
    <t xml:space="preserve">I was born</t>
  </si>
  <si>
    <t xml:space="preserve">V0186</t>
  </si>
  <si>
    <t xml:space="preserve">tóg (ag tógáil)</t>
  </si>
  <si>
    <t xml:space="preserve">tóg</t>
  </si>
  <si>
    <t xml:space="preserve">ag tógáil</t>
  </si>
  <si>
    <t xml:space="preserve">to lift, to build (lifting, building)</t>
  </si>
  <si>
    <t xml:space="preserve">V0187</t>
  </si>
  <si>
    <t xml:space="preserve">is aoibhinn liom</t>
  </si>
  <si>
    <t xml:space="preserve">I love</t>
  </si>
  <si>
    <t xml:space="preserve">Useful constructions</t>
  </si>
  <si>
    <t xml:space="preserve">V0188</t>
  </si>
  <si>
    <t xml:space="preserve">is breá liom, is maith liom … go mór</t>
  </si>
  <si>
    <t xml:space="preserve">I enjoy, I really like</t>
  </si>
  <si>
    <t xml:space="preserve">V0189</t>
  </si>
  <si>
    <t xml:space="preserve">is dóigh liom go/gur</t>
  </si>
  <si>
    <t xml:space="preserve">I think that</t>
  </si>
  <si>
    <t xml:space="preserve">V0190</t>
  </si>
  <si>
    <t xml:space="preserve">is fearr liom</t>
  </si>
  <si>
    <t xml:space="preserve">I prefer</t>
  </si>
  <si>
    <t xml:space="preserve">V0191</t>
  </si>
  <si>
    <t xml:space="preserve">is fuath liom</t>
  </si>
  <si>
    <t xml:space="preserve">I hate</t>
  </si>
  <si>
    <t xml:space="preserve">V0192</t>
  </si>
  <si>
    <t xml:space="preserve">is grá liom</t>
  </si>
  <si>
    <t xml:space="preserve">V0193</t>
  </si>
  <si>
    <t xml:space="preserve">is maith liom</t>
  </si>
  <si>
    <t xml:space="preserve">I like</t>
  </si>
  <si>
    <t xml:space="preserve">V0194</t>
  </si>
  <si>
    <t xml:space="preserve">ainm úsáideora</t>
  </si>
  <si>
    <t xml:space="preserve">username</t>
  </si>
  <si>
    <t xml:space="preserve">Social media</t>
  </si>
  <si>
    <t xml:space="preserve">ainm úsáideora [m]</t>
  </si>
  <si>
    <t xml:space="preserve">V0195</t>
  </si>
  <si>
    <t xml:space="preserve">ar líne</t>
  </si>
  <si>
    <t xml:space="preserve">online</t>
  </si>
  <si>
    <t xml:space="preserve">V0196</t>
  </si>
  <si>
    <t xml:space="preserve">ar siúl</t>
  </si>
  <si>
    <t xml:space="preserve">happening, on</t>
  </si>
  <si>
    <t xml:space="preserve">V0197</t>
  </si>
  <si>
    <t xml:space="preserve">bille guthán póca, bille fón póca</t>
  </si>
  <si>
    <t xml:space="preserve">mobile phone bill</t>
  </si>
  <si>
    <t xml:space="preserve">bille guthán póca, bille fón póca [m]</t>
  </si>
  <si>
    <t xml:space="preserve">V0198</t>
  </si>
  <si>
    <t xml:space="preserve">blag</t>
  </si>
  <si>
    <t xml:space="preserve">blog</t>
  </si>
  <si>
    <t xml:space="preserve">blag [m]</t>
  </si>
  <si>
    <t xml:space="preserve">V0199</t>
  </si>
  <si>
    <t xml:space="preserve">bogearraí</t>
  </si>
  <si>
    <t xml:space="preserve">software</t>
  </si>
  <si>
    <t xml:space="preserve">bogearraí [mpl]</t>
  </si>
  <si>
    <t xml:space="preserve">V0200</t>
  </si>
  <si>
    <t xml:space="preserve">caife idirlín</t>
  </si>
  <si>
    <t xml:space="preserve">internet café</t>
  </si>
  <si>
    <t xml:space="preserve">caife idirlín [m]</t>
  </si>
  <si>
    <t xml:space="preserve">V0201</t>
  </si>
  <si>
    <t xml:space="preserve">cartús dúigh</t>
  </si>
  <si>
    <t xml:space="preserve">ink cartridge</t>
  </si>
  <si>
    <t xml:space="preserve">cartús dúigh [m]</t>
  </si>
  <si>
    <t xml:space="preserve">V0202</t>
  </si>
  <si>
    <t xml:space="preserve">cárta SIM</t>
  </si>
  <si>
    <t xml:space="preserve">SIM card</t>
  </si>
  <si>
    <t xml:space="preserve">cárta SIM [m]</t>
  </si>
  <si>
    <t xml:space="preserve">V0203</t>
  </si>
  <si>
    <t xml:space="preserve">ceamara</t>
  </si>
  <si>
    <t xml:space="preserve">camera</t>
  </si>
  <si>
    <t xml:space="preserve">ceamara [m]</t>
  </si>
  <si>
    <t xml:space="preserve">V0204</t>
  </si>
  <si>
    <t xml:space="preserve">ceangal (Wi-Fi)</t>
  </si>
  <si>
    <t xml:space="preserve">(Wi-Fi) connection</t>
  </si>
  <si>
    <t xml:space="preserve">ceangal (Wi-Fi) [m]</t>
  </si>
  <si>
    <t xml:space="preserve">V0205</t>
  </si>
  <si>
    <t xml:space="preserve">cipín cuimhne</t>
  </si>
  <si>
    <t xml:space="preserve">(USB) memory stick</t>
  </si>
  <si>
    <t xml:space="preserve">cipín cuimhne [m]</t>
  </si>
  <si>
    <t xml:space="preserve">V0206</t>
  </si>
  <si>
    <t xml:space="preserve">clingthon</t>
  </si>
  <si>
    <t xml:space="preserve">ringtone</t>
  </si>
  <si>
    <t xml:space="preserve">clingthon [m]</t>
  </si>
  <si>
    <t xml:space="preserve">V0207</t>
  </si>
  <si>
    <t xml:space="preserve">cuntas (ríomhphoist)</t>
  </si>
  <si>
    <t xml:space="preserve">(email) account</t>
  </si>
  <si>
    <t xml:space="preserve">cuntas (ríomhphoist) [m]</t>
  </si>
  <si>
    <t xml:space="preserve">V0208</t>
  </si>
  <si>
    <t xml:space="preserve">cur síos, próifíl</t>
  </si>
  <si>
    <t xml:space="preserve">profile</t>
  </si>
  <si>
    <t xml:space="preserve">cur síos, próifíl [m]</t>
  </si>
  <si>
    <t xml:space="preserve">V0209</t>
  </si>
  <si>
    <t xml:space="preserve">daor</t>
  </si>
  <si>
    <t xml:space="preserve">dear, expensive</t>
  </si>
  <si>
    <t xml:space="preserve">V0210</t>
  </si>
  <si>
    <t xml:space="preserve">digiteach</t>
  </si>
  <si>
    <t xml:space="preserve">digital</t>
  </si>
  <si>
    <t xml:space="preserve">V0211</t>
  </si>
  <si>
    <t xml:space="preserve">dlúthdhiosca</t>
  </si>
  <si>
    <t xml:space="preserve">CD</t>
  </si>
  <si>
    <t xml:space="preserve">dlúthdhiosca [m]</t>
  </si>
  <si>
    <t xml:space="preserve">V0212</t>
  </si>
  <si>
    <t xml:space="preserve">fístéip</t>
  </si>
  <si>
    <t xml:space="preserve">video</t>
  </si>
  <si>
    <t xml:space="preserve">V0213</t>
  </si>
  <si>
    <t xml:space="preserve">fón póca, guthán póca, guthán soghluaiste</t>
  </si>
  <si>
    <t xml:space="preserve">mobile (phone)</t>
  </si>
  <si>
    <t xml:space="preserve">fón póca, guthán póca, guthán soghluaiste [m]</t>
  </si>
  <si>
    <t xml:space="preserve">V0214</t>
  </si>
  <si>
    <t xml:space="preserve">fón ar chonradh</t>
  </si>
  <si>
    <t xml:space="preserve">contract phone</t>
  </si>
  <si>
    <t xml:space="preserve">fón ar chonradh [m]</t>
  </si>
  <si>
    <t xml:space="preserve">V0215</t>
  </si>
  <si>
    <t xml:space="preserve">fón ar chonradh réamhíoctha</t>
  </si>
  <si>
    <t xml:space="preserve">prepaid phone</t>
  </si>
  <si>
    <t xml:space="preserve">fón ar chonradh réamhíoctha [m]</t>
  </si>
  <si>
    <t xml:space="preserve">V0216</t>
  </si>
  <si>
    <t xml:space="preserve">fóram</t>
  </si>
  <si>
    <t xml:space="preserve">forum</t>
  </si>
  <si>
    <t xml:space="preserve">fóram [m]</t>
  </si>
  <si>
    <t xml:space="preserve">V0217</t>
  </si>
  <si>
    <t xml:space="preserve">grianghraf</t>
  </si>
  <si>
    <t xml:space="preserve">photograph</t>
  </si>
  <si>
    <t xml:space="preserve">grianghraf [m]</t>
  </si>
  <si>
    <t xml:space="preserve">V0218</t>
  </si>
  <si>
    <t xml:space="preserve">guthán, fón, teileafón</t>
  </si>
  <si>
    <t xml:space="preserve">phone</t>
  </si>
  <si>
    <t xml:space="preserve">guthán, fón, teileafón [m]</t>
  </si>
  <si>
    <t xml:space="preserve">V0219</t>
  </si>
  <si>
    <t xml:space="preserve">idirlíon</t>
  </si>
  <si>
    <t xml:space="preserve">internet</t>
  </si>
  <si>
    <t xml:space="preserve">idirlíon [m]</t>
  </si>
  <si>
    <t xml:space="preserve">V0220</t>
  </si>
  <si>
    <t xml:space="preserve">íoslódáil</t>
  </si>
  <si>
    <t xml:space="preserve">download</t>
  </si>
  <si>
    <t xml:space="preserve">V0221</t>
  </si>
  <si>
    <t xml:space="preserve">leantóir</t>
  </si>
  <si>
    <t xml:space="preserve">follower</t>
  </si>
  <si>
    <t xml:space="preserve">leantóir [m]</t>
  </si>
  <si>
    <t xml:space="preserve">V0222</t>
  </si>
  <si>
    <t xml:space="preserve">leathanbhanda</t>
  </si>
  <si>
    <t xml:space="preserve">broadband</t>
  </si>
  <si>
    <t xml:space="preserve">leathanbhanda [m]</t>
  </si>
  <si>
    <t xml:space="preserve">V0223</t>
  </si>
  <si>
    <t xml:space="preserve">líonra</t>
  </si>
  <si>
    <t xml:space="preserve">network</t>
  </si>
  <si>
    <t xml:space="preserve">V0224</t>
  </si>
  <si>
    <t xml:space="preserve">líonrú gréasán (sóisialta)</t>
  </si>
  <si>
    <t xml:space="preserve">(social) network(ing)</t>
  </si>
  <si>
    <t xml:space="preserve">líonrú gréasán (sóisialta) [m]</t>
  </si>
  <si>
    <t xml:space="preserve">V0225</t>
  </si>
  <si>
    <t xml:space="preserve">loingseoireacht satailíte</t>
  </si>
  <si>
    <t xml:space="preserve">satnav</t>
  </si>
  <si>
    <t xml:space="preserve">loingseoireacht satailíte [m]</t>
  </si>
  <si>
    <t xml:space="preserve">V0226</t>
  </si>
  <si>
    <t xml:space="preserve">luch, luchóg</t>
  </si>
  <si>
    <t xml:space="preserve">mouse</t>
  </si>
  <si>
    <t xml:space="preserve">luch [m], luchóg</t>
  </si>
  <si>
    <t xml:space="preserve">V0227</t>
  </si>
  <si>
    <t xml:space="preserve">méarchlár</t>
  </si>
  <si>
    <t xml:space="preserve">keyboard</t>
  </si>
  <si>
    <t xml:space="preserve">méarchlár [m]</t>
  </si>
  <si>
    <t xml:space="preserve">V0228</t>
  </si>
  <si>
    <t xml:space="preserve">nasc</t>
  </si>
  <si>
    <t xml:space="preserve">link</t>
  </si>
  <si>
    <t xml:space="preserve">V0229</t>
  </si>
  <si>
    <t xml:space="preserve">nóta tráchta</t>
  </si>
  <si>
    <t xml:space="preserve">comment</t>
  </si>
  <si>
    <t xml:space="preserve">nóta tráchta [m]</t>
  </si>
  <si>
    <t xml:space="preserve">V0230</t>
  </si>
  <si>
    <t xml:space="preserve">nuachtán, páipéar nuachta</t>
  </si>
  <si>
    <t xml:space="preserve">newspaper</t>
  </si>
  <si>
    <t xml:space="preserve">nuachtán, páipéar nuachta [m]</t>
  </si>
  <si>
    <t xml:space="preserve">V0231</t>
  </si>
  <si>
    <t xml:space="preserve">pasfhocal</t>
  </si>
  <si>
    <t xml:space="preserve">password</t>
  </si>
  <si>
    <t xml:space="preserve">pasfhocal [m]</t>
  </si>
  <si>
    <t xml:space="preserve">V0232</t>
  </si>
  <si>
    <t xml:space="preserve">printéir</t>
  </si>
  <si>
    <t xml:space="preserve">printer</t>
  </si>
  <si>
    <t xml:space="preserve">printéir [m]</t>
  </si>
  <si>
    <t xml:space="preserve">V0233</t>
  </si>
  <si>
    <t xml:space="preserve">pobal</t>
  </si>
  <si>
    <t xml:space="preserve">community</t>
  </si>
  <si>
    <t xml:space="preserve">pobal [m]</t>
  </si>
  <si>
    <t xml:space="preserve">V0234</t>
  </si>
  <si>
    <t xml:space="preserve">podchraoladh</t>
  </si>
  <si>
    <t xml:space="preserve">podcast</t>
  </si>
  <si>
    <t xml:space="preserve">podchraoladh [m]</t>
  </si>
  <si>
    <t xml:space="preserve">V0235</t>
  </si>
  <si>
    <t xml:space="preserve">raidió</t>
  </si>
  <si>
    <t xml:space="preserve">radio</t>
  </si>
  <si>
    <t xml:space="preserve">raidió [m]</t>
  </si>
  <si>
    <t xml:space="preserve">V0236</t>
  </si>
  <si>
    <t xml:space="preserve">ríomhaire</t>
  </si>
  <si>
    <t xml:space="preserve">computer</t>
  </si>
  <si>
    <t xml:space="preserve">ríomhaire [m]</t>
  </si>
  <si>
    <t xml:space="preserve">V0237</t>
  </si>
  <si>
    <t xml:space="preserve">ríomhaire glúine</t>
  </si>
  <si>
    <t xml:space="preserve">laptop</t>
  </si>
  <si>
    <t xml:space="preserve">ríomhaire glúine [m]</t>
  </si>
  <si>
    <t xml:space="preserve">V0238</t>
  </si>
  <si>
    <t xml:space="preserve">ríomhaireacht</t>
  </si>
  <si>
    <t xml:space="preserve">computing</t>
  </si>
  <si>
    <t xml:space="preserve">V0239</t>
  </si>
  <si>
    <t xml:space="preserve">ríomhphost</t>
  </si>
  <si>
    <t xml:space="preserve">email</t>
  </si>
  <si>
    <t xml:space="preserve">ríomhphost [m]</t>
  </si>
  <si>
    <t xml:space="preserve">V0240</t>
  </si>
  <si>
    <t xml:space="preserve">saor</t>
  </si>
  <si>
    <t xml:space="preserve">free</t>
  </si>
  <si>
    <t xml:space="preserve">V0241</t>
  </si>
  <si>
    <t xml:space="preserve">scáileán</t>
  </si>
  <si>
    <t xml:space="preserve">screen</t>
  </si>
  <si>
    <t xml:space="preserve">scáileán [m]</t>
  </si>
  <si>
    <t xml:space="preserve">V0242</t>
  </si>
  <si>
    <t xml:space="preserve">scairt (ghutháin)</t>
  </si>
  <si>
    <t xml:space="preserve">(phone) call</t>
  </si>
  <si>
    <t xml:space="preserve">V0243</t>
  </si>
  <si>
    <t xml:space="preserve">scannán</t>
  </si>
  <si>
    <t xml:space="preserve">film</t>
  </si>
  <si>
    <t xml:space="preserve">scannán [m]</t>
  </si>
  <si>
    <t xml:space="preserve">V0244</t>
  </si>
  <si>
    <t xml:space="preserve">seinnteoir DVD</t>
  </si>
  <si>
    <t xml:space="preserve">DVD player</t>
  </si>
  <si>
    <t xml:space="preserve">seinnteoir DVD [m]</t>
  </si>
  <si>
    <t xml:space="preserve">V0245</t>
  </si>
  <si>
    <t xml:space="preserve">seinnteoir MP3</t>
  </si>
  <si>
    <t xml:space="preserve">MP3 player</t>
  </si>
  <si>
    <t xml:space="preserve">seinnteoir MP3 [m]</t>
  </si>
  <si>
    <t xml:space="preserve">V0246</t>
  </si>
  <si>
    <t xml:space="preserve">seinnteoir dlúthdhioscaí</t>
  </si>
  <si>
    <t xml:space="preserve">CD player</t>
  </si>
  <si>
    <t xml:space="preserve">seinnteoir dlúthdhioscaí [m]</t>
  </si>
  <si>
    <t xml:space="preserve">V0247</t>
  </si>
  <si>
    <t xml:space="preserve">seoladh ríomhphoist</t>
  </si>
  <si>
    <t xml:space="preserve">email address</t>
  </si>
  <si>
    <t xml:space="preserve">seoladh ríomhphoist [m]</t>
  </si>
  <si>
    <t xml:space="preserve">V0248</t>
  </si>
  <si>
    <t xml:space="preserve">snáithe plé</t>
  </si>
  <si>
    <t xml:space="preserve">discussion thread</t>
  </si>
  <si>
    <t xml:space="preserve">snáithe plé [m]</t>
  </si>
  <si>
    <t xml:space="preserve">V0249</t>
  </si>
  <si>
    <t xml:space="preserve">stádas cothrom le dáta</t>
  </si>
  <si>
    <t xml:space="preserve">status update</t>
  </si>
  <si>
    <t xml:space="preserve">stádas cothrom le dáta [m]</t>
  </si>
  <si>
    <t xml:space="preserve">V0250</t>
  </si>
  <si>
    <t xml:space="preserve">suíomh (idirlín), láithreán gréasáin</t>
  </si>
  <si>
    <t xml:space="preserve">website</t>
  </si>
  <si>
    <t xml:space="preserve">suíomh (idirlín), láithreán gréasáin [m]</t>
  </si>
  <si>
    <t xml:space="preserve">V0251</t>
  </si>
  <si>
    <t xml:space="preserve">táibléad</t>
  </si>
  <si>
    <t xml:space="preserve">tablet</t>
  </si>
  <si>
    <t xml:space="preserve">táibléad [m]</t>
  </si>
  <si>
    <t xml:space="preserve">V0252</t>
  </si>
  <si>
    <t xml:space="preserve">téacstheachtaireacht, teachtaireacht téacs</t>
  </si>
  <si>
    <t xml:space="preserve">(text) message</t>
  </si>
  <si>
    <t xml:space="preserve">V0253</t>
  </si>
  <si>
    <t xml:space="preserve">teagmhálaí</t>
  </si>
  <si>
    <t xml:space="preserve">contact</t>
  </si>
  <si>
    <t xml:space="preserve">teagmhálaí [m]</t>
  </si>
  <si>
    <t xml:space="preserve">V0254</t>
  </si>
  <si>
    <t xml:space="preserve">teileafón, fón, guthán</t>
  </si>
  <si>
    <t xml:space="preserve">telephone</t>
  </si>
  <si>
    <t xml:space="preserve">teileafón, fón, guthán [m]</t>
  </si>
  <si>
    <t xml:space="preserve">V0255</t>
  </si>
  <si>
    <t xml:space="preserve">teilifís, teilifíseán</t>
  </si>
  <si>
    <t xml:space="preserve">television</t>
  </si>
  <si>
    <t xml:space="preserve">V0256</t>
  </si>
  <si>
    <t xml:space="preserve">téip</t>
  </si>
  <si>
    <t xml:space="preserve">tape</t>
  </si>
  <si>
    <t xml:space="preserve">V0257</t>
  </si>
  <si>
    <t xml:space="preserve">téipthaifeadán</t>
  </si>
  <si>
    <t xml:space="preserve">tape recorder</t>
  </si>
  <si>
    <t xml:space="preserve">téipthaifeadán [m]</t>
  </si>
  <si>
    <t xml:space="preserve">V0258</t>
  </si>
  <si>
    <t xml:space="preserve">úsáideoir (idirlín)</t>
  </si>
  <si>
    <t xml:space="preserve">(internet) user</t>
  </si>
  <si>
    <t xml:space="preserve">úsáideoir (idirlín) [m]</t>
  </si>
  <si>
    <t xml:space="preserve">V0259</t>
  </si>
  <si>
    <t xml:space="preserve">cláraigh (ag clárú)</t>
  </si>
  <si>
    <t xml:space="preserve">cláraigh</t>
  </si>
  <si>
    <t xml:space="preserve">ag clárú</t>
  </si>
  <si>
    <t xml:space="preserve">to register (registering)</t>
  </si>
  <si>
    <t xml:space="preserve">V0260</t>
  </si>
  <si>
    <t xml:space="preserve">cliceáil (ag cliceáil)</t>
  </si>
  <si>
    <t xml:space="preserve">cliceáil</t>
  </si>
  <si>
    <t xml:space="preserve">ag cliceáil</t>
  </si>
  <si>
    <t xml:space="preserve">to click (clicking)</t>
  </si>
  <si>
    <t xml:space="preserve">V0261</t>
  </si>
  <si>
    <t xml:space="preserve">clóscríobh (ag clóscríobh)</t>
  </si>
  <si>
    <t xml:space="preserve">clóscríobh</t>
  </si>
  <si>
    <t xml:space="preserve">ag clóscríobh</t>
  </si>
  <si>
    <t xml:space="preserve">to type (typing)</t>
  </si>
  <si>
    <t xml:space="preserve">V0262</t>
  </si>
  <si>
    <t xml:space="preserve">cóipeáil (ag cóipeáil)</t>
  </si>
  <si>
    <t xml:space="preserve">cóipeáil</t>
  </si>
  <si>
    <t xml:space="preserve">ag cóipeáil</t>
  </si>
  <si>
    <t xml:space="preserve">to copy (copying)</t>
  </si>
  <si>
    <t xml:space="preserve">V0263</t>
  </si>
  <si>
    <t xml:space="preserve">cuir teachtaireacht (ag cur teachtaireachta)</t>
  </si>
  <si>
    <t xml:space="preserve">cuir teachtaireacht</t>
  </si>
  <si>
    <t xml:space="preserve">ag cur teachtaireachta</t>
  </si>
  <si>
    <t xml:space="preserve">to send a message (sending a message)</t>
  </si>
  <si>
    <t xml:space="preserve">V0264</t>
  </si>
  <si>
    <t xml:space="preserve">déan cara (ag déanamh carad)</t>
  </si>
  <si>
    <t xml:space="preserve">déan cara</t>
  </si>
  <si>
    <t xml:space="preserve">ag déanamh carad</t>
  </si>
  <si>
    <t xml:space="preserve">to friend (friending)</t>
  </si>
  <si>
    <t xml:space="preserve">V0265</t>
  </si>
  <si>
    <t xml:space="preserve">dóigh (ag dó)</t>
  </si>
  <si>
    <t xml:space="preserve">dóigh</t>
  </si>
  <si>
    <t xml:space="preserve">ag dó</t>
  </si>
  <si>
    <t xml:space="preserve">to burn (a disc)</t>
  </si>
  <si>
    <t xml:space="preserve">V0266</t>
  </si>
  <si>
    <t xml:space="preserve">glaoigh (ag glaoch)</t>
  </si>
  <si>
    <t xml:space="preserve">glaoigh</t>
  </si>
  <si>
    <t xml:space="preserve">ag glaoch</t>
  </si>
  <si>
    <t xml:space="preserve">to call (calling)</t>
  </si>
  <si>
    <t xml:space="preserve">V0267</t>
  </si>
  <si>
    <t xml:space="preserve">íoslaghdaigh (ag íoslaghdú)</t>
  </si>
  <si>
    <t xml:space="preserve">íoslaghdaigh</t>
  </si>
  <si>
    <t xml:space="preserve">ag íoslaghdú</t>
  </si>
  <si>
    <t xml:space="preserve">to minimise (minimising)</t>
  </si>
  <si>
    <t xml:space="preserve">V0268</t>
  </si>
  <si>
    <t xml:space="preserve">las (ag lasadh)</t>
  </si>
  <si>
    <t xml:space="preserve">las</t>
  </si>
  <si>
    <t xml:space="preserve">ag lasadh</t>
  </si>
  <si>
    <t xml:space="preserve">to switch on (switching on)</t>
  </si>
  <si>
    <t xml:space="preserve">V0269</t>
  </si>
  <si>
    <t xml:space="preserve">lean (ag leanúint)</t>
  </si>
  <si>
    <t xml:space="preserve">lean</t>
  </si>
  <si>
    <t xml:space="preserve">ag leanúint</t>
  </si>
  <si>
    <t xml:space="preserve">to follow (following)</t>
  </si>
  <si>
    <t xml:space="preserve">V0270</t>
  </si>
  <si>
    <t xml:space="preserve">logáil isteach/amach (ag logáil isteach/ amach)</t>
  </si>
  <si>
    <t xml:space="preserve">logáil isteach/amach</t>
  </si>
  <si>
    <t xml:space="preserve">ag logáil isteach/ amach</t>
  </si>
  <si>
    <t xml:space="preserve">to log in/out (logging in/out)</t>
  </si>
  <si>
    <t xml:space="preserve">V0271</t>
  </si>
  <si>
    <t xml:space="preserve">múch (ag múchadh)</t>
  </si>
  <si>
    <t xml:space="preserve">múch</t>
  </si>
  <si>
    <t xml:space="preserve">ag múchadh</t>
  </si>
  <si>
    <t xml:space="preserve">to switch off (switching off)</t>
  </si>
  <si>
    <t xml:space="preserve">V0272</t>
  </si>
  <si>
    <t xml:space="preserve">V0273</t>
  </si>
  <si>
    <t xml:space="preserve">uaslódáil (ag uaslódáil)</t>
  </si>
  <si>
    <t xml:space="preserve">uaslódáil</t>
  </si>
  <si>
    <t xml:space="preserve">ag uaslódáil</t>
  </si>
  <si>
    <t xml:space="preserve">to upload (uploading)</t>
  </si>
  <si>
    <t xml:space="preserve">V0274</t>
  </si>
  <si>
    <t xml:space="preserve">New technology</t>
  </si>
  <si>
    <t xml:space="preserve">V0275</t>
  </si>
  <si>
    <t xml:space="preserve">ardghléine</t>
  </si>
  <si>
    <t xml:space="preserve">HD (high definition)</t>
  </si>
  <si>
    <t xml:space="preserve">ardghléine [m]</t>
  </si>
  <si>
    <t xml:space="preserve">V0276</t>
  </si>
  <si>
    <t xml:space="preserve">V0277</t>
  </si>
  <si>
    <t xml:space="preserve">V0278</t>
  </si>
  <si>
    <t xml:space="preserve">bogearraí [m]</t>
  </si>
  <si>
    <t xml:space="preserve">V0279</t>
  </si>
  <si>
    <t xml:space="preserve">V0280</t>
  </si>
  <si>
    <t xml:space="preserve">V0281</t>
  </si>
  <si>
    <t xml:space="preserve">V0282</t>
  </si>
  <si>
    <t xml:space="preserve">V0283</t>
  </si>
  <si>
    <t xml:space="preserve">V0284</t>
  </si>
  <si>
    <t xml:space="preserve">V0285</t>
  </si>
  <si>
    <t xml:space="preserve">cóirithe le</t>
  </si>
  <si>
    <t xml:space="preserve">equipped with</t>
  </si>
  <si>
    <t xml:space="preserve">V0286</t>
  </si>
  <si>
    <t xml:space="preserve">V0287</t>
  </si>
  <si>
    <t xml:space="preserve">dear</t>
  </si>
  <si>
    <t xml:space="preserve">V0288</t>
  </si>
  <si>
    <t xml:space="preserve">V0289</t>
  </si>
  <si>
    <t xml:space="preserve">V0290</t>
  </si>
  <si>
    <t xml:space="preserve">V0291</t>
  </si>
  <si>
    <t xml:space="preserve">prepaidphone</t>
  </si>
  <si>
    <t xml:space="preserve">V0292</t>
  </si>
  <si>
    <t xml:space="preserve">V0293</t>
  </si>
  <si>
    <t xml:space="preserve">V0294</t>
  </si>
  <si>
    <t xml:space="preserve">V0295</t>
  </si>
  <si>
    <t xml:space="preserve">V0296</t>
  </si>
  <si>
    <t xml:space="preserve">V0297</t>
  </si>
  <si>
    <t xml:space="preserve">V0298</t>
  </si>
  <si>
    <t xml:space="preserve">V0299</t>
  </si>
  <si>
    <t xml:space="preserve">(social) network</t>
  </si>
  <si>
    <t xml:space="preserve">V0300</t>
  </si>
  <si>
    <t xml:space="preserve">V0301</t>
  </si>
  <si>
    <t xml:space="preserve">luch [m], luchóg [nf]</t>
  </si>
  <si>
    <t xml:space="preserve">V0302</t>
  </si>
  <si>
    <t xml:space="preserve">V0303</t>
  </si>
  <si>
    <t xml:space="preserve">V0304</t>
  </si>
  <si>
    <t xml:space="preserve">V0305</t>
  </si>
  <si>
    <t xml:space="preserve">V0306</t>
  </si>
  <si>
    <t xml:space="preserve">V0307</t>
  </si>
  <si>
    <t xml:space="preserve">V0308</t>
  </si>
  <si>
    <t xml:space="preserve">V0309</t>
  </si>
  <si>
    <t xml:space="preserve">V0310</t>
  </si>
  <si>
    <t xml:space="preserve">V0311</t>
  </si>
  <si>
    <t xml:space="preserve">V0312</t>
  </si>
  <si>
    <t xml:space="preserve">V0313</t>
  </si>
  <si>
    <t xml:space="preserve">call (phone call)</t>
  </si>
  <si>
    <t xml:space="preserve">V0314</t>
  </si>
  <si>
    <t xml:space="preserve">V0315</t>
  </si>
  <si>
    <t xml:space="preserve">V0316</t>
  </si>
  <si>
    <t xml:space="preserve">V0317</t>
  </si>
  <si>
    <t xml:space="preserve">V0318</t>
  </si>
  <si>
    <t xml:space="preserve">V0319</t>
  </si>
  <si>
    <t xml:space="preserve">V0320</t>
  </si>
  <si>
    <t xml:space="preserve">téacstheachtaireacht, teachtaireacht téacs (text) message</t>
  </si>
  <si>
    <t xml:space="preserve">English missing in the source layout; entry may be split across two rows.</t>
  </si>
  <si>
    <t xml:space="preserve">V0321</t>
  </si>
  <si>
    <t xml:space="preserve">V0322</t>
  </si>
  <si>
    <t xml:space="preserve">V0323</t>
  </si>
  <si>
    <t xml:space="preserve">V0324</t>
  </si>
  <si>
    <t xml:space="preserve">téip, fístéip</t>
  </si>
  <si>
    <t xml:space="preserve">tape, video</t>
  </si>
  <si>
    <t xml:space="preserve">V0325</t>
  </si>
  <si>
    <t xml:space="preserve">V0326</t>
  </si>
  <si>
    <t xml:space="preserve">V0327</t>
  </si>
  <si>
    <t xml:space="preserve">V0328</t>
  </si>
  <si>
    <t xml:space="preserve">V0329</t>
  </si>
  <si>
    <t xml:space="preserve">V0330</t>
  </si>
  <si>
    <t xml:space="preserve">V0331</t>
  </si>
  <si>
    <t xml:space="preserve">V0332</t>
  </si>
  <si>
    <t xml:space="preserve">cuir (ag cur) teachtaireacht</t>
  </si>
  <si>
    <t xml:space="preserve">ag cur</t>
  </si>
  <si>
    <t xml:space="preserve">to send (sending) a message</t>
  </si>
  <si>
    <t xml:space="preserve">V0333</t>
  </si>
  <si>
    <t xml:space="preserve">déan (ag déanamh) cara</t>
  </si>
  <si>
    <t xml:space="preserve">ag déanamh</t>
  </si>
  <si>
    <t xml:space="preserve">V0334</t>
  </si>
  <si>
    <t xml:space="preserve">to burn (burning) (a disc)</t>
  </si>
  <si>
    <t xml:space="preserve">V0335</t>
  </si>
  <si>
    <t xml:space="preserve">to call (calling) (phone)</t>
  </si>
  <si>
    <t xml:space="preserve">V0336</t>
  </si>
  <si>
    <t xml:space="preserve">V0337</t>
  </si>
  <si>
    <t xml:space="preserve">to switch on, to light (switching on, lighting)</t>
  </si>
  <si>
    <t xml:space="preserve">V0338</t>
  </si>
  <si>
    <t xml:space="preserve">V0339</t>
  </si>
  <si>
    <t xml:space="preserve">V0340</t>
  </si>
  <si>
    <t xml:space="preserve">priontáil (ag priontáil)</t>
  </si>
  <si>
    <t xml:space="preserve">priontáil</t>
  </si>
  <si>
    <t xml:space="preserve">ag priontáil</t>
  </si>
  <si>
    <t xml:space="preserve">print (printing)</t>
  </si>
  <si>
    <t xml:space="preserve">V0341</t>
  </si>
  <si>
    <t xml:space="preserve">ábalta</t>
  </si>
  <si>
    <t xml:space="preserve">able, capable</t>
  </si>
  <si>
    <t xml:space="preserve">Free time and leisure</t>
  </si>
  <si>
    <t xml:space="preserve">V0342</t>
  </si>
  <si>
    <t xml:space="preserve">abhaile</t>
  </si>
  <si>
    <t xml:space="preserve">home</t>
  </si>
  <si>
    <t xml:space="preserve">V0343</t>
  </si>
  <si>
    <t xml:space="preserve">Aifreann</t>
  </si>
  <si>
    <t xml:space="preserve">Mass</t>
  </si>
  <si>
    <t xml:space="preserve">Aifreann [m]</t>
  </si>
  <si>
    <t xml:space="preserve">V0344</t>
  </si>
  <si>
    <t xml:space="preserve">airgead</t>
  </si>
  <si>
    <t xml:space="preserve">money, silver</t>
  </si>
  <si>
    <t xml:space="preserve">airgead [m]</t>
  </si>
  <si>
    <t xml:space="preserve">V0345</t>
  </si>
  <si>
    <t xml:space="preserve">áirithe</t>
  </si>
  <si>
    <t xml:space="preserve">certainty</t>
  </si>
  <si>
    <t xml:space="preserve">V0346</t>
  </si>
  <si>
    <t xml:space="preserve">áis</t>
  </si>
  <si>
    <t xml:space="preserve">facility, convenience</t>
  </si>
  <si>
    <t xml:space="preserve">V0347</t>
  </si>
  <si>
    <t xml:space="preserve">allas</t>
  </si>
  <si>
    <t xml:space="preserve">sweat</t>
  </si>
  <si>
    <t xml:space="preserve">allas [m]</t>
  </si>
  <si>
    <t xml:space="preserve">V0348</t>
  </si>
  <si>
    <t xml:space="preserve">alt</t>
  </si>
  <si>
    <t xml:space="preserve">article</t>
  </si>
  <si>
    <t xml:space="preserve">alt [m]</t>
  </si>
  <si>
    <t xml:space="preserve">V0349</t>
  </si>
  <si>
    <t xml:space="preserve">am</t>
  </si>
  <si>
    <t xml:space="preserve">time</t>
  </si>
  <si>
    <t xml:space="preserve">am [m]</t>
  </si>
  <si>
    <t xml:space="preserve">V0350</t>
  </si>
  <si>
    <t xml:space="preserve">amach</t>
  </si>
  <si>
    <t xml:space="preserve">out</t>
  </si>
  <si>
    <t xml:space="preserve">V0351</t>
  </si>
  <si>
    <t xml:space="preserve">amárach</t>
  </si>
  <si>
    <t xml:space="preserve">tomorrow</t>
  </si>
  <si>
    <t xml:space="preserve">V0352</t>
  </si>
  <si>
    <t xml:space="preserve">amharclann</t>
  </si>
  <si>
    <t xml:space="preserve">theatre</t>
  </si>
  <si>
    <t xml:space="preserve">V0353</t>
  </si>
  <si>
    <t xml:space="preserve">amhrán</t>
  </si>
  <si>
    <t xml:space="preserve">song</t>
  </si>
  <si>
    <t xml:space="preserve">amhrán [m]</t>
  </si>
  <si>
    <t xml:space="preserve">V0354</t>
  </si>
  <si>
    <t xml:space="preserve">amhránaí</t>
  </si>
  <si>
    <t xml:space="preserve">singer</t>
  </si>
  <si>
    <t xml:space="preserve">amhránaí [m]</t>
  </si>
  <si>
    <t xml:space="preserve">V0355</t>
  </si>
  <si>
    <t xml:space="preserve">aníos</t>
  </si>
  <si>
    <t xml:space="preserve">up (from below)</t>
  </si>
  <si>
    <t xml:space="preserve">V0356</t>
  </si>
  <si>
    <t xml:space="preserve">anois</t>
  </si>
  <si>
    <t xml:space="preserve">now</t>
  </si>
  <si>
    <t xml:space="preserve">V0357</t>
  </si>
  <si>
    <t xml:space="preserve">ansin</t>
  </si>
  <si>
    <t xml:space="preserve">there, then</t>
  </si>
  <si>
    <t xml:space="preserve">V0358</t>
  </si>
  <si>
    <t xml:space="preserve">anuas</t>
  </si>
  <si>
    <t xml:space="preserve">down (from above)</t>
  </si>
  <si>
    <t xml:space="preserve">V0359</t>
  </si>
  <si>
    <t xml:space="preserve">anuraidh</t>
  </si>
  <si>
    <t xml:space="preserve">last year</t>
  </si>
  <si>
    <t xml:space="preserve">V0360</t>
  </si>
  <si>
    <t xml:space="preserve">aonach</t>
  </si>
  <si>
    <t xml:space="preserve">aonach [m]</t>
  </si>
  <si>
    <t xml:space="preserve">V0361</t>
  </si>
  <si>
    <t xml:space="preserve">ar dóigh</t>
  </si>
  <si>
    <t xml:space="preserve">excellent</t>
  </si>
  <si>
    <t xml:space="preserve">V0362</t>
  </si>
  <si>
    <t xml:space="preserve">ar dtús</t>
  </si>
  <si>
    <t xml:space="preserve">at first</t>
  </si>
  <si>
    <t xml:space="preserve">V0363</t>
  </si>
  <si>
    <t xml:space="preserve">ar feadh</t>
  </si>
  <si>
    <t xml:space="preserve">during</t>
  </si>
  <si>
    <t xml:space="preserve">V0364</t>
  </si>
  <si>
    <t xml:space="preserve">V0365</t>
  </si>
  <si>
    <t xml:space="preserve">ardán</t>
  </si>
  <si>
    <t xml:space="preserve">stage</t>
  </si>
  <si>
    <t xml:space="preserve">ardán [m]</t>
  </si>
  <si>
    <t xml:space="preserve">V0366</t>
  </si>
  <si>
    <t xml:space="preserve">aréir</t>
  </si>
  <si>
    <t xml:space="preserve">last night</t>
  </si>
  <si>
    <t xml:space="preserve">V0367</t>
  </si>
  <si>
    <t xml:space="preserve">arís</t>
  </si>
  <si>
    <t xml:space="preserve">again</t>
  </si>
  <si>
    <t xml:space="preserve">V0368</t>
  </si>
  <si>
    <t xml:space="preserve">arú amárach</t>
  </si>
  <si>
    <t xml:space="preserve">the day after tomorrow</t>
  </si>
  <si>
    <t xml:space="preserve">V0369</t>
  </si>
  <si>
    <t xml:space="preserve">arú inné</t>
  </si>
  <si>
    <t xml:space="preserve">the day before yesterday</t>
  </si>
  <si>
    <t xml:space="preserve">V0370</t>
  </si>
  <si>
    <t xml:space="preserve">bád</t>
  </si>
  <si>
    <t xml:space="preserve">boat</t>
  </si>
  <si>
    <t xml:space="preserve">bád [m]</t>
  </si>
  <si>
    <t xml:space="preserve">V0371</t>
  </si>
  <si>
    <t xml:space="preserve">bainisteoir</t>
  </si>
  <si>
    <t xml:space="preserve">manager</t>
  </si>
  <si>
    <t xml:space="preserve">bainisteoir [m]</t>
  </si>
  <si>
    <t xml:space="preserve">V0372</t>
  </si>
  <si>
    <t xml:space="preserve">ball</t>
  </si>
  <si>
    <t xml:space="preserve">organ (of body), member</t>
  </si>
  <si>
    <t xml:space="preserve">ball [m]</t>
  </si>
  <si>
    <t xml:space="preserve">V0373</t>
  </si>
  <si>
    <t xml:space="preserve">banna ceoil/grúpa ceoil</t>
  </si>
  <si>
    <t xml:space="preserve">band</t>
  </si>
  <si>
    <t xml:space="preserve">banna ceoil/grúpa ceoil [m]</t>
  </si>
  <si>
    <t xml:space="preserve">V0374</t>
  </si>
  <si>
    <t xml:space="preserve">bata</t>
  </si>
  <si>
    <t xml:space="preserve">stick</t>
  </si>
  <si>
    <t xml:space="preserve">bata [m]</t>
  </si>
  <si>
    <t xml:space="preserve">V0375</t>
  </si>
  <si>
    <t xml:space="preserve">bealach teilifíse</t>
  </si>
  <si>
    <t xml:space="preserve">TV channel</t>
  </si>
  <si>
    <t xml:space="preserve">bealach teilifíse [m]</t>
  </si>
  <si>
    <t xml:space="preserve">V0376</t>
  </si>
  <si>
    <t xml:space="preserve">béile</t>
  </si>
  <si>
    <t xml:space="preserve">meal</t>
  </si>
  <si>
    <t xml:space="preserve">béile [m]</t>
  </si>
  <si>
    <t xml:space="preserve">V0377</t>
  </si>
  <si>
    <t xml:space="preserve">V0378</t>
  </si>
  <si>
    <t xml:space="preserve">bonn</t>
  </si>
  <si>
    <t xml:space="preserve">coin</t>
  </si>
  <si>
    <t xml:space="preserve">bonn [m]</t>
  </si>
  <si>
    <t xml:space="preserve">V0379</t>
  </si>
  <si>
    <t xml:space="preserve">bosca</t>
  </si>
  <si>
    <t xml:space="preserve">box</t>
  </si>
  <si>
    <t xml:space="preserve">bosca [m]</t>
  </si>
  <si>
    <t xml:space="preserve">V0380</t>
  </si>
  <si>
    <t xml:space="preserve">bosca ceoil</t>
  </si>
  <si>
    <t xml:space="preserve">melodeon</t>
  </si>
  <si>
    <t xml:space="preserve">bosca ceoil [m]</t>
  </si>
  <si>
    <t xml:space="preserve">V0381</t>
  </si>
  <si>
    <t xml:space="preserve">bréagán</t>
  </si>
  <si>
    <t xml:space="preserve">toy</t>
  </si>
  <si>
    <t xml:space="preserve">bréagán [m]</t>
  </si>
  <si>
    <t xml:space="preserve">V0382</t>
  </si>
  <si>
    <t xml:space="preserve">bricfeasta</t>
  </si>
  <si>
    <t xml:space="preserve">breakfast</t>
  </si>
  <si>
    <t xml:space="preserve">bricfeasta [m]</t>
  </si>
  <si>
    <t xml:space="preserve">V0383</t>
  </si>
  <si>
    <t xml:space="preserve">buail (ag bualadh)</t>
  </si>
  <si>
    <t xml:space="preserve">hit (hitting)</t>
  </si>
  <si>
    <t xml:space="preserve">V0384</t>
  </si>
  <si>
    <t xml:space="preserve">buail le (ag bualadh le)</t>
  </si>
  <si>
    <t xml:space="preserve">buail le</t>
  </si>
  <si>
    <t xml:space="preserve">ag bualadh le</t>
  </si>
  <si>
    <t xml:space="preserve">V0385</t>
  </si>
  <si>
    <t xml:space="preserve">V0386</t>
  </si>
  <si>
    <t xml:space="preserve">caitheamh aimsire</t>
  </si>
  <si>
    <t xml:space="preserve">pastime, hobby</t>
  </si>
  <si>
    <t xml:space="preserve">caitheamh aimsire [m]</t>
  </si>
  <si>
    <t xml:space="preserve">V0387</t>
  </si>
  <si>
    <t xml:space="preserve">camán</t>
  </si>
  <si>
    <t xml:space="preserve">hurling stick</t>
  </si>
  <si>
    <t xml:space="preserve">camán [m]</t>
  </si>
  <si>
    <t xml:space="preserve">V0388</t>
  </si>
  <si>
    <t xml:space="preserve">camógaíocht</t>
  </si>
  <si>
    <t xml:space="preserve">camogie</t>
  </si>
  <si>
    <t xml:space="preserve">V0389</t>
  </si>
  <si>
    <t xml:space="preserve">captaen</t>
  </si>
  <si>
    <t xml:space="preserve">captain</t>
  </si>
  <si>
    <t xml:space="preserve">captaen [m]</t>
  </si>
  <si>
    <t xml:space="preserve">V0390</t>
  </si>
  <si>
    <t xml:space="preserve">cartún</t>
  </si>
  <si>
    <t xml:space="preserve">cartoon</t>
  </si>
  <si>
    <t xml:space="preserve">cartún [m]</t>
  </si>
  <si>
    <t xml:space="preserve">V0391</t>
  </si>
  <si>
    <t xml:space="preserve">cead (isteach)</t>
  </si>
  <si>
    <t xml:space="preserve">permission (right to enter, access)</t>
  </si>
  <si>
    <t xml:space="preserve">cead (isteach) [m]</t>
  </si>
  <si>
    <t xml:space="preserve">V0392</t>
  </si>
  <si>
    <t xml:space="preserve">ceannaigh</t>
  </si>
  <si>
    <t xml:space="preserve">to buy</t>
  </si>
  <si>
    <t xml:space="preserve">V0393</t>
  </si>
  <si>
    <t xml:space="preserve">ceol/rac-cheol/rapcheol/popcheol/ ceol clasaiceach</t>
  </si>
  <si>
    <t xml:space="preserve">music/rock/rap/pop music/classical music</t>
  </si>
  <si>
    <t xml:space="preserve">ceol/rac-cheol/rapcheol/popcheol/ ceol clasaiceach [m]</t>
  </si>
  <si>
    <t xml:space="preserve">V0394</t>
  </si>
  <si>
    <t xml:space="preserve">ceolchoirm, coirm cheoil</t>
  </si>
  <si>
    <t xml:space="preserve">concert</t>
  </si>
  <si>
    <t xml:space="preserve">V0395</t>
  </si>
  <si>
    <t xml:space="preserve">ceoltóir</t>
  </si>
  <si>
    <t xml:space="preserve">musician, singer</t>
  </si>
  <si>
    <t xml:space="preserve">ceoltóir [m]</t>
  </si>
  <si>
    <t xml:space="preserve">V0396</t>
  </si>
  <si>
    <t xml:space="preserve">cic</t>
  </si>
  <si>
    <t xml:space="preserve">kick</t>
  </si>
  <si>
    <t xml:space="preserve">cic [m]</t>
  </si>
  <si>
    <t xml:space="preserve">V0397</t>
  </si>
  <si>
    <t xml:space="preserve">cispheil</t>
  </si>
  <si>
    <t xml:space="preserve">basketball</t>
  </si>
  <si>
    <t xml:space="preserve">V0398</t>
  </si>
  <si>
    <t xml:space="preserve">cláirnéid</t>
  </si>
  <si>
    <t xml:space="preserve">clarinet</t>
  </si>
  <si>
    <t xml:space="preserve">cláirnéid [m]</t>
  </si>
  <si>
    <t xml:space="preserve">V0399</t>
  </si>
  <si>
    <t xml:space="preserve">clár/clár spórt/ clár faisnéise/clár do pháistí</t>
  </si>
  <si>
    <t xml:space="preserve">programme, sports programme, documentary, children’s programme</t>
  </si>
  <si>
    <t xml:space="preserve">clár/clár spórt/ clár faisnéise/clár do pháistí [m]</t>
  </si>
  <si>
    <t xml:space="preserve">V0400</t>
  </si>
  <si>
    <t xml:space="preserve">clárscátáil</t>
  </si>
  <si>
    <t xml:space="preserve">skateboarding</t>
  </si>
  <si>
    <t xml:space="preserve">V0401</t>
  </si>
  <si>
    <t xml:space="preserve">cleachtadh</t>
  </si>
  <si>
    <t xml:space="preserve">practice, training</t>
  </si>
  <si>
    <t xml:space="preserve">cleachtadh [m]</t>
  </si>
  <si>
    <t xml:space="preserve">V0402</t>
  </si>
  <si>
    <t xml:space="preserve">cluasáin, fóin chluaise</t>
  </si>
  <si>
    <t xml:space="preserve">headphones</t>
  </si>
  <si>
    <t xml:space="preserve">cluasáin, fóin chluaise [nmpl]</t>
  </si>
  <si>
    <t xml:space="preserve">V0403</t>
  </si>
  <si>
    <t xml:space="preserve">club na n-óg, club óige</t>
  </si>
  <si>
    <t xml:space="preserve">youth club</t>
  </si>
  <si>
    <t xml:space="preserve">club na n-óg, club óige [m]</t>
  </si>
  <si>
    <t xml:space="preserve">V0404</t>
  </si>
  <si>
    <t xml:space="preserve">cluiche (boird)</t>
  </si>
  <si>
    <t xml:space="preserve">match, (board) game</t>
  </si>
  <si>
    <t xml:space="preserve">cluiche (boird) [m]</t>
  </si>
  <si>
    <t xml:space="preserve">V0405</t>
  </si>
  <si>
    <t xml:space="preserve">codladh (thar oíche)</t>
  </si>
  <si>
    <t xml:space="preserve">sleep (sleepover)</t>
  </si>
  <si>
    <t xml:space="preserve">codladh [m] (thar oíche)</t>
  </si>
  <si>
    <t xml:space="preserve">V0406</t>
  </si>
  <si>
    <t xml:space="preserve">coinne</t>
  </si>
  <si>
    <t xml:space="preserve">appointment, date</t>
  </si>
  <si>
    <t xml:space="preserve">coinne [m]</t>
  </si>
  <si>
    <t xml:space="preserve">V0407</t>
  </si>
  <si>
    <t xml:space="preserve">cóisir</t>
  </si>
  <si>
    <t xml:space="preserve">party</t>
  </si>
  <si>
    <t xml:space="preserve">V0408</t>
  </si>
  <si>
    <t xml:space="preserve">comórtas</t>
  </si>
  <si>
    <t xml:space="preserve">competition, comparison</t>
  </si>
  <si>
    <t xml:space="preserve">comórtas [m]</t>
  </si>
  <si>
    <t xml:space="preserve">V0409</t>
  </si>
  <si>
    <t xml:space="preserve">craobh</t>
  </si>
  <si>
    <t xml:space="preserve">branch (of tree/organisation)</t>
  </si>
  <si>
    <t xml:space="preserve">V0410</t>
  </si>
  <si>
    <t xml:space="preserve">crosfhocal</t>
  </si>
  <si>
    <t xml:space="preserve">crossword</t>
  </si>
  <si>
    <t xml:space="preserve">crosfhocal [m]</t>
  </si>
  <si>
    <t xml:space="preserve">V0411</t>
  </si>
  <si>
    <t xml:space="preserve">cúilín</t>
  </si>
  <si>
    <t xml:space="preserve">point (in sport)</t>
  </si>
  <si>
    <t xml:space="preserve">cúilín [m]</t>
  </si>
  <si>
    <t xml:space="preserve">V0412</t>
  </si>
  <si>
    <t xml:space="preserve">cúirt</t>
  </si>
  <si>
    <t xml:space="preserve">court</t>
  </si>
  <si>
    <t xml:space="preserve">V0413</t>
  </si>
  <si>
    <t xml:space="preserve">cúl</t>
  </si>
  <si>
    <t xml:space="preserve">back, goal</t>
  </si>
  <si>
    <t xml:space="preserve">cúl [m]</t>
  </si>
  <si>
    <t xml:space="preserve">V0414</t>
  </si>
  <si>
    <t xml:space="preserve">culaith</t>
  </si>
  <si>
    <t xml:space="preserve">suit, outfit, dress</t>
  </si>
  <si>
    <t xml:space="preserve">V0415</t>
  </si>
  <si>
    <t xml:space="preserve">cumann</t>
  </si>
  <si>
    <t xml:space="preserve">club</t>
  </si>
  <si>
    <t xml:space="preserve">cumann [m]</t>
  </si>
  <si>
    <t xml:space="preserve">V0416</t>
  </si>
  <si>
    <t xml:space="preserve">damhsa</t>
  </si>
  <si>
    <t xml:space="preserve">dance, dancing</t>
  </si>
  <si>
    <t xml:space="preserve">damhsa [m]</t>
  </si>
  <si>
    <t xml:space="preserve">V0417</t>
  </si>
  <si>
    <t xml:space="preserve">deifir</t>
  </si>
  <si>
    <t xml:space="preserve">hurry</t>
  </si>
  <si>
    <t xml:space="preserve">V0418</t>
  </si>
  <si>
    <t xml:space="preserve">deireadh (seachtaine)</t>
  </si>
  <si>
    <t xml:space="preserve">end (of week, weekend)</t>
  </si>
  <si>
    <t xml:space="preserve">deireadh (seachtaine) [m]</t>
  </si>
  <si>
    <t xml:space="preserve">V0419</t>
  </si>
  <si>
    <t xml:space="preserve">V0420</t>
  </si>
  <si>
    <t xml:space="preserve">dioscó</t>
  </si>
  <si>
    <t xml:space="preserve">disco</t>
  </si>
  <si>
    <t xml:space="preserve">dioscó [m]</t>
  </si>
  <si>
    <t xml:space="preserve">V0421</t>
  </si>
  <si>
    <t xml:space="preserve">V0422</t>
  </si>
  <si>
    <t xml:space="preserve">drama</t>
  </si>
  <si>
    <t xml:space="preserve">play</t>
  </si>
  <si>
    <t xml:space="preserve">V0423</t>
  </si>
  <si>
    <t xml:space="preserve">ceoldráma</t>
  </si>
  <si>
    <t xml:space="preserve">musical, opera</t>
  </si>
  <si>
    <t xml:space="preserve">ceoldráma [m]</t>
  </si>
  <si>
    <t xml:space="preserve">V0424</t>
  </si>
  <si>
    <t xml:space="preserve">drumaí</t>
  </si>
  <si>
    <t xml:space="preserve">drums</t>
  </si>
  <si>
    <t xml:space="preserve">drumaí [mpl]</t>
  </si>
  <si>
    <t xml:space="preserve">V0425</t>
  </si>
  <si>
    <t xml:space="preserve">duais</t>
  </si>
  <si>
    <t xml:space="preserve">prize</t>
  </si>
  <si>
    <t xml:space="preserve">V0426</t>
  </si>
  <si>
    <t xml:space="preserve">dúil</t>
  </si>
  <si>
    <t xml:space="preserve">desire, interest</t>
  </si>
  <si>
    <t xml:space="preserve">V0427</t>
  </si>
  <si>
    <t xml:space="preserve">faisean</t>
  </si>
  <si>
    <t xml:space="preserve">fashion</t>
  </si>
  <si>
    <t xml:space="preserve">faisean [m]</t>
  </si>
  <si>
    <t xml:space="preserve">V0428</t>
  </si>
  <si>
    <t xml:space="preserve">feadóg stáin, feadóg mhór</t>
  </si>
  <si>
    <t xml:space="preserve">whistle, tin whistle, flute</t>
  </si>
  <si>
    <t xml:space="preserve">V0429</t>
  </si>
  <si>
    <t xml:space="preserve">ficheall</t>
  </si>
  <si>
    <t xml:space="preserve">chess</t>
  </si>
  <si>
    <t xml:space="preserve">V0430</t>
  </si>
  <si>
    <t xml:space="preserve">fidil</t>
  </si>
  <si>
    <t xml:space="preserve">fiddle, violin</t>
  </si>
  <si>
    <t xml:space="preserve">V0431</t>
  </si>
  <si>
    <t xml:space="preserve">fleá fhulachta</t>
  </si>
  <si>
    <t xml:space="preserve">barbecue</t>
  </si>
  <si>
    <t xml:space="preserve">V0432</t>
  </si>
  <si>
    <t xml:space="preserve">fógra</t>
  </si>
  <si>
    <t xml:space="preserve">notice</t>
  </si>
  <si>
    <t xml:space="preserve">fógra [m]</t>
  </si>
  <si>
    <t xml:space="preserve">V0433</t>
  </si>
  <si>
    <t xml:space="preserve">foireann</t>
  </si>
  <si>
    <t xml:space="preserve">team</t>
  </si>
  <si>
    <t xml:space="preserve">V0434</t>
  </si>
  <si>
    <t xml:space="preserve">mobile phone</t>
  </si>
  <si>
    <t xml:space="preserve">V0435</t>
  </si>
  <si>
    <t xml:space="preserve">gá</t>
  </si>
  <si>
    <t xml:space="preserve">need, requirement</t>
  </si>
  <si>
    <t xml:space="preserve">gá [m]</t>
  </si>
  <si>
    <t xml:space="preserve">V0436</t>
  </si>
  <si>
    <t xml:space="preserve">gach</t>
  </si>
  <si>
    <t xml:space="preserve">every</t>
  </si>
  <si>
    <t xml:space="preserve">V0437</t>
  </si>
  <si>
    <t xml:space="preserve">giotár</t>
  </si>
  <si>
    <t xml:space="preserve">guitar</t>
  </si>
  <si>
    <t xml:space="preserve">giotár [m]</t>
  </si>
  <si>
    <t xml:space="preserve">V0438</t>
  </si>
  <si>
    <t xml:space="preserve">glan (ag glanadh)</t>
  </si>
  <si>
    <t xml:space="preserve">glan</t>
  </si>
  <si>
    <t xml:space="preserve">ag glanadh</t>
  </si>
  <si>
    <t xml:space="preserve">to clean (cleaning)</t>
  </si>
  <si>
    <t xml:space="preserve">V0439</t>
  </si>
  <si>
    <t xml:space="preserve">gléas (ceoil)</t>
  </si>
  <si>
    <t xml:space="preserve">musical instrument</t>
  </si>
  <si>
    <t xml:space="preserve">gléas (ceoil) [m]</t>
  </si>
  <si>
    <t xml:space="preserve">V0440</t>
  </si>
  <si>
    <t xml:space="preserve">gnách (is gnách)</t>
  </si>
  <si>
    <t xml:space="preserve">usual (usually)</t>
  </si>
  <si>
    <t xml:space="preserve">V0441</t>
  </si>
  <si>
    <t xml:space="preserve">gnáth (de ghnáth)</t>
  </si>
  <si>
    <t xml:space="preserve">custom (as a rule, usually)</t>
  </si>
  <si>
    <t xml:space="preserve">gnáth (de ghnáth) [m]</t>
  </si>
  <si>
    <t xml:space="preserve">V0442</t>
  </si>
  <si>
    <t xml:space="preserve">greannán, leabhar grinn</t>
  </si>
  <si>
    <t xml:space="preserve">comic</t>
  </si>
  <si>
    <t xml:space="preserve">greannán, leabhar grinn [m]</t>
  </si>
  <si>
    <t xml:space="preserve">V0443</t>
  </si>
  <si>
    <t xml:space="preserve">grúpa</t>
  </si>
  <si>
    <t xml:space="preserve">group</t>
  </si>
  <si>
    <t xml:space="preserve">grúpa [m]</t>
  </si>
  <si>
    <t xml:space="preserve">V0444</t>
  </si>
  <si>
    <t xml:space="preserve">guth</t>
  </si>
  <si>
    <t xml:space="preserve">voice</t>
  </si>
  <si>
    <t xml:space="preserve">guth [m]</t>
  </si>
  <si>
    <t xml:space="preserve">V0445</t>
  </si>
  <si>
    <t xml:space="preserve">V0446</t>
  </si>
  <si>
    <t xml:space="preserve">i ndiaidh</t>
  </si>
  <si>
    <t xml:space="preserve">after, past (of clock)</t>
  </si>
  <si>
    <t xml:space="preserve">V0447</t>
  </si>
  <si>
    <t xml:space="preserve">i rith</t>
  </si>
  <si>
    <t xml:space="preserve">V0448</t>
  </si>
  <si>
    <t xml:space="preserve">iarnáil</t>
  </si>
  <si>
    <t xml:space="preserve">iron</t>
  </si>
  <si>
    <t xml:space="preserve">V0449</t>
  </si>
  <si>
    <t xml:space="preserve">iascaireacht</t>
  </si>
  <si>
    <t xml:space="preserve">fishing</t>
  </si>
  <si>
    <t xml:space="preserve">V0450</t>
  </si>
  <si>
    <t xml:space="preserve">imreoir</t>
  </si>
  <si>
    <t xml:space="preserve">player</t>
  </si>
  <si>
    <t xml:space="preserve">imreoir [m]</t>
  </si>
  <si>
    <t xml:space="preserve">V0451</t>
  </si>
  <si>
    <t xml:space="preserve">iománaíocht, iomáint</t>
  </si>
  <si>
    <t xml:space="preserve">hurling</t>
  </si>
  <si>
    <t xml:space="preserve">V0452</t>
  </si>
  <si>
    <t xml:space="preserve">ith (ag ithe)</t>
  </si>
  <si>
    <t xml:space="preserve">ith</t>
  </si>
  <si>
    <t xml:space="preserve">ag ithe</t>
  </si>
  <si>
    <t xml:space="preserve">to eat (eating)</t>
  </si>
  <si>
    <t xml:space="preserve">V0453</t>
  </si>
  <si>
    <t xml:space="preserve">lá (laethanta saoire)</t>
  </si>
  <si>
    <t xml:space="preserve">day (holidays)</t>
  </si>
  <si>
    <t xml:space="preserve">lá (laethanta saoire) [m]</t>
  </si>
  <si>
    <t xml:space="preserve">V0454</t>
  </si>
  <si>
    <t xml:space="preserve">leabhar</t>
  </si>
  <si>
    <t xml:space="preserve">book</t>
  </si>
  <si>
    <t xml:space="preserve">leabhar [m]</t>
  </si>
  <si>
    <t xml:space="preserve">V0455</t>
  </si>
  <si>
    <t xml:space="preserve">irisleabhar</t>
  </si>
  <si>
    <t xml:space="preserve">magazine</t>
  </si>
  <si>
    <t xml:space="preserve">irisleabhar [m]</t>
  </si>
  <si>
    <t xml:space="preserve">V0456</t>
  </si>
  <si>
    <t xml:space="preserve">leabharlann</t>
  </si>
  <si>
    <t xml:space="preserve">library</t>
  </si>
  <si>
    <t xml:space="preserve">V0457</t>
  </si>
  <si>
    <t xml:space="preserve">leadóg (thábla)</t>
  </si>
  <si>
    <t xml:space="preserve">tennis (table)</t>
  </si>
  <si>
    <t xml:space="preserve">V0458</t>
  </si>
  <si>
    <t xml:space="preserve">léamh</t>
  </si>
  <si>
    <t xml:space="preserve">reading</t>
  </si>
  <si>
    <t xml:space="preserve">léamh [m]</t>
  </si>
  <si>
    <t xml:space="preserve">V0459</t>
  </si>
  <si>
    <t xml:space="preserve">leath</t>
  </si>
  <si>
    <t xml:space="preserve">half</t>
  </si>
  <si>
    <t xml:space="preserve">V0460</t>
  </si>
  <si>
    <t xml:space="preserve">léitheoireacht</t>
  </si>
  <si>
    <t xml:space="preserve">V0461</t>
  </si>
  <si>
    <t xml:space="preserve">liathróid</t>
  </si>
  <si>
    <t xml:space="preserve">V0462</t>
  </si>
  <si>
    <t xml:space="preserve">linn snámha, poll snámha</t>
  </si>
  <si>
    <t xml:space="preserve">swimming pool</t>
  </si>
  <si>
    <t xml:space="preserve">V0463</t>
  </si>
  <si>
    <t xml:space="preserve">líonpheil</t>
  </si>
  <si>
    <t xml:space="preserve">netball</t>
  </si>
  <si>
    <t xml:space="preserve">V0464</t>
  </si>
  <si>
    <t xml:space="preserve">meán lae</t>
  </si>
  <si>
    <t xml:space="preserve">midday</t>
  </si>
  <si>
    <t xml:space="preserve">meán lae [m]</t>
  </si>
  <si>
    <t xml:space="preserve">V0465</t>
  </si>
  <si>
    <t xml:space="preserve">meán oíche</t>
  </si>
  <si>
    <t xml:space="preserve">midnight</t>
  </si>
  <si>
    <t xml:space="preserve">meán oíche [m]</t>
  </si>
  <si>
    <t xml:space="preserve">V0466</t>
  </si>
  <si>
    <t xml:space="preserve">V0467</t>
  </si>
  <si>
    <t xml:space="preserve">nuacht</t>
  </si>
  <si>
    <t xml:space="preserve">news</t>
  </si>
  <si>
    <t xml:space="preserve">V0468</t>
  </si>
  <si>
    <t xml:space="preserve">páirc (siamsaíochta)</t>
  </si>
  <si>
    <t xml:space="preserve">pitch, park (theme park)</t>
  </si>
  <si>
    <t xml:space="preserve">V0469</t>
  </si>
  <si>
    <t xml:space="preserve">peata</t>
  </si>
  <si>
    <t xml:space="preserve">pet</t>
  </si>
  <si>
    <t xml:space="preserve">peata [m]</t>
  </si>
  <si>
    <t xml:space="preserve">V0470</t>
  </si>
  <si>
    <t xml:space="preserve">peil (Ghaelach)</t>
  </si>
  <si>
    <t xml:space="preserve">(Gaelic) football</t>
  </si>
  <si>
    <t xml:space="preserve">V0471</t>
  </si>
  <si>
    <t xml:space="preserve">péinteáil</t>
  </si>
  <si>
    <t xml:space="preserve">painting</t>
  </si>
  <si>
    <t xml:space="preserve">V0472</t>
  </si>
  <si>
    <t xml:space="preserve">pianó</t>
  </si>
  <si>
    <t xml:space="preserve">piano</t>
  </si>
  <si>
    <t xml:space="preserve">pianó [m]</t>
  </si>
  <si>
    <t xml:space="preserve">V0473</t>
  </si>
  <si>
    <t xml:space="preserve">pictiúrlann</t>
  </si>
  <si>
    <t xml:space="preserve">cinema</t>
  </si>
  <si>
    <t xml:space="preserve">V0474</t>
  </si>
  <si>
    <t xml:space="preserve">píb (uillinne)</t>
  </si>
  <si>
    <t xml:space="preserve">(uileann) pipes</t>
  </si>
  <si>
    <t xml:space="preserve">V0475</t>
  </si>
  <si>
    <t xml:space="preserve">raidió[m]</t>
  </si>
  <si>
    <t xml:space="preserve">V0476</t>
  </si>
  <si>
    <t xml:space="preserve">rás</t>
  </si>
  <si>
    <t xml:space="preserve">race</t>
  </si>
  <si>
    <t xml:space="preserve">rás [m]</t>
  </si>
  <si>
    <t xml:space="preserve">V0477</t>
  </si>
  <si>
    <t xml:space="preserve">réamhaisnéis na haimsire</t>
  </si>
  <si>
    <t xml:space="preserve">weather forecast</t>
  </si>
  <si>
    <t xml:space="preserve">V0478</t>
  </si>
  <si>
    <t xml:space="preserve">réscáileán</t>
  </si>
  <si>
    <t xml:space="preserve">flat screen</t>
  </si>
  <si>
    <t xml:space="preserve">réscáileán [m]</t>
  </si>
  <si>
    <t xml:space="preserve">V0479</t>
  </si>
  <si>
    <t xml:space="preserve">rince, damhsa</t>
  </si>
  <si>
    <t xml:space="preserve">dance</t>
  </si>
  <si>
    <t xml:space="preserve">rince, damhsa [m]</t>
  </si>
  <si>
    <t xml:space="preserve">V0480</t>
  </si>
  <si>
    <t xml:space="preserve">rothaíocht</t>
  </si>
  <si>
    <t xml:space="preserve">cycling</t>
  </si>
  <si>
    <t xml:space="preserve">V0481</t>
  </si>
  <si>
    <t xml:space="preserve">rothar</t>
  </si>
  <si>
    <t xml:space="preserve">bicycle</t>
  </si>
  <si>
    <t xml:space="preserve">rothar [m]</t>
  </si>
  <si>
    <t xml:space="preserve">V0482</t>
  </si>
  <si>
    <t xml:space="preserve">sacar</t>
  </si>
  <si>
    <t xml:space="preserve">soccer</t>
  </si>
  <si>
    <t xml:space="preserve">sacar [m]</t>
  </si>
  <si>
    <t xml:space="preserve">V0483</t>
  </si>
  <si>
    <t xml:space="preserve">sacsafón</t>
  </si>
  <si>
    <t xml:space="preserve">saxophone</t>
  </si>
  <si>
    <t xml:space="preserve">sacsafón [m]</t>
  </si>
  <si>
    <t xml:space="preserve">V0484</t>
  </si>
  <si>
    <t xml:space="preserve">scáileán mór/beag</t>
  </si>
  <si>
    <t xml:space="preserve">big/small screen (TV)</t>
  </si>
  <si>
    <t xml:space="preserve">scáileán mór/beag [m]</t>
  </si>
  <si>
    <t xml:space="preserve">V0485</t>
  </si>
  <si>
    <t xml:space="preserve">telephone call</t>
  </si>
  <si>
    <t xml:space="preserve">V0486</t>
  </si>
  <si>
    <t xml:space="preserve">V0487</t>
  </si>
  <si>
    <t xml:space="preserve">scannán grá/cogaidh/bleachtaireachta/ uafáis/le fotheidil</t>
  </si>
  <si>
    <t xml:space="preserve">love/war/detective/horror/subtitled film</t>
  </si>
  <si>
    <t xml:space="preserve">scannán grá/cogaidh/bleachtaireachta/ uafáis/le fotheidil [m]</t>
  </si>
  <si>
    <t xml:space="preserve">V0488</t>
  </si>
  <si>
    <t xml:space="preserve">scór</t>
  </si>
  <si>
    <t xml:space="preserve">score</t>
  </si>
  <si>
    <t xml:space="preserve">scór [m]</t>
  </si>
  <si>
    <t xml:space="preserve">V0489</t>
  </si>
  <si>
    <t xml:space="preserve">seánra</t>
  </si>
  <si>
    <t xml:space="preserve">genre</t>
  </si>
  <si>
    <t xml:space="preserve">seánra [m]</t>
  </si>
  <si>
    <t xml:space="preserve">V0490</t>
  </si>
  <si>
    <t xml:space="preserve">seinm</t>
  </si>
  <si>
    <t xml:space="preserve">playing (musical instrument)</t>
  </si>
  <si>
    <t xml:space="preserve">V0491</t>
  </si>
  <si>
    <t xml:space="preserve">V0492</t>
  </si>
  <si>
    <t xml:space="preserve">V0493</t>
  </si>
  <si>
    <t xml:space="preserve">seisiún</t>
  </si>
  <si>
    <t xml:space="preserve">session</t>
  </si>
  <si>
    <t xml:space="preserve">seisiún [m]</t>
  </si>
  <si>
    <t xml:space="preserve">V0494</t>
  </si>
  <si>
    <t xml:space="preserve">seo caite, seo a chuaigh thart</t>
  </si>
  <si>
    <t xml:space="preserve">last (past)</t>
  </si>
  <si>
    <t xml:space="preserve">V0495</t>
  </si>
  <si>
    <t xml:space="preserve">seo chugainn</t>
  </si>
  <si>
    <t xml:space="preserve">next</t>
  </si>
  <si>
    <t xml:space="preserve">V0496</t>
  </si>
  <si>
    <t xml:space="preserve">seó cluichí</t>
  </si>
  <si>
    <t xml:space="preserve">game show</t>
  </si>
  <si>
    <t xml:space="preserve">seó cluichí [m]</t>
  </si>
  <si>
    <t xml:space="preserve">V0497</t>
  </si>
  <si>
    <t xml:space="preserve">siamsa</t>
  </si>
  <si>
    <t xml:space="preserve">entertainment</t>
  </si>
  <si>
    <t xml:space="preserve">siamsa [m]</t>
  </si>
  <si>
    <t xml:space="preserve">V0498</t>
  </si>
  <si>
    <t xml:space="preserve">slat iascaireachta, slat iascaigh</t>
  </si>
  <si>
    <t xml:space="preserve">fishing rod</t>
  </si>
  <si>
    <t xml:space="preserve">V0499</t>
  </si>
  <si>
    <t xml:space="preserve">slua</t>
  </si>
  <si>
    <t xml:space="preserve">crowd</t>
  </si>
  <si>
    <t xml:space="preserve">slua [m]</t>
  </si>
  <si>
    <t xml:space="preserve">V0500</t>
  </si>
  <si>
    <t xml:space="preserve">snámh</t>
  </si>
  <si>
    <t xml:space="preserve">swimming, swim</t>
  </si>
  <si>
    <t xml:space="preserve">snámh [m]</t>
  </si>
  <si>
    <t xml:space="preserve">V0501</t>
  </si>
  <si>
    <t xml:space="preserve">snúcar</t>
  </si>
  <si>
    <t xml:space="preserve">snooker</t>
  </si>
  <si>
    <t xml:space="preserve">snúcar [m]</t>
  </si>
  <si>
    <t xml:space="preserve">V0502</t>
  </si>
  <si>
    <t xml:space="preserve">sobalchlár</t>
  </si>
  <si>
    <t xml:space="preserve">soap</t>
  </si>
  <si>
    <t xml:space="preserve">sobalchlár [m]</t>
  </si>
  <si>
    <t xml:space="preserve">V0503</t>
  </si>
  <si>
    <t xml:space="preserve">sólann, ionad fóillíochta</t>
  </si>
  <si>
    <t xml:space="preserve">leisure centre</t>
  </si>
  <si>
    <t xml:space="preserve">V0504</t>
  </si>
  <si>
    <t xml:space="preserve">spéis, suim</t>
  </si>
  <si>
    <t xml:space="preserve">interest</t>
  </si>
  <si>
    <t xml:space="preserve">V0505</t>
  </si>
  <si>
    <t xml:space="preserve">spórt</t>
  </si>
  <si>
    <t xml:space="preserve">sport</t>
  </si>
  <si>
    <t xml:space="preserve">spórt [m]</t>
  </si>
  <si>
    <t xml:space="preserve">V0506</t>
  </si>
  <si>
    <t xml:space="preserve">sraith</t>
  </si>
  <si>
    <t xml:space="preserve">series</t>
  </si>
  <si>
    <t xml:space="preserve">V0507</t>
  </si>
  <si>
    <t xml:space="preserve">sroich</t>
  </si>
  <si>
    <t xml:space="preserve">reach</t>
  </si>
  <si>
    <t xml:space="preserve">V0508</t>
  </si>
  <si>
    <t xml:space="preserve">suimiúil, spéisiúil</t>
  </si>
  <si>
    <t xml:space="preserve">interesting</t>
  </si>
  <si>
    <t xml:space="preserve">V0509</t>
  </si>
  <si>
    <t xml:space="preserve">sult</t>
  </si>
  <si>
    <t xml:space="preserve">enjoyment, satisfaction</t>
  </si>
  <si>
    <t xml:space="preserve">sult [m]</t>
  </si>
  <si>
    <t xml:space="preserve">V0510</t>
  </si>
  <si>
    <t xml:space="preserve">tacsaí</t>
  </si>
  <si>
    <t xml:space="preserve">taxi</t>
  </si>
  <si>
    <t xml:space="preserve">tacsaí [m]</t>
  </si>
  <si>
    <t xml:space="preserve">V0511</t>
  </si>
  <si>
    <t xml:space="preserve">táiplis bheag, táiplis mhór</t>
  </si>
  <si>
    <t xml:space="preserve">draughts, backgammon</t>
  </si>
  <si>
    <t xml:space="preserve">V0512</t>
  </si>
  <si>
    <t xml:space="preserve">taispeántas</t>
  </si>
  <si>
    <t xml:space="preserve">show</t>
  </si>
  <si>
    <t xml:space="preserve">taispeántas [m]</t>
  </si>
  <si>
    <t xml:space="preserve">V0513</t>
  </si>
  <si>
    <t xml:space="preserve">teachtaireacht téacs, téacstheachtaireacht text message</t>
  </si>
  <si>
    <t xml:space="preserve">V0514</t>
  </si>
  <si>
    <t xml:space="preserve">teilifís, teilifíseán [m]</t>
  </si>
  <si>
    <t xml:space="preserve">V0515</t>
  </si>
  <si>
    <t xml:space="preserve">teilifís satailíte</t>
  </si>
  <si>
    <t xml:space="preserve">satellite TV</t>
  </si>
  <si>
    <t xml:space="preserve">V0516</t>
  </si>
  <si>
    <t xml:space="preserve">tomhas inchinne</t>
  </si>
  <si>
    <t xml:space="preserve">brain teaser</t>
  </si>
  <si>
    <t xml:space="preserve">tomhas inchinne [m]</t>
  </si>
  <si>
    <t xml:space="preserve">V0517</t>
  </si>
  <si>
    <t xml:space="preserve">tóraíocht taisce</t>
  </si>
  <si>
    <t xml:space="preserve">treasure hunt</t>
  </si>
  <si>
    <t xml:space="preserve">V0518</t>
  </si>
  <si>
    <t xml:space="preserve">traidisiúnta</t>
  </si>
  <si>
    <t xml:space="preserve">traditional</t>
  </si>
  <si>
    <t xml:space="preserve">V0519</t>
  </si>
  <si>
    <t xml:space="preserve">tráth ceisteanna, tráth na gceist</t>
  </si>
  <si>
    <t xml:space="preserve">quiz</t>
  </si>
  <si>
    <t xml:space="preserve">tráth ceisteanna [m], tráth na gceist</t>
  </si>
  <si>
    <t xml:space="preserve">V0520</t>
  </si>
  <si>
    <t xml:space="preserve">trumpa</t>
  </si>
  <si>
    <t xml:space="preserve">trumpet</t>
  </si>
  <si>
    <t xml:space="preserve">trumpa [m]</t>
  </si>
  <si>
    <t xml:space="preserve">V0521</t>
  </si>
  <si>
    <t xml:space="preserve">tús</t>
  </si>
  <si>
    <t xml:space="preserve">beginning</t>
  </si>
  <si>
    <t xml:space="preserve">tús [m]</t>
  </si>
  <si>
    <t xml:space="preserve">V0522</t>
  </si>
  <si>
    <t xml:space="preserve">úrscéal</t>
  </si>
  <si>
    <t xml:space="preserve">novel</t>
  </si>
  <si>
    <t xml:space="preserve">úrscéal [m]</t>
  </si>
  <si>
    <t xml:space="preserve">V0523</t>
  </si>
  <si>
    <t xml:space="preserve">veidhlín</t>
  </si>
  <si>
    <t xml:space="preserve">violin</t>
  </si>
  <si>
    <t xml:space="preserve">veidhlín [m]</t>
  </si>
  <si>
    <t xml:space="preserve">V0524</t>
  </si>
  <si>
    <t xml:space="preserve">asal</t>
  </si>
  <si>
    <t xml:space="preserve">donkey</t>
  </si>
  <si>
    <t xml:space="preserve">Animals</t>
  </si>
  <si>
    <t xml:space="preserve">asal [m]</t>
  </si>
  <si>
    <t xml:space="preserve">V0525</t>
  </si>
  <si>
    <t xml:space="preserve">bó</t>
  </si>
  <si>
    <t xml:space="preserve">cow</t>
  </si>
  <si>
    <t xml:space="preserve">V0526</t>
  </si>
  <si>
    <t xml:space="preserve">broc</t>
  </si>
  <si>
    <t xml:space="preserve">badger</t>
  </si>
  <si>
    <t xml:space="preserve">broc [m]</t>
  </si>
  <si>
    <t xml:space="preserve">V0527</t>
  </si>
  <si>
    <t xml:space="preserve">caora</t>
  </si>
  <si>
    <t xml:space="preserve">sheep</t>
  </si>
  <si>
    <t xml:space="preserve">V0528</t>
  </si>
  <si>
    <t xml:space="preserve">capall</t>
  </si>
  <si>
    <t xml:space="preserve">horse</t>
  </si>
  <si>
    <t xml:space="preserve">capall [m]</t>
  </si>
  <si>
    <t xml:space="preserve">V0529</t>
  </si>
  <si>
    <t xml:space="preserve">cat</t>
  </si>
  <si>
    <t xml:space="preserve">cat [m]</t>
  </si>
  <si>
    <t xml:space="preserve">V0530</t>
  </si>
  <si>
    <t xml:space="preserve">cearc</t>
  </si>
  <si>
    <t xml:space="preserve">hen</t>
  </si>
  <si>
    <t xml:space="preserve">V0531</t>
  </si>
  <si>
    <t xml:space="preserve">coinín</t>
  </si>
  <si>
    <t xml:space="preserve">rabbit</t>
  </si>
  <si>
    <t xml:space="preserve">coinín [m]</t>
  </si>
  <si>
    <t xml:space="preserve">V0532</t>
  </si>
  <si>
    <t xml:space="preserve">damhán alla</t>
  </si>
  <si>
    <t xml:space="preserve">spider</t>
  </si>
  <si>
    <t xml:space="preserve">damhán alla [m]</t>
  </si>
  <si>
    <t xml:space="preserve">V0533</t>
  </si>
  <si>
    <t xml:space="preserve">éan</t>
  </si>
  <si>
    <t xml:space="preserve">bird</t>
  </si>
  <si>
    <t xml:space="preserve">éan [m]</t>
  </si>
  <si>
    <t xml:space="preserve">V0534</t>
  </si>
  <si>
    <t xml:space="preserve">gabhar</t>
  </si>
  <si>
    <t xml:space="preserve">goat</t>
  </si>
  <si>
    <t xml:space="preserve">gabhar [m]</t>
  </si>
  <si>
    <t xml:space="preserve">V0535</t>
  </si>
  <si>
    <t xml:space="preserve">hamstar</t>
  </si>
  <si>
    <t xml:space="preserve">hamster</t>
  </si>
  <si>
    <t xml:space="preserve">hamstar [m]</t>
  </si>
  <si>
    <t xml:space="preserve">V0536</t>
  </si>
  <si>
    <t xml:space="preserve">iasc (órga)</t>
  </si>
  <si>
    <t xml:space="preserve">(gold)fish</t>
  </si>
  <si>
    <t xml:space="preserve">iasc (órga) [m]</t>
  </si>
  <si>
    <t xml:space="preserve">V0537</t>
  </si>
  <si>
    <t xml:space="preserve">luchóg</t>
  </si>
  <si>
    <t xml:space="preserve">V0538</t>
  </si>
  <si>
    <t xml:space="preserve">madadh</t>
  </si>
  <si>
    <t xml:space="preserve">dog</t>
  </si>
  <si>
    <t xml:space="preserve">madadh [m]</t>
  </si>
  <si>
    <t xml:space="preserve">V0539</t>
  </si>
  <si>
    <t xml:space="preserve">madadh caorach</t>
  </si>
  <si>
    <t xml:space="preserve">sheepdog</t>
  </si>
  <si>
    <t xml:space="preserve">madadh [m] caorach</t>
  </si>
  <si>
    <t xml:space="preserve">V0540</t>
  </si>
  <si>
    <t xml:space="preserve">muc (ghuine)</t>
  </si>
  <si>
    <t xml:space="preserve">(guinea) pig</t>
  </si>
  <si>
    <t xml:space="preserve">V0541</t>
  </si>
  <si>
    <t xml:space="preserve">nathair nimhe</t>
  </si>
  <si>
    <t xml:space="preserve">venomous snake</t>
  </si>
  <si>
    <t xml:space="preserve">nathair nimhe [m]</t>
  </si>
  <si>
    <t xml:space="preserve">V0542</t>
  </si>
  <si>
    <t xml:space="preserve">pearaicít, budragár</t>
  </si>
  <si>
    <t xml:space="preserve">budgie</t>
  </si>
  <si>
    <t xml:space="preserve">V0543</t>
  </si>
  <si>
    <t xml:space="preserve">pearóid</t>
  </si>
  <si>
    <t xml:space="preserve">parrot</t>
  </si>
  <si>
    <t xml:space="preserve">V0544</t>
  </si>
  <si>
    <t xml:space="preserve">rón</t>
  </si>
  <si>
    <t xml:space="preserve">seal</t>
  </si>
  <si>
    <t xml:space="preserve">rón [m]</t>
  </si>
  <si>
    <t xml:space="preserve">V0545</t>
  </si>
  <si>
    <t xml:space="preserve">sionnach</t>
  </si>
  <si>
    <t xml:space="preserve">fox</t>
  </si>
  <si>
    <t xml:space="preserve">sionnach [m]</t>
  </si>
  <si>
    <t xml:space="preserve">V0546</t>
  </si>
  <si>
    <t xml:space="preserve">tarbh</t>
  </si>
  <si>
    <t xml:space="preserve">bull</t>
  </si>
  <si>
    <t xml:space="preserve">tarbh [nm]</t>
  </si>
  <si>
    <t xml:space="preserve">V0547</t>
  </si>
  <si>
    <t xml:space="preserve">toirtís</t>
  </si>
  <si>
    <t xml:space="preserve">tortoise</t>
  </si>
  <si>
    <t xml:space="preserve">V0548</t>
  </si>
  <si>
    <t xml:space="preserve">Shopping</t>
  </si>
  <si>
    <t xml:space="preserve">V0549</t>
  </si>
  <si>
    <t xml:space="preserve">admháil</t>
  </si>
  <si>
    <t xml:space="preserve">receipt</t>
  </si>
  <si>
    <t xml:space="preserve">V0550</t>
  </si>
  <si>
    <t xml:space="preserve">bairéad</t>
  </si>
  <si>
    <t xml:space="preserve">cap</t>
  </si>
  <si>
    <t xml:space="preserve">bairéad [m]</t>
  </si>
  <si>
    <t xml:space="preserve">V0551</t>
  </si>
  <si>
    <t xml:space="preserve">briseadh</t>
  </si>
  <si>
    <t xml:space="preserve">change</t>
  </si>
  <si>
    <t xml:space="preserve">briseadh [m]</t>
  </si>
  <si>
    <t xml:space="preserve">V0552</t>
  </si>
  <si>
    <t xml:space="preserve">bríste gairid</t>
  </si>
  <si>
    <t xml:space="preserve">shorts</t>
  </si>
  <si>
    <t xml:space="preserve">bríste gairid [m]</t>
  </si>
  <si>
    <t xml:space="preserve">V0553</t>
  </si>
  <si>
    <t xml:space="preserve">bríste géine</t>
  </si>
  <si>
    <t xml:space="preserve">jeans</t>
  </si>
  <si>
    <t xml:space="preserve">bríste géine [m]</t>
  </si>
  <si>
    <t xml:space="preserve">V0554</t>
  </si>
  <si>
    <t xml:space="preserve">bróga</t>
  </si>
  <si>
    <t xml:space="preserve">shoes</t>
  </si>
  <si>
    <t xml:space="preserve">bróga [fpl]</t>
  </si>
  <si>
    <t xml:space="preserve">V0555</t>
  </si>
  <si>
    <t xml:space="preserve">buataisí, bróga</t>
  </si>
  <si>
    <t xml:space="preserve">boots</t>
  </si>
  <si>
    <t xml:space="preserve">buataisí [mpl], bróga [fpl]</t>
  </si>
  <si>
    <t xml:space="preserve">V0556</t>
  </si>
  <si>
    <t xml:space="preserve">bróga reatha</t>
  </si>
  <si>
    <t xml:space="preserve">trainers</t>
  </si>
  <si>
    <t xml:space="preserve">bróga reatha [nfpl]</t>
  </si>
  <si>
    <t xml:space="preserve">V0557</t>
  </si>
  <si>
    <t xml:space="preserve">bronntanas</t>
  </si>
  <si>
    <t xml:space="preserve">present</t>
  </si>
  <si>
    <t xml:space="preserve">bronntanas [m]</t>
  </si>
  <si>
    <t xml:space="preserve">V0558</t>
  </si>
  <si>
    <t xml:space="preserve">cárta bainc</t>
  </si>
  <si>
    <t xml:space="preserve">bank card</t>
  </si>
  <si>
    <t xml:space="preserve">cárta bainc [m]</t>
  </si>
  <si>
    <t xml:space="preserve">V0559</t>
  </si>
  <si>
    <t xml:space="preserve">cárta creidmheasa</t>
  </si>
  <si>
    <t xml:space="preserve">credit card</t>
  </si>
  <si>
    <t xml:space="preserve">cárta creidmheasa [m]</t>
  </si>
  <si>
    <t xml:space="preserve">V0560</t>
  </si>
  <si>
    <t xml:space="preserve">casóg, seaicéad</t>
  </si>
  <si>
    <t xml:space="preserve">jacket</t>
  </si>
  <si>
    <t xml:space="preserve">V0561</t>
  </si>
  <si>
    <t xml:space="preserve">cóta fearthainne</t>
  </si>
  <si>
    <t xml:space="preserve">raincoat</t>
  </si>
  <si>
    <t xml:space="preserve">cóta fearthainne [m]</t>
  </si>
  <si>
    <t xml:space="preserve">V0562</t>
  </si>
  <si>
    <t xml:space="preserve">crios</t>
  </si>
  <si>
    <t xml:space="preserve">belt</t>
  </si>
  <si>
    <t xml:space="preserve">crios [m]</t>
  </si>
  <si>
    <t xml:space="preserve">V0563</t>
  </si>
  <si>
    <t xml:space="preserve">cuaráin</t>
  </si>
  <si>
    <t xml:space="preserve">sandals</t>
  </si>
  <si>
    <t xml:space="preserve">cuaráin [mpl]</t>
  </si>
  <si>
    <t xml:space="preserve">V0564</t>
  </si>
  <si>
    <t xml:space="preserve">cuimhneachán</t>
  </si>
  <si>
    <t xml:space="preserve">souvenir</t>
  </si>
  <si>
    <t xml:space="preserve">cuimhneachán [m]</t>
  </si>
  <si>
    <t xml:space="preserve">V0565</t>
  </si>
  <si>
    <t xml:space="preserve">culaith shnámha</t>
  </si>
  <si>
    <t xml:space="preserve">swimming costume</t>
  </si>
  <si>
    <t xml:space="preserve">V0566</t>
  </si>
  <si>
    <t xml:space="preserve">cumhrán</t>
  </si>
  <si>
    <t xml:space="preserve">perfume</t>
  </si>
  <si>
    <t xml:space="preserve">cumhrán [m]</t>
  </si>
  <si>
    <t xml:space="preserve">V0567</t>
  </si>
  <si>
    <t xml:space="preserve">daor, costasach</t>
  </si>
  <si>
    <t xml:space="preserve">expensive</t>
  </si>
  <si>
    <t xml:space="preserve">V0568</t>
  </si>
  <si>
    <t xml:space="preserve">éadaí</t>
  </si>
  <si>
    <t xml:space="preserve">clothes</t>
  </si>
  <si>
    <t xml:space="preserve">éadaí [m]</t>
  </si>
  <si>
    <t xml:space="preserve">V0569</t>
  </si>
  <si>
    <t xml:space="preserve">earraí níocháin</t>
  </si>
  <si>
    <t xml:space="preserve">toiletries</t>
  </si>
  <si>
    <t xml:space="preserve">earraí níocháin [mpl]</t>
  </si>
  <si>
    <t xml:space="preserve">V0570</t>
  </si>
  <si>
    <t xml:space="preserve">geansaí</t>
  </si>
  <si>
    <t xml:space="preserve">jumper</t>
  </si>
  <si>
    <t xml:space="preserve">geansaí [m]</t>
  </si>
  <si>
    <t xml:space="preserve">V0571</t>
  </si>
  <si>
    <t xml:space="preserve">gúna</t>
  </si>
  <si>
    <t xml:space="preserve">dress</t>
  </si>
  <si>
    <t xml:space="preserve">gúna [m]</t>
  </si>
  <si>
    <t xml:space="preserve">V0572</t>
  </si>
  <si>
    <t xml:space="preserve">hata</t>
  </si>
  <si>
    <t xml:space="preserve">hat</t>
  </si>
  <si>
    <t xml:space="preserve">hata [m]</t>
  </si>
  <si>
    <t xml:space="preserve">V0573</t>
  </si>
  <si>
    <t xml:space="preserve">húdaí</t>
  </si>
  <si>
    <t xml:space="preserve">hoodie</t>
  </si>
  <si>
    <t xml:space="preserve">húdaí [m]</t>
  </si>
  <si>
    <t xml:space="preserve">V0574</t>
  </si>
  <si>
    <t xml:space="preserve">lámhainní, miotóga</t>
  </si>
  <si>
    <t xml:space="preserve">gloves</t>
  </si>
  <si>
    <t xml:space="preserve">lámhainní, miotóga [mpl]</t>
  </si>
  <si>
    <t xml:space="preserve">V0575</t>
  </si>
  <si>
    <t xml:space="preserve">(lár)ionad siopadóireachta</t>
  </si>
  <si>
    <t xml:space="preserve">shopping centre</t>
  </si>
  <si>
    <t xml:space="preserve">(lár)ionad siopadóireachta [m]</t>
  </si>
  <si>
    <t xml:space="preserve">V0576</t>
  </si>
  <si>
    <t xml:space="preserve">leathar</t>
  </si>
  <si>
    <t xml:space="preserve">leather</t>
  </si>
  <si>
    <t xml:space="preserve">leathar [m]</t>
  </si>
  <si>
    <t xml:space="preserve">V0577</t>
  </si>
  <si>
    <t xml:space="preserve">léine</t>
  </si>
  <si>
    <t xml:space="preserve">shirt</t>
  </si>
  <si>
    <t xml:space="preserve">V0578</t>
  </si>
  <si>
    <t xml:space="preserve">lóis iarbhearrtha</t>
  </si>
  <si>
    <t xml:space="preserve">aftershave</t>
  </si>
  <si>
    <t xml:space="preserve">V0579</t>
  </si>
  <si>
    <t xml:space="preserve">mála</t>
  </si>
  <si>
    <t xml:space="preserve">bag</t>
  </si>
  <si>
    <t xml:space="preserve">mála [m]</t>
  </si>
  <si>
    <t xml:space="preserve">V0580</t>
  </si>
  <si>
    <t xml:space="preserve">mála láimhe</t>
  </si>
  <si>
    <t xml:space="preserve">handbag</t>
  </si>
  <si>
    <t xml:space="preserve">V0581</t>
  </si>
  <si>
    <t xml:space="preserve">margadh maith</t>
  </si>
  <si>
    <t xml:space="preserve">a good deal</t>
  </si>
  <si>
    <t xml:space="preserve">margadh maith [m]</t>
  </si>
  <si>
    <t xml:space="preserve">V0582</t>
  </si>
  <si>
    <t xml:space="preserve">nótaí</t>
  </si>
  <si>
    <t xml:space="preserve">notes</t>
  </si>
  <si>
    <t xml:space="preserve">nótaí [mpl]</t>
  </si>
  <si>
    <t xml:space="preserve">V0583</t>
  </si>
  <si>
    <t xml:space="preserve">olann</t>
  </si>
  <si>
    <t xml:space="preserve">wool</t>
  </si>
  <si>
    <t xml:space="preserve">V0584</t>
  </si>
  <si>
    <t xml:space="preserve">V0585</t>
  </si>
  <si>
    <t xml:space="preserve">cheap</t>
  </si>
  <si>
    <t xml:space="preserve">V0586</t>
  </si>
  <si>
    <t xml:space="preserve">scairf</t>
  </si>
  <si>
    <t xml:space="preserve">scarf</t>
  </si>
  <si>
    <t xml:space="preserve">V0587</t>
  </si>
  <si>
    <t xml:space="preserve">sciorta</t>
  </si>
  <si>
    <t xml:space="preserve">skirt</t>
  </si>
  <si>
    <t xml:space="preserve">sciorta [m]</t>
  </si>
  <si>
    <t xml:space="preserve">V0588</t>
  </si>
  <si>
    <t xml:space="preserve">scipéad airgid</t>
  </si>
  <si>
    <t xml:space="preserve">cash register</t>
  </si>
  <si>
    <t xml:space="preserve">scipéad airgid [m]</t>
  </si>
  <si>
    <t xml:space="preserve">V0589</t>
  </si>
  <si>
    <t xml:space="preserve">seodra</t>
  </si>
  <si>
    <t xml:space="preserve">jewellery</t>
  </si>
  <si>
    <t xml:space="preserve">seodra [m]</t>
  </si>
  <si>
    <t xml:space="preserve">V0590</t>
  </si>
  <si>
    <t xml:space="preserve">síoda</t>
  </si>
  <si>
    <t xml:space="preserve">silk</t>
  </si>
  <si>
    <t xml:space="preserve">V0591</t>
  </si>
  <si>
    <t xml:space="preserve">siopa</t>
  </si>
  <si>
    <t xml:space="preserve">shop</t>
  </si>
  <si>
    <t xml:space="preserve">siopa [m]</t>
  </si>
  <si>
    <t xml:space="preserve">V0592</t>
  </si>
  <si>
    <t xml:space="preserve">sladmhargadh</t>
  </si>
  <si>
    <t xml:space="preserve">bargain, the sales</t>
  </si>
  <si>
    <t xml:space="preserve">sladmhargadh [m]</t>
  </si>
  <si>
    <t xml:space="preserve">V0593</t>
  </si>
  <si>
    <t xml:space="preserve">smideadh</t>
  </si>
  <si>
    <t xml:space="preserve">make-up</t>
  </si>
  <si>
    <t xml:space="preserve">smideadh [m]</t>
  </si>
  <si>
    <t xml:space="preserve">V0594</t>
  </si>
  <si>
    <t xml:space="preserve">sparán</t>
  </si>
  <si>
    <t xml:space="preserve">purse</t>
  </si>
  <si>
    <t xml:space="preserve">sparán [m]</t>
  </si>
  <si>
    <t xml:space="preserve">V0595</t>
  </si>
  <si>
    <t xml:space="preserve">stocaí</t>
  </si>
  <si>
    <t xml:space="preserve">socks</t>
  </si>
  <si>
    <t xml:space="preserve">stocaí [mpl]</t>
  </si>
  <si>
    <t xml:space="preserve">V0596</t>
  </si>
  <si>
    <t xml:space="preserve">tiachóg</t>
  </si>
  <si>
    <t xml:space="preserve">wallet</t>
  </si>
  <si>
    <t xml:space="preserve">V0597</t>
  </si>
  <si>
    <t xml:space="preserve">T-léine</t>
  </si>
  <si>
    <t xml:space="preserve">T-shirt</t>
  </si>
  <si>
    <t xml:space="preserve">V0598</t>
  </si>
  <si>
    <t xml:space="preserve">treabhsar, bríste</t>
  </si>
  <si>
    <t xml:space="preserve">trousers</t>
  </si>
  <si>
    <t xml:space="preserve">treabhsar, bríste [m]</t>
  </si>
  <si>
    <t xml:space="preserve">V0599</t>
  </si>
  <si>
    <t xml:space="preserve">uaireadóir</t>
  </si>
  <si>
    <t xml:space="preserve">watch</t>
  </si>
  <si>
    <t xml:space="preserve">uaireadóir [m]</t>
  </si>
  <si>
    <t xml:space="preserve">V0600</t>
  </si>
  <si>
    <t xml:space="preserve">abair amhrán (ag rá amhráin)</t>
  </si>
  <si>
    <t xml:space="preserve">abair amhrán</t>
  </si>
  <si>
    <t xml:space="preserve">ag rá amhráin</t>
  </si>
  <si>
    <t xml:space="preserve">to sing (singing)</t>
  </si>
  <si>
    <t xml:space="preserve">V0601</t>
  </si>
  <si>
    <t xml:space="preserve">amharc ar (ag amharc ar)</t>
  </si>
  <si>
    <t xml:space="preserve">amharc ar</t>
  </si>
  <si>
    <t xml:space="preserve">ag amharc ar</t>
  </si>
  <si>
    <t xml:space="preserve">to look at (looking at), to watch (watching)</t>
  </si>
  <si>
    <t xml:space="preserve">V0602</t>
  </si>
  <si>
    <t xml:space="preserve">athchúrsáil (ag athchúrsáil)</t>
  </si>
  <si>
    <t xml:space="preserve">athchúrsáil</t>
  </si>
  <si>
    <t xml:space="preserve">ag athchúrsáil</t>
  </si>
  <si>
    <t xml:space="preserve">to recycle (recycling)</t>
  </si>
  <si>
    <t xml:space="preserve">V0603</t>
  </si>
  <si>
    <t xml:space="preserve">bailigh (ag bailiú)</t>
  </si>
  <si>
    <t xml:space="preserve">bailigh</t>
  </si>
  <si>
    <t xml:space="preserve">ag bailiú</t>
  </si>
  <si>
    <t xml:space="preserve">to collect (collecting)</t>
  </si>
  <si>
    <t xml:space="preserve">V0604</t>
  </si>
  <si>
    <t xml:space="preserve">bain (amach) (ag baint)</t>
  </si>
  <si>
    <t xml:space="preserve">to win, to take out (extract), to reach (winning, taking out (extracting), reaching)</t>
  </si>
  <si>
    <t xml:space="preserve">V0605</t>
  </si>
  <si>
    <t xml:space="preserve">bain sult as (ag baint)</t>
  </si>
  <si>
    <t xml:space="preserve">bain sult as</t>
  </si>
  <si>
    <t xml:space="preserve">ag baint</t>
  </si>
  <si>
    <t xml:space="preserve">to enjoy (enjoying)</t>
  </si>
  <si>
    <t xml:space="preserve">V0606</t>
  </si>
  <si>
    <t xml:space="preserve">bain triail as (ag baint triail as)</t>
  </si>
  <si>
    <t xml:space="preserve">bain triail as</t>
  </si>
  <si>
    <t xml:space="preserve">ag baint triail as</t>
  </si>
  <si>
    <t xml:space="preserve">to try (trying)</t>
  </si>
  <si>
    <t xml:space="preserve">V0607</t>
  </si>
  <si>
    <t xml:space="preserve">to hit (hitting)</t>
  </si>
  <si>
    <t xml:space="preserve">V0608</t>
  </si>
  <si>
    <t xml:space="preserve">V0609</t>
  </si>
  <si>
    <t xml:space="preserve">caill (ag cailleadh)</t>
  </si>
  <si>
    <t xml:space="preserve">caill</t>
  </si>
  <si>
    <t xml:space="preserve">ag cailleadh</t>
  </si>
  <si>
    <t xml:space="preserve">to lose (losing)</t>
  </si>
  <si>
    <t xml:space="preserve">V0610</t>
  </si>
  <si>
    <t xml:space="preserve">to wear, to throw, to smoke, to spend (wearing, throwing, smoking, spending)</t>
  </si>
  <si>
    <t xml:space="preserve">V0611</t>
  </si>
  <si>
    <t xml:space="preserve">ceannaigh (ag ceannach)</t>
  </si>
  <si>
    <t xml:space="preserve">ag ceannach</t>
  </si>
  <si>
    <t xml:space="preserve">to buy (buying)</t>
  </si>
  <si>
    <t xml:space="preserve">V0612</t>
  </si>
  <si>
    <t xml:space="preserve">to register, to enrol (enrolling)</t>
  </si>
  <si>
    <t xml:space="preserve">V0613</t>
  </si>
  <si>
    <t xml:space="preserve">cleacht (ag cleachtadh)</t>
  </si>
  <si>
    <t xml:space="preserve">cleacht</t>
  </si>
  <si>
    <t xml:space="preserve">ag cleachtadh</t>
  </si>
  <si>
    <t xml:space="preserve">to practise (practising)</t>
  </si>
  <si>
    <t xml:space="preserve">V0614</t>
  </si>
  <si>
    <t xml:space="preserve">clois (ag cloisteáil)</t>
  </si>
  <si>
    <t xml:space="preserve">clois</t>
  </si>
  <si>
    <t xml:space="preserve">ag cloisteáil</t>
  </si>
  <si>
    <t xml:space="preserve">to hear (hearing)</t>
  </si>
  <si>
    <t xml:space="preserve">V0615</t>
  </si>
  <si>
    <t xml:space="preserve">cluin (ag cluinstin)</t>
  </si>
  <si>
    <t xml:space="preserve">cluin</t>
  </si>
  <si>
    <t xml:space="preserve">ag cluinstin</t>
  </si>
  <si>
    <t xml:space="preserve">V0616</t>
  </si>
  <si>
    <t xml:space="preserve">codail (ag codladh)</t>
  </si>
  <si>
    <t xml:space="preserve">codail</t>
  </si>
  <si>
    <t xml:space="preserve">ag codladh</t>
  </si>
  <si>
    <t xml:space="preserve">to sleep</t>
  </si>
  <si>
    <t xml:space="preserve">V0617</t>
  </si>
  <si>
    <t xml:space="preserve">cóirigh</t>
  </si>
  <si>
    <t xml:space="preserve">to arrange, dress (equipment)</t>
  </si>
  <si>
    <t xml:space="preserve">V0618</t>
  </si>
  <si>
    <t xml:space="preserve">cóirigh an leaba</t>
  </si>
  <si>
    <t xml:space="preserve">to make the bed</t>
  </si>
  <si>
    <t xml:space="preserve">V0619</t>
  </si>
  <si>
    <t xml:space="preserve">cóirigh an seomra</t>
  </si>
  <si>
    <t xml:space="preserve">to tidy the room</t>
  </si>
  <si>
    <t xml:space="preserve">V0620</t>
  </si>
  <si>
    <t xml:space="preserve">creid (ag creidiúint)</t>
  </si>
  <si>
    <t xml:space="preserve">creid</t>
  </si>
  <si>
    <t xml:space="preserve">ag creidiúint</t>
  </si>
  <si>
    <t xml:space="preserve">to believe (believing)</t>
  </si>
  <si>
    <t xml:space="preserve">V0621</t>
  </si>
  <si>
    <t xml:space="preserve">cuardaigh (ag cuardach)</t>
  </si>
  <si>
    <t xml:space="preserve">cuardaigh</t>
  </si>
  <si>
    <t xml:space="preserve">ag cuardach</t>
  </si>
  <si>
    <t xml:space="preserve">to search (searching)</t>
  </si>
  <si>
    <t xml:space="preserve">V0622</t>
  </si>
  <si>
    <t xml:space="preserve">cuidigh (le) (ag cuidiú)</t>
  </si>
  <si>
    <t xml:space="preserve">to help (helping)</t>
  </si>
  <si>
    <t xml:space="preserve">V0623</t>
  </si>
  <si>
    <t xml:space="preserve">cuir in áirithe (ag cur in áirithe)</t>
  </si>
  <si>
    <t xml:space="preserve">cuir in áirithe</t>
  </si>
  <si>
    <t xml:space="preserve">ag cur in áirithe</t>
  </si>
  <si>
    <t xml:space="preserve">to book, to reserve (booking, reserving)</t>
  </si>
  <si>
    <t xml:space="preserve">V0624</t>
  </si>
  <si>
    <t xml:space="preserve">ag cur allais</t>
  </si>
  <si>
    <t xml:space="preserve">sweating</t>
  </si>
  <si>
    <t xml:space="preserve">V0625</t>
  </si>
  <si>
    <t xml:space="preserve">críochnaigh (ag críochnú)</t>
  </si>
  <si>
    <t xml:space="preserve">críochnaigh</t>
  </si>
  <si>
    <t xml:space="preserve">ag críochnú</t>
  </si>
  <si>
    <t xml:space="preserve">to finish (finishing)</t>
  </si>
  <si>
    <t xml:space="preserve">V0626</t>
  </si>
  <si>
    <t xml:space="preserve">damhsaigh (ag damhsa)</t>
  </si>
  <si>
    <t xml:space="preserve">damhsaigh</t>
  </si>
  <si>
    <t xml:space="preserve">ag damhsa</t>
  </si>
  <si>
    <t xml:space="preserve">to dance (dancing)</t>
  </si>
  <si>
    <t xml:space="preserve">V0627</t>
  </si>
  <si>
    <t xml:space="preserve">druid (ag druidim)/dún (ag dúnadh)</t>
  </si>
  <si>
    <t xml:space="preserve">druid /dún (ag dúnadh)</t>
  </si>
  <si>
    <t xml:space="preserve">ag druidim</t>
  </si>
  <si>
    <t xml:space="preserve">to close (closing)</t>
  </si>
  <si>
    <t xml:space="preserve">V0628</t>
  </si>
  <si>
    <t xml:space="preserve">dúisigh (ag dúiseacht), múscail (ag múscailt)</t>
  </si>
  <si>
    <t xml:space="preserve">dúisigh , múscail (ag múscailt)</t>
  </si>
  <si>
    <t xml:space="preserve">ag dúiseacht</t>
  </si>
  <si>
    <t xml:space="preserve">to wake (waking)</t>
  </si>
  <si>
    <t xml:space="preserve">V0629</t>
  </si>
  <si>
    <t xml:space="preserve">éirigh (ag éirí)</t>
  </si>
  <si>
    <t xml:space="preserve">éirigh</t>
  </si>
  <si>
    <t xml:space="preserve">ag éirí</t>
  </si>
  <si>
    <t xml:space="preserve">to get up (getting up)</t>
  </si>
  <si>
    <t xml:space="preserve">V0630</t>
  </si>
  <si>
    <t xml:space="preserve">éirigh as (ag éirí as)</t>
  </si>
  <si>
    <t xml:space="preserve">éirigh as</t>
  </si>
  <si>
    <t xml:space="preserve">ag éirí as</t>
  </si>
  <si>
    <t xml:space="preserve">to give up (giving up)</t>
  </si>
  <si>
    <t xml:space="preserve">V0631</t>
  </si>
  <si>
    <t xml:space="preserve">éirigh le (ag éirí le)</t>
  </si>
  <si>
    <t xml:space="preserve">éirigh le</t>
  </si>
  <si>
    <t xml:space="preserve">ag éirí le</t>
  </si>
  <si>
    <t xml:space="preserve">to succeed (succeeding)</t>
  </si>
  <si>
    <t xml:space="preserve">V0632</t>
  </si>
  <si>
    <t xml:space="preserve">éist (le) (ag éisteacht)</t>
  </si>
  <si>
    <t xml:space="preserve">to listen (to) (listening)</t>
  </si>
  <si>
    <t xml:space="preserve">V0633</t>
  </si>
  <si>
    <t xml:space="preserve">fág (ag fágáil)</t>
  </si>
  <si>
    <t xml:space="preserve">fág</t>
  </si>
  <si>
    <t xml:space="preserve">ag fágáil</t>
  </si>
  <si>
    <t xml:space="preserve">to leave (leaving)</t>
  </si>
  <si>
    <t xml:space="preserve">V0634</t>
  </si>
  <si>
    <t xml:space="preserve">fan (le) (ag fanacht)</t>
  </si>
  <si>
    <t xml:space="preserve">to wait, to stay (with) (waiting, staying (with))</t>
  </si>
  <si>
    <t xml:space="preserve">V0635</t>
  </si>
  <si>
    <t xml:space="preserve">féach (ag féachaint)</t>
  </si>
  <si>
    <t xml:space="preserve">féach</t>
  </si>
  <si>
    <t xml:space="preserve">ag féachaint</t>
  </si>
  <si>
    <t xml:space="preserve">to look (looking)</t>
  </si>
  <si>
    <t xml:space="preserve">V0636</t>
  </si>
  <si>
    <t xml:space="preserve">feic (ag feiceáil)</t>
  </si>
  <si>
    <t xml:space="preserve">feic</t>
  </si>
  <si>
    <t xml:space="preserve">ag feiceáil</t>
  </si>
  <si>
    <t xml:space="preserve">to see (seeing)</t>
  </si>
  <si>
    <t xml:space="preserve">V0637</t>
  </si>
  <si>
    <t xml:space="preserve">imir (ag imirt)</t>
  </si>
  <si>
    <t xml:space="preserve">imir</t>
  </si>
  <si>
    <t xml:space="preserve">ag imirt</t>
  </si>
  <si>
    <t xml:space="preserve">to play (playing)</t>
  </si>
  <si>
    <t xml:space="preserve">V0638</t>
  </si>
  <si>
    <t xml:space="preserve">léigh (ag léamh)</t>
  </si>
  <si>
    <t xml:space="preserve">léigh</t>
  </si>
  <si>
    <t xml:space="preserve">ag léamh</t>
  </si>
  <si>
    <t xml:space="preserve">to read (reading)</t>
  </si>
  <si>
    <t xml:space="preserve">V0639</t>
  </si>
  <si>
    <t xml:space="preserve">léim (ag léim)</t>
  </si>
  <si>
    <t xml:space="preserve">léim</t>
  </si>
  <si>
    <t xml:space="preserve">ag léim</t>
  </si>
  <si>
    <t xml:space="preserve">to jump (jumping)</t>
  </si>
  <si>
    <t xml:space="preserve">V0640</t>
  </si>
  <si>
    <t xml:space="preserve">lig scíth (ag ligint scíth)</t>
  </si>
  <si>
    <t xml:space="preserve">lig scíth</t>
  </si>
  <si>
    <t xml:space="preserve">ag ligint scíth</t>
  </si>
  <si>
    <t xml:space="preserve">to relax (relaxing)</t>
  </si>
  <si>
    <t xml:space="preserve">V0641</t>
  </si>
  <si>
    <t xml:space="preserve">nigh (ag ní)</t>
  </si>
  <si>
    <t xml:space="preserve">nigh</t>
  </si>
  <si>
    <t xml:space="preserve">ag ní</t>
  </si>
  <si>
    <t xml:space="preserve">to wash (washing)</t>
  </si>
  <si>
    <t xml:space="preserve">V0642</t>
  </si>
  <si>
    <t xml:space="preserve">ól (ag ól)</t>
  </si>
  <si>
    <t xml:space="preserve">ól</t>
  </si>
  <si>
    <t xml:space="preserve">ag ól</t>
  </si>
  <si>
    <t xml:space="preserve">to drink (drinking)</t>
  </si>
  <si>
    <t xml:space="preserve">V0643</t>
  </si>
  <si>
    <t xml:space="preserve">péinteáil (ag péinteáil)</t>
  </si>
  <si>
    <t xml:space="preserve">ag péinteáil</t>
  </si>
  <si>
    <t xml:space="preserve">to paint (painting)</t>
  </si>
  <si>
    <t xml:space="preserve">V0644</t>
  </si>
  <si>
    <t xml:space="preserve">reáchtáil (ag reáchtáil)</t>
  </si>
  <si>
    <t xml:space="preserve">reáchtáil</t>
  </si>
  <si>
    <t xml:space="preserve">ag reáchtáil</t>
  </si>
  <si>
    <t xml:space="preserve">to run, to organise (running, organising)</t>
  </si>
  <si>
    <t xml:space="preserve">V0645</t>
  </si>
  <si>
    <t xml:space="preserve">rith (ag rith)</t>
  </si>
  <si>
    <t xml:space="preserve">rith</t>
  </si>
  <si>
    <t xml:space="preserve">ag rith</t>
  </si>
  <si>
    <t xml:space="preserve">to run (running)</t>
  </si>
  <si>
    <t xml:space="preserve">V0646</t>
  </si>
  <si>
    <t xml:space="preserve">socraigh (ag socrú)</t>
  </si>
  <si>
    <t xml:space="preserve">socraigh</t>
  </si>
  <si>
    <t xml:space="preserve">ag socrú</t>
  </si>
  <si>
    <t xml:space="preserve">to settle, to decide (settling, deciding)</t>
  </si>
  <si>
    <t xml:space="preserve">V0647</t>
  </si>
  <si>
    <t xml:space="preserve">stop (ag stopadh)</t>
  </si>
  <si>
    <t xml:space="preserve">stop</t>
  </si>
  <si>
    <t xml:space="preserve">ag stopadh</t>
  </si>
  <si>
    <t xml:space="preserve">to stop (stopping)</t>
  </si>
  <si>
    <t xml:space="preserve">V0648</t>
  </si>
  <si>
    <t xml:space="preserve">tabhair cuairt ar (ag tabhairt cuairte ar)</t>
  </si>
  <si>
    <t xml:space="preserve">tabhair cuairt ar</t>
  </si>
  <si>
    <t xml:space="preserve">ag tabhairt cuairte ar</t>
  </si>
  <si>
    <t xml:space="preserve">to visit (visiting)</t>
  </si>
  <si>
    <t xml:space="preserve">V0649</t>
  </si>
  <si>
    <t xml:space="preserve">tabhair cuireadh (ag tabhairt cuiridh)</t>
  </si>
  <si>
    <t xml:space="preserve">tabhair cuireadh</t>
  </si>
  <si>
    <t xml:space="preserve">ag tabhairt cuiridh</t>
  </si>
  <si>
    <t xml:space="preserve">to invite (inviting)</t>
  </si>
  <si>
    <t xml:space="preserve">V0650</t>
  </si>
  <si>
    <t xml:space="preserve">taitin (le) (ag taitneamh)</t>
  </si>
  <si>
    <t xml:space="preserve">to please, to like (pleasing)</t>
  </si>
  <si>
    <t xml:space="preserve">V0651</t>
  </si>
  <si>
    <t xml:space="preserve">tar (ag teacht)</t>
  </si>
  <si>
    <t xml:space="preserve">tar</t>
  </si>
  <si>
    <t xml:space="preserve">ag teacht</t>
  </si>
  <si>
    <t xml:space="preserve">to come (coming)</t>
  </si>
  <si>
    <t xml:space="preserve">V0652</t>
  </si>
  <si>
    <t xml:space="preserve">tarraing (ag tarraingt)</t>
  </si>
  <si>
    <t xml:space="preserve">tarraing</t>
  </si>
  <si>
    <t xml:space="preserve">ag tarraingt</t>
  </si>
  <si>
    <t xml:space="preserve">to draw (drawing)</t>
  </si>
  <si>
    <t xml:space="preserve">V0653</t>
  </si>
  <si>
    <t xml:space="preserve">téigh a chodladh (ag dul a chodladh)</t>
  </si>
  <si>
    <t xml:space="preserve">téigh a chodladh</t>
  </si>
  <si>
    <t xml:space="preserve">ag dul a chodladh</t>
  </si>
  <si>
    <t xml:space="preserve">to go to sleep</t>
  </si>
  <si>
    <t xml:space="preserve">V0654</t>
  </si>
  <si>
    <t xml:space="preserve">téigh a luí (ag dul a luí)</t>
  </si>
  <si>
    <t xml:space="preserve">téigh a luí</t>
  </si>
  <si>
    <t xml:space="preserve">ag dul a luí</t>
  </si>
  <si>
    <t xml:space="preserve">V0655</t>
  </si>
  <si>
    <t xml:space="preserve">téigh amach (ag dul amach)</t>
  </si>
  <si>
    <t xml:space="preserve">téigh amach</t>
  </si>
  <si>
    <t xml:space="preserve">ag dul amach</t>
  </si>
  <si>
    <t xml:space="preserve">to go out (going out)</t>
  </si>
  <si>
    <t xml:space="preserve">V0656</t>
  </si>
  <si>
    <t xml:space="preserve">tosaigh (ag tosú)</t>
  </si>
  <si>
    <t xml:space="preserve">tosaigh</t>
  </si>
  <si>
    <t xml:space="preserve">ag tosú</t>
  </si>
  <si>
    <t xml:space="preserve">to begin (beginning)</t>
  </si>
  <si>
    <t xml:space="preserve">V0657</t>
  </si>
  <si>
    <t xml:space="preserve">triomaigh (ag triomú)</t>
  </si>
  <si>
    <t xml:space="preserve">triomaigh</t>
  </si>
  <si>
    <t xml:space="preserve">ag triomú</t>
  </si>
  <si>
    <t xml:space="preserve">to dry (drying)</t>
  </si>
  <si>
    <t xml:space="preserve">V0658</t>
  </si>
  <si>
    <t xml:space="preserve">(ar) maidin</t>
  </si>
  <si>
    <t xml:space="preserve">(in) the morning</t>
  </si>
  <si>
    <t xml:space="preserve">Daily routine</t>
  </si>
  <si>
    <t xml:space="preserve">V0659</t>
  </si>
  <si>
    <t xml:space="preserve">clog aláraim</t>
  </si>
  <si>
    <t xml:space="preserve">alarm clock</t>
  </si>
  <si>
    <t xml:space="preserve">clog aláraim [m]</t>
  </si>
  <si>
    <t xml:space="preserve">V0660</t>
  </si>
  <si>
    <t xml:space="preserve">on Mondays</t>
  </si>
  <si>
    <t xml:space="preserve">V0661</t>
  </si>
  <si>
    <t xml:space="preserve">go luath, go mall</t>
  </si>
  <si>
    <t xml:space="preserve">early, late</t>
  </si>
  <si>
    <t xml:space="preserve">V0662</t>
  </si>
  <si>
    <t xml:space="preserve">go minic</t>
  </si>
  <si>
    <t xml:space="preserve">often</t>
  </si>
  <si>
    <t xml:space="preserve">V0663</t>
  </si>
  <si>
    <t xml:space="preserve">(san) iarnóin</t>
  </si>
  <si>
    <t xml:space="preserve">(in the) afternoon</t>
  </si>
  <si>
    <t xml:space="preserve">V0664</t>
  </si>
  <si>
    <t xml:space="preserve">sa bhaile</t>
  </si>
  <si>
    <t xml:space="preserve">at home</t>
  </si>
  <si>
    <t xml:space="preserve">V0665</t>
  </si>
  <si>
    <t xml:space="preserve">(san) oíche</t>
  </si>
  <si>
    <t xml:space="preserve">(at) night</t>
  </si>
  <si>
    <t xml:space="preserve">V0666</t>
  </si>
  <si>
    <t xml:space="preserve">(sa) tráthnóna</t>
  </si>
  <si>
    <t xml:space="preserve">(in the) evening</t>
  </si>
  <si>
    <t xml:space="preserve">(sa) tráthnóna [m]</t>
  </si>
  <si>
    <t xml:space="preserve">V0667</t>
  </si>
  <si>
    <t xml:space="preserve">scuab gruaige</t>
  </si>
  <si>
    <t xml:space="preserve">hairbrush</t>
  </si>
  <si>
    <t xml:space="preserve">V0668</t>
  </si>
  <si>
    <t xml:space="preserve">scuab fiacla</t>
  </si>
  <si>
    <t xml:space="preserve">toothbrush</t>
  </si>
  <si>
    <t xml:space="preserve">V0669</t>
  </si>
  <si>
    <t xml:space="preserve">bain éadaí de (ag baint éadaí de)</t>
  </si>
  <si>
    <t xml:space="preserve">bain éadaí de</t>
  </si>
  <si>
    <t xml:space="preserve">ag baint éadaí de</t>
  </si>
  <si>
    <t xml:space="preserve">to undress (undressing)</t>
  </si>
  <si>
    <t xml:space="preserve">V0670</t>
  </si>
  <si>
    <t xml:space="preserve">bearr (ag bearradh)</t>
  </si>
  <si>
    <t xml:space="preserve">bearr</t>
  </si>
  <si>
    <t xml:space="preserve">ag bearradh</t>
  </si>
  <si>
    <t xml:space="preserve">to shave (shaving)</t>
  </si>
  <si>
    <t xml:space="preserve">V0671</t>
  </si>
  <si>
    <t xml:space="preserve">V0672</t>
  </si>
  <si>
    <t xml:space="preserve">cuir éadaí ar (ag cur éadaí ar)</t>
  </si>
  <si>
    <t xml:space="preserve">cuir éadaí ar</t>
  </si>
  <si>
    <t xml:space="preserve">ag cur éadaí ar</t>
  </si>
  <si>
    <t xml:space="preserve">to get dressed (getting dressed)</t>
  </si>
  <si>
    <t xml:space="preserve">V0673</t>
  </si>
  <si>
    <t xml:space="preserve">cuir éide scoile ar (ag cur éide scoile ar)</t>
  </si>
  <si>
    <t xml:space="preserve">cuir éide scoile ar</t>
  </si>
  <si>
    <t xml:space="preserve">ag cur éide scoile ar</t>
  </si>
  <si>
    <t xml:space="preserve">to put on school uniform (putting on school uniform)</t>
  </si>
  <si>
    <t xml:space="preserve">V0674</t>
  </si>
  <si>
    <t xml:space="preserve">cuir smideadh ar (ag cur smideadh ar)</t>
  </si>
  <si>
    <t xml:space="preserve">cuir smideadh ar</t>
  </si>
  <si>
    <t xml:space="preserve">ag cur smideadh ar</t>
  </si>
  <si>
    <t xml:space="preserve">to put on make-up (putting on make-up)</t>
  </si>
  <si>
    <t xml:space="preserve">V0675</t>
  </si>
  <si>
    <t xml:space="preserve">déan (ag déanamh)</t>
  </si>
  <si>
    <t xml:space="preserve">déan</t>
  </si>
  <si>
    <t xml:space="preserve">to do/make (doing/making)</t>
  </si>
  <si>
    <t xml:space="preserve">V0676</t>
  </si>
  <si>
    <t xml:space="preserve">V0677</t>
  </si>
  <si>
    <t xml:space="preserve">fág an teach (ag fágáil an tí)</t>
  </si>
  <si>
    <t xml:space="preserve">fág an teach</t>
  </si>
  <si>
    <t xml:space="preserve">ag fágáil an tí</t>
  </si>
  <si>
    <t xml:space="preserve">to leave the house (leaving the house)</t>
  </si>
  <si>
    <t xml:space="preserve">V0678</t>
  </si>
  <si>
    <t xml:space="preserve">fág slán (ag fágáil slán)</t>
  </si>
  <si>
    <t xml:space="preserve">fág slán</t>
  </si>
  <si>
    <t xml:space="preserve">ag fágáil slán</t>
  </si>
  <si>
    <t xml:space="preserve">to say goodbye (saying goodbye)</t>
  </si>
  <si>
    <t xml:space="preserve">V0679</t>
  </si>
  <si>
    <t xml:space="preserve">faigh (ag fáil)</t>
  </si>
  <si>
    <t xml:space="preserve">faigh</t>
  </si>
  <si>
    <t xml:space="preserve">ag fáil</t>
  </si>
  <si>
    <t xml:space="preserve">to get (getting)</t>
  </si>
  <si>
    <t xml:space="preserve">V0680</t>
  </si>
  <si>
    <t xml:space="preserve">fan (ag fanacht) le</t>
  </si>
  <si>
    <t xml:space="preserve">fan</t>
  </si>
  <si>
    <t xml:space="preserve">ag fanacht</t>
  </si>
  <si>
    <t xml:space="preserve">to wait for (waiting for)</t>
  </si>
  <si>
    <t xml:space="preserve">V0681</t>
  </si>
  <si>
    <t xml:space="preserve">folcadh a ghlacadh, cithfholcadh a</t>
  </si>
  <si>
    <t xml:space="preserve">to take a bath (taking a bath), to take a</t>
  </si>
  <si>
    <t xml:space="preserve">V0682</t>
  </si>
  <si>
    <t xml:space="preserve">ghlacadh</t>
  </si>
  <si>
    <t xml:space="preserve">shower (taking a shower)</t>
  </si>
  <si>
    <t xml:space="preserve">V0683</t>
  </si>
  <si>
    <t xml:space="preserve">V0684</t>
  </si>
  <si>
    <t xml:space="preserve">V0685</t>
  </si>
  <si>
    <t xml:space="preserve">to speak (speaking) to/with</t>
  </si>
  <si>
    <t xml:space="preserve">V0686</t>
  </si>
  <si>
    <t xml:space="preserve">múscail (ag múscailt)</t>
  </si>
  <si>
    <t xml:space="preserve">múscail</t>
  </si>
  <si>
    <t xml:space="preserve">ag múscailt</t>
  </si>
  <si>
    <t xml:space="preserve">to wake up (waking up)</t>
  </si>
  <si>
    <t xml:space="preserve">V0687</t>
  </si>
  <si>
    <t xml:space="preserve">V0688</t>
  </si>
  <si>
    <t xml:space="preserve">oibrigh (ag obair)</t>
  </si>
  <si>
    <t xml:space="preserve">oibrigh</t>
  </si>
  <si>
    <t xml:space="preserve">ag obair</t>
  </si>
  <si>
    <t xml:space="preserve">to work (working)</t>
  </si>
  <si>
    <t xml:space="preserve">V0689</t>
  </si>
  <si>
    <t xml:space="preserve">V0690</t>
  </si>
  <si>
    <t xml:space="preserve">scuab fiacla/gruaig (ag scuabadh fiacla/</t>
  </si>
  <si>
    <t xml:space="preserve">to brush your teeth/hair (brushing your</t>
  </si>
  <si>
    <t xml:space="preserve">V0691</t>
  </si>
  <si>
    <t xml:space="preserve">gruaige)</t>
  </si>
  <si>
    <t xml:space="preserve">teeth/hair</t>
  </si>
  <si>
    <t xml:space="preserve">V0692</t>
  </si>
  <si>
    <t xml:space="preserve">seinn (ag seinm)</t>
  </si>
  <si>
    <t xml:space="preserve">seinn</t>
  </si>
  <si>
    <t xml:space="preserve">ag seinm</t>
  </si>
  <si>
    <t xml:space="preserve">to play (music) (playing)</t>
  </si>
  <si>
    <t xml:space="preserve">V0693</t>
  </si>
  <si>
    <t xml:space="preserve">siúil (ag siúl) (an madadh)</t>
  </si>
  <si>
    <t xml:space="preserve">siúil (an madadh)</t>
  </si>
  <si>
    <t xml:space="preserve">ag siúl</t>
  </si>
  <si>
    <t xml:space="preserve">to walk (walking) (the dog)</t>
  </si>
  <si>
    <t xml:space="preserve">V0694</t>
  </si>
  <si>
    <t xml:space="preserve">V0695</t>
  </si>
  <si>
    <t xml:space="preserve">téigh síos staighre/a luí/</t>
  </si>
  <si>
    <t xml:space="preserve">to go downstairs/to bed/to</t>
  </si>
  <si>
    <t xml:space="preserve">V0696</t>
  </si>
  <si>
    <t xml:space="preserve">a chodladh/abhaile (ag dul síos</t>
  </si>
  <si>
    <t xml:space="preserve">sleep/home (going downstairs/to</t>
  </si>
  <si>
    <t xml:space="preserve">V0697</t>
  </si>
  <si>
    <t xml:space="preserve">staighre/a luí/a chodladh/abhaile)</t>
  </si>
  <si>
    <t xml:space="preserve">bed/to sleep/home)</t>
  </si>
  <si>
    <t xml:space="preserve">V0698</t>
  </si>
  <si>
    <t xml:space="preserve">to start (starting)</t>
  </si>
  <si>
    <t xml:space="preserve">V0699</t>
  </si>
  <si>
    <t xml:space="preserve">Customs, festivals and celebrations</t>
  </si>
  <si>
    <t xml:space="preserve">V0700</t>
  </si>
  <si>
    <t xml:space="preserve">V0701</t>
  </si>
  <si>
    <t xml:space="preserve">V0702</t>
  </si>
  <si>
    <t xml:space="preserve">an Cháisc</t>
  </si>
  <si>
    <t xml:space="preserve">Easter</t>
  </si>
  <si>
    <t xml:space="preserve">V0703</t>
  </si>
  <si>
    <t xml:space="preserve">Aoine an Chéasta</t>
  </si>
  <si>
    <t xml:space="preserve">Good Friday</t>
  </si>
  <si>
    <t xml:space="preserve">V0704</t>
  </si>
  <si>
    <t xml:space="preserve">V0705</t>
  </si>
  <si>
    <t xml:space="preserve">ar bís</t>
  </si>
  <si>
    <t xml:space="preserve">impatient (to do something)</t>
  </si>
  <si>
    <t xml:space="preserve">V0706</t>
  </si>
  <si>
    <t xml:space="preserve">Aspal na hÉireann</t>
  </si>
  <si>
    <t xml:space="preserve">Apostle of Ireland</t>
  </si>
  <si>
    <t xml:space="preserve">Aspal na hÉireann [m]</t>
  </si>
  <si>
    <t xml:space="preserve">V0707</t>
  </si>
  <si>
    <t xml:space="preserve">bainis</t>
  </si>
  <si>
    <t xml:space="preserve">wedding</t>
  </si>
  <si>
    <t xml:space="preserve">V0708</t>
  </si>
  <si>
    <t xml:space="preserve">bairín breac</t>
  </si>
  <si>
    <t xml:space="preserve">barmbrack</t>
  </si>
  <si>
    <t xml:space="preserve">bairín breac [m]</t>
  </si>
  <si>
    <t xml:space="preserve">V0709</t>
  </si>
  <si>
    <t xml:space="preserve">baisteadh</t>
  </si>
  <si>
    <t xml:space="preserve">christening</t>
  </si>
  <si>
    <t xml:space="preserve">baisteadh [m]</t>
  </si>
  <si>
    <t xml:space="preserve">V0710</t>
  </si>
  <si>
    <t xml:space="preserve">banna ceoil</t>
  </si>
  <si>
    <t xml:space="preserve">music band</t>
  </si>
  <si>
    <t xml:space="preserve">banna ceoil [m]</t>
  </si>
  <si>
    <t xml:space="preserve">V0711</t>
  </si>
  <si>
    <t xml:space="preserve">bás</t>
  </si>
  <si>
    <t xml:space="preserve">death</t>
  </si>
  <si>
    <t xml:space="preserve">bás [m]</t>
  </si>
  <si>
    <t xml:space="preserve">V0712</t>
  </si>
  <si>
    <t xml:space="preserve">V0713</t>
  </si>
  <si>
    <t xml:space="preserve">parcel</t>
  </si>
  <si>
    <t xml:space="preserve">V0714</t>
  </si>
  <si>
    <t xml:space="preserve">V0715</t>
  </si>
  <si>
    <t xml:space="preserve">biachlár</t>
  </si>
  <si>
    <t xml:space="preserve">menu</t>
  </si>
  <si>
    <t xml:space="preserve">biachlár [m]</t>
  </si>
  <si>
    <t xml:space="preserve">V0716</t>
  </si>
  <si>
    <t xml:space="preserve">bialann</t>
  </si>
  <si>
    <t xml:space="preserve">restaurant</t>
  </si>
  <si>
    <t xml:space="preserve">V0717</t>
  </si>
  <si>
    <t xml:space="preserve">bláthanna</t>
  </si>
  <si>
    <t xml:space="preserve">flowers</t>
  </si>
  <si>
    <t xml:space="preserve">bláthanna [mpl]</t>
  </si>
  <si>
    <t xml:space="preserve">V0718</t>
  </si>
  <si>
    <t xml:space="preserve">bratach</t>
  </si>
  <si>
    <t xml:space="preserve">flag</t>
  </si>
  <si>
    <t xml:space="preserve">bratach [m]</t>
  </si>
  <si>
    <t xml:space="preserve">V0719</t>
  </si>
  <si>
    <t xml:space="preserve">V0720</t>
  </si>
  <si>
    <t xml:space="preserve">V0721</t>
  </si>
  <si>
    <t xml:space="preserve">V0722</t>
  </si>
  <si>
    <t xml:space="preserve">Breithlá sona duit!, Lá breithe sona duit!</t>
  </si>
  <si>
    <t xml:space="preserve">Happy birthday!</t>
  </si>
  <si>
    <t xml:space="preserve">V0723</t>
  </si>
  <si>
    <t xml:space="preserve">present, gift</t>
  </si>
  <si>
    <t xml:space="preserve">V0724</t>
  </si>
  <si>
    <t xml:space="preserve">buíochas</t>
  </si>
  <si>
    <t xml:space="preserve">thanks</t>
  </si>
  <si>
    <t xml:space="preserve">buíochas [m]</t>
  </si>
  <si>
    <t xml:space="preserve">V0725</t>
  </si>
  <si>
    <t xml:space="preserve">cárta</t>
  </si>
  <si>
    <t xml:space="preserve">card</t>
  </si>
  <si>
    <t xml:space="preserve">cárta [m]</t>
  </si>
  <si>
    <t xml:space="preserve">V0726</t>
  </si>
  <si>
    <t xml:space="preserve">ceachtanna tiomána</t>
  </si>
  <si>
    <t xml:space="preserve">driving lessons</t>
  </si>
  <si>
    <t xml:space="preserve">ceachtanna tiomána [mpl]</t>
  </si>
  <si>
    <t xml:space="preserve">V0727</t>
  </si>
  <si>
    <t xml:space="preserve">ceiliúradh</t>
  </si>
  <si>
    <t xml:space="preserve">celebration</t>
  </si>
  <si>
    <t xml:space="preserve">ceiliúradh [m]</t>
  </si>
  <si>
    <t xml:space="preserve">V0728</t>
  </si>
  <si>
    <t xml:space="preserve">V0729</t>
  </si>
  <si>
    <t xml:space="preserve">císte</t>
  </si>
  <si>
    <t xml:space="preserve">cake</t>
  </si>
  <si>
    <t xml:space="preserve">císte [m]</t>
  </si>
  <si>
    <t xml:space="preserve">V0730</t>
  </si>
  <si>
    <t xml:space="preserve">cluichí ríomhaire</t>
  </si>
  <si>
    <t xml:space="preserve">computer games</t>
  </si>
  <si>
    <t xml:space="preserve">cluichí ríomhaire [mpl]</t>
  </si>
  <si>
    <t xml:space="preserve">V0731</t>
  </si>
  <si>
    <t xml:space="preserve">cnónna</t>
  </si>
  <si>
    <t xml:space="preserve">nuts</t>
  </si>
  <si>
    <t xml:space="preserve">cnónna [mpl]</t>
  </si>
  <si>
    <t xml:space="preserve">V0732</t>
  </si>
  <si>
    <t xml:space="preserve">coinneal</t>
  </si>
  <si>
    <t xml:space="preserve">candle</t>
  </si>
  <si>
    <t xml:space="preserve">V0733</t>
  </si>
  <si>
    <t xml:space="preserve">V0734</t>
  </si>
  <si>
    <t xml:space="preserve">cuir (ag cur)</t>
  </si>
  <si>
    <t xml:space="preserve">cuir</t>
  </si>
  <si>
    <t xml:space="preserve">put, end (putting, sending)</t>
  </si>
  <si>
    <t xml:space="preserve">V0735</t>
  </si>
  <si>
    <t xml:space="preserve">Daidí na Nollag</t>
  </si>
  <si>
    <t xml:space="preserve">Father Christmas</t>
  </si>
  <si>
    <t xml:space="preserve">Daidí na Nollag [m]</t>
  </si>
  <si>
    <t xml:space="preserve">V0736</t>
  </si>
  <si>
    <t xml:space="preserve">dearbhán</t>
  </si>
  <si>
    <t xml:space="preserve">voucher</t>
  </si>
  <si>
    <t xml:space="preserve">dearbhán [m]</t>
  </si>
  <si>
    <t xml:space="preserve">V0737</t>
  </si>
  <si>
    <t xml:space="preserve">V0738</t>
  </si>
  <si>
    <t xml:space="preserve">V0739</t>
  </si>
  <si>
    <t xml:space="preserve">V0740</t>
  </si>
  <si>
    <t xml:space="preserve">V0741</t>
  </si>
  <si>
    <t xml:space="preserve">Domhnach Cásca</t>
  </si>
  <si>
    <t xml:space="preserve">Easter Sunday</t>
  </si>
  <si>
    <t xml:space="preserve">Domhnach Cásca [m]</t>
  </si>
  <si>
    <t xml:space="preserve">V0742</t>
  </si>
  <si>
    <t xml:space="preserve">fáinne airgid</t>
  </si>
  <si>
    <t xml:space="preserve">silver ring, silver fáinne</t>
  </si>
  <si>
    <t xml:space="preserve">fáinne airgid [m]</t>
  </si>
  <si>
    <t xml:space="preserve">V0743</t>
  </si>
  <si>
    <t xml:space="preserve">fáinne óir</t>
  </si>
  <si>
    <t xml:space="preserve">gold ring, gold fáinne</t>
  </si>
  <si>
    <t xml:space="preserve">fáinne óir [m]</t>
  </si>
  <si>
    <t xml:space="preserve">V0744</t>
  </si>
  <si>
    <t xml:space="preserve">fáinní cluaise</t>
  </si>
  <si>
    <t xml:space="preserve">earrings</t>
  </si>
  <si>
    <t xml:space="preserve">fáinní cluaise [mpl]</t>
  </si>
  <si>
    <t xml:space="preserve">V0745</t>
  </si>
  <si>
    <t xml:space="preserve">faire, tórramh</t>
  </si>
  <si>
    <t xml:space="preserve">wake</t>
  </si>
  <si>
    <t xml:space="preserve">V0746</t>
  </si>
  <si>
    <t xml:space="preserve">féasta</t>
  </si>
  <si>
    <t xml:space="preserve">feast</t>
  </si>
  <si>
    <t xml:space="preserve">féasta [m]</t>
  </si>
  <si>
    <t xml:space="preserve">V0747</t>
  </si>
  <si>
    <t xml:space="preserve">féile, féilte</t>
  </si>
  <si>
    <t xml:space="preserve">festival, festivals</t>
  </si>
  <si>
    <t xml:space="preserve">V0748</t>
  </si>
  <si>
    <t xml:space="preserve">féilire</t>
  </si>
  <si>
    <t xml:space="preserve">calendar</t>
  </si>
  <si>
    <t xml:space="preserve">féilire [m]</t>
  </si>
  <si>
    <t xml:space="preserve">V0749</t>
  </si>
  <si>
    <t xml:space="preserve">fial flaithiúil</t>
  </si>
  <si>
    <t xml:space="preserve">V0750</t>
  </si>
  <si>
    <t xml:space="preserve">fleá</t>
  </si>
  <si>
    <t xml:space="preserve">festival, fleadh</t>
  </si>
  <si>
    <t xml:space="preserve">V0751</t>
  </si>
  <si>
    <t xml:space="preserve">fleá cheoil</t>
  </si>
  <si>
    <t xml:space="preserve">music festival</t>
  </si>
  <si>
    <t xml:space="preserve">V0752</t>
  </si>
  <si>
    <t xml:space="preserve">V0753</t>
  </si>
  <si>
    <t xml:space="preserve">V0754</t>
  </si>
  <si>
    <t xml:space="preserve">gealltanas pósta</t>
  </si>
  <si>
    <t xml:space="preserve">engagement</t>
  </si>
  <si>
    <t xml:space="preserve">gealltanas pósta [m]</t>
  </si>
  <si>
    <t xml:space="preserve">V0755</t>
  </si>
  <si>
    <t xml:space="preserve">V0756</t>
  </si>
  <si>
    <t xml:space="preserve">V0757</t>
  </si>
  <si>
    <t xml:space="preserve">Lá Fhéile Bríde</t>
  </si>
  <si>
    <t xml:space="preserve">St Brigid’s Day</t>
  </si>
  <si>
    <t xml:space="preserve">Lá Fhéile Bríde [m]</t>
  </si>
  <si>
    <t xml:space="preserve">V0758</t>
  </si>
  <si>
    <t xml:space="preserve">Lá Fhéile Pádraig</t>
  </si>
  <si>
    <t xml:space="preserve">St Patrick’s Day</t>
  </si>
  <si>
    <t xml:space="preserve">Lá Fhéile Pádraig [m]</t>
  </si>
  <si>
    <t xml:space="preserve">V0759</t>
  </si>
  <si>
    <t xml:space="preserve">Lá Fhéile Stiofáin</t>
  </si>
  <si>
    <t xml:space="preserve">St Stephen’s Day</t>
  </si>
  <si>
    <t xml:space="preserve">Lá Fhéile Stiofáin [m]</t>
  </si>
  <si>
    <t xml:space="preserve">V0760</t>
  </si>
  <si>
    <t xml:space="preserve">Lá Fhéile Vailintín</t>
  </si>
  <si>
    <t xml:space="preserve">St Valentine’s Day</t>
  </si>
  <si>
    <t xml:space="preserve">Lá Fhéile Vailintín [m]</t>
  </si>
  <si>
    <t xml:space="preserve">V0761</t>
  </si>
  <si>
    <t xml:space="preserve">Lá na Bliana Úire</t>
  </si>
  <si>
    <t xml:space="preserve">New Year’s Day</t>
  </si>
  <si>
    <t xml:space="preserve">Lá na Bliana Úire [m]</t>
  </si>
  <si>
    <t xml:space="preserve">V0762</t>
  </si>
  <si>
    <t xml:space="preserve">Lá na Máithreacha</t>
  </si>
  <si>
    <t xml:space="preserve">Mothers’ Day</t>
  </si>
  <si>
    <t xml:space="preserve">Lá na Máithreacha [m]</t>
  </si>
  <si>
    <t xml:space="preserve">V0763</t>
  </si>
  <si>
    <t xml:space="preserve">Lá na nAithreacha</t>
  </si>
  <si>
    <t xml:space="preserve">Fathers’ Day</t>
  </si>
  <si>
    <t xml:space="preserve">Lá na nAithreacha [m]</t>
  </si>
  <si>
    <t xml:space="preserve">V0764</t>
  </si>
  <si>
    <t xml:space="preserve">Lá na nAmadán</t>
  </si>
  <si>
    <t xml:space="preserve">All Fools’ Day, April Fool’s Day</t>
  </si>
  <si>
    <t xml:space="preserve">Lá na nAmadán [m]</t>
  </si>
  <si>
    <t xml:space="preserve">V0765</t>
  </si>
  <si>
    <t xml:space="preserve">Lá Nollag</t>
  </si>
  <si>
    <t xml:space="preserve">Christmas Day</t>
  </si>
  <si>
    <t xml:space="preserve">Lá Nollag [m]</t>
  </si>
  <si>
    <t xml:space="preserve">V0766</t>
  </si>
  <si>
    <t xml:space="preserve">lá saoire bainc</t>
  </si>
  <si>
    <t xml:space="preserve">bank holiday</t>
  </si>
  <si>
    <t xml:space="preserve">lá saoire bainc [m]</t>
  </si>
  <si>
    <t xml:space="preserve">V0767</t>
  </si>
  <si>
    <t xml:space="preserve">V0768</t>
  </si>
  <si>
    <t xml:space="preserve">liamhás</t>
  </si>
  <si>
    <t xml:space="preserve">ham</t>
  </si>
  <si>
    <t xml:space="preserve">liamhás [m]</t>
  </si>
  <si>
    <t xml:space="preserve">V0769</t>
  </si>
  <si>
    <t xml:space="preserve">Máirt Inide</t>
  </si>
  <si>
    <t xml:space="preserve">Shrove Tuesday</t>
  </si>
  <si>
    <t xml:space="preserve">V0770</t>
  </si>
  <si>
    <t xml:space="preserve">maróg</t>
  </si>
  <si>
    <t xml:space="preserve">pudding</t>
  </si>
  <si>
    <t xml:space="preserve">V0771</t>
  </si>
  <si>
    <t xml:space="preserve">mí na meala</t>
  </si>
  <si>
    <t xml:space="preserve">honeymoon</t>
  </si>
  <si>
    <t xml:space="preserve">V0772</t>
  </si>
  <si>
    <t xml:space="preserve">mórshiúl</t>
  </si>
  <si>
    <t xml:space="preserve">procession</t>
  </si>
  <si>
    <t xml:space="preserve">mórshiúl [m]</t>
  </si>
  <si>
    <t xml:space="preserve">V0773</t>
  </si>
  <si>
    <t xml:space="preserve">mórtas</t>
  </si>
  <si>
    <t xml:space="preserve">pride</t>
  </si>
  <si>
    <t xml:space="preserve">mórtas [m]</t>
  </si>
  <si>
    <t xml:space="preserve">V0774</t>
  </si>
  <si>
    <t xml:space="preserve">mosc</t>
  </si>
  <si>
    <t xml:space="preserve">mosque</t>
  </si>
  <si>
    <t xml:space="preserve">mosc [m]</t>
  </si>
  <si>
    <t xml:space="preserve">V0775</t>
  </si>
  <si>
    <t xml:space="preserve">naomh</t>
  </si>
  <si>
    <t xml:space="preserve">saint</t>
  </si>
  <si>
    <t xml:space="preserve">naomh [m]</t>
  </si>
  <si>
    <t xml:space="preserve">V0776</t>
  </si>
  <si>
    <t xml:space="preserve">Nollaig (Mí na Nollag)</t>
  </si>
  <si>
    <t xml:space="preserve">V0777</t>
  </si>
  <si>
    <t xml:space="preserve">nós, nósanna</t>
  </si>
  <si>
    <t xml:space="preserve">custom, customs</t>
  </si>
  <si>
    <t xml:space="preserve">nós, nósanna [mpl]</t>
  </si>
  <si>
    <t xml:space="preserve">V0778</t>
  </si>
  <si>
    <t xml:space="preserve">ócáid</t>
  </si>
  <si>
    <t xml:space="preserve">occasion</t>
  </si>
  <si>
    <t xml:space="preserve">V0779</t>
  </si>
  <si>
    <t xml:space="preserve">Oíche Chinn Bliana</t>
  </si>
  <si>
    <t xml:space="preserve">New Year’s Eve</t>
  </si>
  <si>
    <t xml:space="preserve">V0780</t>
  </si>
  <si>
    <t xml:space="preserve">Oíche Nollag</t>
  </si>
  <si>
    <t xml:space="preserve">Christmas Eve</t>
  </si>
  <si>
    <t xml:space="preserve">V0781</t>
  </si>
  <si>
    <t xml:space="preserve">Oíche Shamhna</t>
  </si>
  <si>
    <t xml:space="preserve">Hallowe’en Night</t>
  </si>
  <si>
    <t xml:space="preserve">V0782</t>
  </si>
  <si>
    <t xml:space="preserve">paidir</t>
  </si>
  <si>
    <t xml:space="preserve">prayer</t>
  </si>
  <si>
    <t xml:space="preserve">V0783</t>
  </si>
  <si>
    <t xml:space="preserve">Pápa</t>
  </si>
  <si>
    <t xml:space="preserve">Pope</t>
  </si>
  <si>
    <t xml:space="preserve">Pápa [m]</t>
  </si>
  <si>
    <t xml:space="preserve">V0784</t>
  </si>
  <si>
    <t xml:space="preserve">paráid</t>
  </si>
  <si>
    <t xml:space="preserve">parade</t>
  </si>
  <si>
    <t xml:space="preserve">V0785</t>
  </si>
  <si>
    <t xml:space="preserve">pósadh</t>
  </si>
  <si>
    <t xml:space="preserve">marriage</t>
  </si>
  <si>
    <t xml:space="preserve">pósadh [m]</t>
  </si>
  <si>
    <t xml:space="preserve">V0786</t>
  </si>
  <si>
    <t xml:space="preserve">V0787</t>
  </si>
  <si>
    <t xml:space="preserve">sagart</t>
  </si>
  <si>
    <t xml:space="preserve">priest</t>
  </si>
  <si>
    <t xml:space="preserve">sagart [m]</t>
  </si>
  <si>
    <t xml:space="preserve">V0788</t>
  </si>
  <si>
    <t xml:space="preserve">Samhain</t>
  </si>
  <si>
    <t xml:space="preserve">Hallowe’en, November</t>
  </si>
  <si>
    <t xml:space="preserve">V0789</t>
  </si>
  <si>
    <t xml:space="preserve">seamróg</t>
  </si>
  <si>
    <t xml:space="preserve">shamrock</t>
  </si>
  <si>
    <t xml:space="preserve">V0790</t>
  </si>
  <si>
    <t xml:space="preserve">séipéal, teach pobail</t>
  </si>
  <si>
    <t xml:space="preserve">chapel</t>
  </si>
  <si>
    <t xml:space="preserve">séipéal, teach pobail [m]</t>
  </si>
  <si>
    <t xml:space="preserve">V0791</t>
  </si>
  <si>
    <t xml:space="preserve">V0792</t>
  </si>
  <si>
    <t xml:space="preserve">slabhra</t>
  </si>
  <si>
    <t xml:space="preserve">chain</t>
  </si>
  <si>
    <t xml:space="preserve">slabhra [m]</t>
  </si>
  <si>
    <t xml:space="preserve">V0793</t>
  </si>
  <si>
    <t xml:space="preserve">sochraid</t>
  </si>
  <si>
    <t xml:space="preserve">funeral</t>
  </si>
  <si>
    <t xml:space="preserve">V0794</t>
  </si>
  <si>
    <t xml:space="preserve">solas</t>
  </si>
  <si>
    <t xml:space="preserve">light</t>
  </si>
  <si>
    <t xml:space="preserve">solas [m]</t>
  </si>
  <si>
    <t xml:space="preserve">V0795</t>
  </si>
  <si>
    <t xml:space="preserve">teach pobail, séipéal</t>
  </si>
  <si>
    <t xml:space="preserve">church</t>
  </si>
  <si>
    <t xml:space="preserve">V0796</t>
  </si>
  <si>
    <t xml:space="preserve">tinte ealaíne</t>
  </si>
  <si>
    <t xml:space="preserve">fireworks</t>
  </si>
  <si>
    <t xml:space="preserve">tinte ealaíne [fpl]</t>
  </si>
  <si>
    <t xml:space="preserve">V0797</t>
  </si>
  <si>
    <t xml:space="preserve">toirtín úll</t>
  </si>
  <si>
    <t xml:space="preserve">apple tart</t>
  </si>
  <si>
    <t xml:space="preserve">toirtín úll [m]</t>
  </si>
  <si>
    <t xml:space="preserve">V0798</t>
  </si>
  <si>
    <t xml:space="preserve">tórramh</t>
  </si>
  <si>
    <t xml:space="preserve">tórramh [m]</t>
  </si>
  <si>
    <t xml:space="preserve">V0799</t>
  </si>
  <si>
    <t xml:space="preserve">turcaí</t>
  </si>
  <si>
    <t xml:space="preserve">turkey</t>
  </si>
  <si>
    <t xml:space="preserve">turcaí [m]</t>
  </si>
  <si>
    <t xml:space="preserve">V0800</t>
  </si>
  <si>
    <t xml:space="preserve">uachtar</t>
  </si>
  <si>
    <t xml:space="preserve">cream</t>
  </si>
  <si>
    <t xml:space="preserve">uachtar [m]</t>
  </si>
  <si>
    <t xml:space="preserve">V0801</t>
  </si>
  <si>
    <t xml:space="preserve">uaineoil</t>
  </si>
  <si>
    <t xml:space="preserve">lamb</t>
  </si>
  <si>
    <t xml:space="preserve">V0802</t>
  </si>
  <si>
    <t xml:space="preserve">V0803</t>
  </si>
  <si>
    <t xml:space="preserve">ubh, uibheacha</t>
  </si>
  <si>
    <t xml:space="preserve">egg, eggs</t>
  </si>
  <si>
    <t xml:space="preserve">V0804</t>
  </si>
  <si>
    <t xml:space="preserve">V0805</t>
  </si>
  <si>
    <t xml:space="preserve">urnaí, guí</t>
  </si>
  <si>
    <t xml:space="preserve">V0806</t>
  </si>
  <si>
    <t xml:space="preserve">déan troscadh (ag déanamh troscaidh)</t>
  </si>
  <si>
    <t xml:space="preserve">déan troscadh</t>
  </si>
  <si>
    <t xml:space="preserve">ag déanamh troscaidh</t>
  </si>
  <si>
    <t xml:space="preserve">to fast (fasting)</t>
  </si>
  <si>
    <t xml:space="preserve">V0807</t>
  </si>
  <si>
    <t xml:space="preserve">V0808</t>
  </si>
  <si>
    <t xml:space="preserve">faigh bás (ag fáil bháis)</t>
  </si>
  <si>
    <t xml:space="preserve">faigh bás</t>
  </si>
  <si>
    <t xml:space="preserve">ag fáil bháis</t>
  </si>
  <si>
    <t xml:space="preserve">to die (dying) (Ulster)</t>
  </si>
  <si>
    <t xml:space="preserve">V0809</t>
  </si>
  <si>
    <t xml:space="preserve">guigh (ag guí)</t>
  </si>
  <si>
    <t xml:space="preserve">guigh</t>
  </si>
  <si>
    <t xml:space="preserve">ag guí</t>
  </si>
  <si>
    <t xml:space="preserve">to pray (praying)</t>
  </si>
  <si>
    <t xml:space="preserve">V0810</t>
  </si>
  <si>
    <t xml:space="preserve">maisigh (ag maisiú)</t>
  </si>
  <si>
    <t xml:space="preserve">maisigh</t>
  </si>
  <si>
    <t xml:space="preserve">ag maisiú</t>
  </si>
  <si>
    <t xml:space="preserve">to decorate (decorating)</t>
  </si>
  <si>
    <t xml:space="preserve">V0811</t>
  </si>
  <si>
    <t xml:space="preserve">V0812</t>
  </si>
  <si>
    <t xml:space="preserve">rugadh</t>
  </si>
  <si>
    <t xml:space="preserve">was born</t>
  </si>
  <si>
    <t xml:space="preserve">V0813</t>
  </si>
  <si>
    <t xml:space="preserve">tabhair (ag tabhairt)</t>
  </si>
  <si>
    <t xml:space="preserve">tabhair</t>
  </si>
  <si>
    <t xml:space="preserve">ag tabhairt</t>
  </si>
  <si>
    <t xml:space="preserve">to give (giving)</t>
  </si>
  <si>
    <t xml:space="preserve">V0814</t>
  </si>
  <si>
    <t xml:space="preserve">ag mo theach, sa bhaile</t>
  </si>
  <si>
    <t xml:space="preserve">at my house, at home</t>
  </si>
  <si>
    <t xml:space="preserve">My local environment</t>
  </si>
  <si>
    <t xml:space="preserve">My house</t>
  </si>
  <si>
    <t xml:space="preserve">V0815</t>
  </si>
  <si>
    <t xml:space="preserve">áiléar</t>
  </si>
  <si>
    <t xml:space="preserve">attic, loft</t>
  </si>
  <si>
    <t xml:space="preserve">áiléar [m]</t>
  </si>
  <si>
    <t xml:space="preserve">V0816</t>
  </si>
  <si>
    <t xml:space="preserve">an chéad urlár</t>
  </si>
  <si>
    <t xml:space="preserve">first floor</t>
  </si>
  <si>
    <t xml:space="preserve">an chéad urlár [m]</t>
  </si>
  <si>
    <t xml:space="preserve">V0817</t>
  </si>
  <si>
    <t xml:space="preserve">cistin</t>
  </si>
  <si>
    <t xml:space="preserve">kitchen</t>
  </si>
  <si>
    <t xml:space="preserve">V0818</t>
  </si>
  <si>
    <t xml:space="preserve">gairdín</t>
  </si>
  <si>
    <t xml:space="preserve">garden</t>
  </si>
  <si>
    <t xml:space="preserve">gairdín [m]</t>
  </si>
  <si>
    <t xml:space="preserve">V0819</t>
  </si>
  <si>
    <t xml:space="preserve">garáiste</t>
  </si>
  <si>
    <t xml:space="preserve">garage</t>
  </si>
  <si>
    <t xml:space="preserve">garáiste [m]</t>
  </si>
  <si>
    <t xml:space="preserve">V0820</t>
  </si>
  <si>
    <t xml:space="preserve">grianán, seomra gréine</t>
  </si>
  <si>
    <t xml:space="preserve">conservatory</t>
  </si>
  <si>
    <t xml:space="preserve">grianán, seomra gréine [m]</t>
  </si>
  <si>
    <t xml:space="preserve">V0821</t>
  </si>
  <si>
    <t xml:space="preserve">halla iontrála</t>
  </si>
  <si>
    <t xml:space="preserve">entrance hall</t>
  </si>
  <si>
    <t xml:space="preserve">halla iontrála [m]</t>
  </si>
  <si>
    <t xml:space="preserve">V0822</t>
  </si>
  <si>
    <t xml:space="preserve">íoslach</t>
  </si>
  <si>
    <t xml:space="preserve">basement</t>
  </si>
  <si>
    <t xml:space="preserve">íoslach [m]</t>
  </si>
  <si>
    <t xml:space="preserve">V0823</t>
  </si>
  <si>
    <t xml:space="preserve">leithreas</t>
  </si>
  <si>
    <t xml:space="preserve">toilet</t>
  </si>
  <si>
    <t xml:space="preserve">leithreas [m]</t>
  </si>
  <si>
    <t xml:space="preserve">V0824</t>
  </si>
  <si>
    <t xml:space="preserve">oifig, seomra staidéir</t>
  </si>
  <si>
    <t xml:space="preserve">office, study</t>
  </si>
  <si>
    <t xml:space="preserve">oifig, seomra [m] staidéir</t>
  </si>
  <si>
    <t xml:space="preserve">V0825</t>
  </si>
  <si>
    <t xml:space="preserve">paitió</t>
  </si>
  <si>
    <t xml:space="preserve">patio</t>
  </si>
  <si>
    <t xml:space="preserve">paitió [m]</t>
  </si>
  <si>
    <t xml:space="preserve">V0826</t>
  </si>
  <si>
    <t xml:space="preserve">seomra</t>
  </si>
  <si>
    <t xml:space="preserve">room</t>
  </si>
  <si>
    <t xml:space="preserve">seomra [m]</t>
  </si>
  <si>
    <t xml:space="preserve">V0827</t>
  </si>
  <si>
    <t xml:space="preserve">seomra bia</t>
  </si>
  <si>
    <t xml:space="preserve">dining room</t>
  </si>
  <si>
    <t xml:space="preserve">seomra bia [m]</t>
  </si>
  <si>
    <t xml:space="preserve">V0828</t>
  </si>
  <si>
    <t xml:space="preserve">seomra cithfholctha</t>
  </si>
  <si>
    <t xml:space="preserve">shower room</t>
  </si>
  <si>
    <t xml:space="preserve">seomra cithfholctha [m]</t>
  </si>
  <si>
    <t xml:space="preserve">V0829</t>
  </si>
  <si>
    <t xml:space="preserve">seomra fliuch</t>
  </si>
  <si>
    <t xml:space="preserve">wet room</t>
  </si>
  <si>
    <t xml:space="preserve">seomra fliuch [m]</t>
  </si>
  <si>
    <t xml:space="preserve">V0830</t>
  </si>
  <si>
    <t xml:space="preserve">seomra folctha</t>
  </si>
  <si>
    <t xml:space="preserve">bathroom</t>
  </si>
  <si>
    <t xml:space="preserve">seomra folctha [m]</t>
  </si>
  <si>
    <t xml:space="preserve">V0831</t>
  </si>
  <si>
    <t xml:space="preserve">seomra leapa, seomra codlata</t>
  </si>
  <si>
    <t xml:space="preserve">bedroom</t>
  </si>
  <si>
    <t xml:space="preserve">seomra leapa [m], seomra codlata [m]</t>
  </si>
  <si>
    <t xml:space="preserve">V0832</t>
  </si>
  <si>
    <t xml:space="preserve">seomra suí</t>
  </si>
  <si>
    <t xml:space="preserve">sitting room</t>
  </si>
  <si>
    <t xml:space="preserve">seomra suí [m]</t>
  </si>
  <si>
    <t xml:space="preserve">V0833</t>
  </si>
  <si>
    <t xml:space="preserve">staighre</t>
  </si>
  <si>
    <t xml:space="preserve">stairs</t>
  </si>
  <si>
    <t xml:space="preserve">staighre [nm]</t>
  </si>
  <si>
    <t xml:space="preserve">V0834</t>
  </si>
  <si>
    <t xml:space="preserve">thíos staighre</t>
  </si>
  <si>
    <t xml:space="preserve">downstairs</t>
  </si>
  <si>
    <t xml:space="preserve">V0835</t>
  </si>
  <si>
    <t xml:space="preserve">thuas staighre</t>
  </si>
  <si>
    <t xml:space="preserve">upstairs</t>
  </si>
  <si>
    <t xml:space="preserve">V0836</t>
  </si>
  <si>
    <t xml:space="preserve">urlár na talún</t>
  </si>
  <si>
    <t xml:space="preserve">ground floor</t>
  </si>
  <si>
    <t xml:space="preserve">urlár na talún [m]</t>
  </si>
  <si>
    <t xml:space="preserve">V0837</t>
  </si>
  <si>
    <t xml:space="preserve">adhmad</t>
  </si>
  <si>
    <t xml:space="preserve">wood</t>
  </si>
  <si>
    <t xml:space="preserve">In my house</t>
  </si>
  <si>
    <t xml:space="preserve">adhmad [m]</t>
  </si>
  <si>
    <t xml:space="preserve">V0838</t>
  </si>
  <si>
    <t xml:space="preserve">báisín láimhe</t>
  </si>
  <si>
    <t xml:space="preserve">bathroom sink</t>
  </si>
  <si>
    <t xml:space="preserve">báisín láimhe [m]</t>
  </si>
  <si>
    <t xml:space="preserve">V0839</t>
  </si>
  <si>
    <t xml:space="preserve">balla</t>
  </si>
  <si>
    <t xml:space="preserve">wall</t>
  </si>
  <si>
    <t xml:space="preserve">balla [m]</t>
  </si>
  <si>
    <t xml:space="preserve">V0840</t>
  </si>
  <si>
    <t xml:space="preserve">bosca, canna</t>
  </si>
  <si>
    <t xml:space="preserve">box, can</t>
  </si>
  <si>
    <t xml:space="preserve">bosca, canna [m]</t>
  </si>
  <si>
    <t xml:space="preserve">V0841</t>
  </si>
  <si>
    <t xml:space="preserve">brat</t>
  </si>
  <si>
    <t xml:space="preserve">rug</t>
  </si>
  <si>
    <t xml:space="preserve">brat [m]</t>
  </si>
  <si>
    <t xml:space="preserve">V0842</t>
  </si>
  <si>
    <t xml:space="preserve">brat urláir, cairpéad</t>
  </si>
  <si>
    <t xml:space="preserve">carpet</t>
  </si>
  <si>
    <t xml:space="preserve">brat urláir, cairpéad [m]</t>
  </si>
  <si>
    <t xml:space="preserve">V0843</t>
  </si>
  <si>
    <t xml:space="preserve">cathaoir (uilleach)</t>
  </si>
  <si>
    <t xml:space="preserve">(arm)chair</t>
  </si>
  <si>
    <t xml:space="preserve">V0844</t>
  </si>
  <si>
    <t xml:space="preserve">cithfholcadh</t>
  </si>
  <si>
    <t xml:space="preserve">shower</t>
  </si>
  <si>
    <t xml:space="preserve">cithfholcadh [m]</t>
  </si>
  <si>
    <t xml:space="preserve">V0845</t>
  </si>
  <si>
    <t xml:space="preserve">cófra</t>
  </si>
  <si>
    <t xml:space="preserve">cupboard</t>
  </si>
  <si>
    <t xml:space="preserve">cófra [m]</t>
  </si>
  <si>
    <t xml:space="preserve">V0846</t>
  </si>
  <si>
    <t xml:space="preserve">coincréit</t>
  </si>
  <si>
    <t xml:space="preserve">concrete</t>
  </si>
  <si>
    <t xml:space="preserve">V0847</t>
  </si>
  <si>
    <t xml:space="preserve">cuirtín</t>
  </si>
  <si>
    <t xml:space="preserve">curtain</t>
  </si>
  <si>
    <t xml:space="preserve">cuirtín [m]</t>
  </si>
  <si>
    <t xml:space="preserve">V0848</t>
  </si>
  <si>
    <t xml:space="preserve">cuisneoir</t>
  </si>
  <si>
    <t xml:space="preserve">fridge</t>
  </si>
  <si>
    <t xml:space="preserve">cuisneoir [m]</t>
  </si>
  <si>
    <t xml:space="preserve">V0849</t>
  </si>
  <si>
    <t xml:space="preserve">doirteal (na cistine)</t>
  </si>
  <si>
    <t xml:space="preserve">(kitchen)sink</t>
  </si>
  <si>
    <t xml:space="preserve">doirteal [m] (na cistine)</t>
  </si>
  <si>
    <t xml:space="preserve">V0850</t>
  </si>
  <si>
    <t xml:space="preserve">doras</t>
  </si>
  <si>
    <t xml:space="preserve">door</t>
  </si>
  <si>
    <t xml:space="preserve">doras [m]</t>
  </si>
  <si>
    <t xml:space="preserve">V0851</t>
  </si>
  <si>
    <t xml:space="preserve">faiche</t>
  </si>
  <si>
    <t xml:space="preserve">lawn</t>
  </si>
  <si>
    <t xml:space="preserve">V0852</t>
  </si>
  <si>
    <t xml:space="preserve">féar</t>
  </si>
  <si>
    <t xml:space="preserve">grass</t>
  </si>
  <si>
    <t xml:space="preserve">féar [m]</t>
  </si>
  <si>
    <t xml:space="preserve">V0853</t>
  </si>
  <si>
    <t xml:space="preserve">forc</t>
  </si>
  <si>
    <t xml:space="preserve">fork</t>
  </si>
  <si>
    <t xml:space="preserve">forc [m]</t>
  </si>
  <si>
    <t xml:space="preserve">V0854</t>
  </si>
  <si>
    <t xml:space="preserve">fuinneog</t>
  </si>
  <si>
    <t xml:space="preserve">window</t>
  </si>
  <si>
    <t xml:space="preserve">V0855</t>
  </si>
  <si>
    <t xml:space="preserve">gloine</t>
  </si>
  <si>
    <t xml:space="preserve">glass</t>
  </si>
  <si>
    <t xml:space="preserve">V0856</t>
  </si>
  <si>
    <t xml:space="preserve">iarann</t>
  </si>
  <si>
    <t xml:space="preserve">iarann [m]</t>
  </si>
  <si>
    <t xml:space="preserve">V0857</t>
  </si>
  <si>
    <t xml:space="preserve">leaba</t>
  </si>
  <si>
    <t xml:space="preserve">bed</t>
  </si>
  <si>
    <t xml:space="preserve">V0858</t>
  </si>
  <si>
    <t xml:space="preserve">leabhragán</t>
  </si>
  <si>
    <t xml:space="preserve">bookcase</t>
  </si>
  <si>
    <t xml:space="preserve">leabhragán [m]</t>
  </si>
  <si>
    <t xml:space="preserve">V0859</t>
  </si>
  <si>
    <t xml:space="preserve">meaisín níocháin</t>
  </si>
  <si>
    <t xml:space="preserve">washing machine</t>
  </si>
  <si>
    <t xml:space="preserve">meaisín níocháin [m]</t>
  </si>
  <si>
    <t xml:space="preserve">V0860</t>
  </si>
  <si>
    <t xml:space="preserve">miasniteoir, niteoir soithí</t>
  </si>
  <si>
    <t xml:space="preserve">dishwasher</t>
  </si>
  <si>
    <t xml:space="preserve">miasniteoir, niteoir soithí [m]</t>
  </si>
  <si>
    <t xml:space="preserve">V0861</t>
  </si>
  <si>
    <t xml:space="preserve">micreathonnán</t>
  </si>
  <si>
    <t xml:space="preserve">microwave</t>
  </si>
  <si>
    <t xml:space="preserve">micreathonnán [m]</t>
  </si>
  <si>
    <t xml:space="preserve">V0862</t>
  </si>
  <si>
    <t xml:space="preserve">oigheann</t>
  </si>
  <si>
    <t xml:space="preserve">oven</t>
  </si>
  <si>
    <t xml:space="preserve">oigheann [m]</t>
  </si>
  <si>
    <t xml:space="preserve">V0863</t>
  </si>
  <si>
    <t xml:space="preserve">pláta</t>
  </si>
  <si>
    <t xml:space="preserve">plate</t>
  </si>
  <si>
    <t xml:space="preserve">pláta [m]</t>
  </si>
  <si>
    <t xml:space="preserve">V0864</t>
  </si>
  <si>
    <t xml:space="preserve">reoiteoir</t>
  </si>
  <si>
    <t xml:space="preserve">freezer</t>
  </si>
  <si>
    <t xml:space="preserve">reoiteoir [m]</t>
  </si>
  <si>
    <t xml:space="preserve">V0865</t>
  </si>
  <si>
    <t xml:space="preserve">scáthán</t>
  </si>
  <si>
    <t xml:space="preserve">mirror</t>
  </si>
  <si>
    <t xml:space="preserve">scáthán [m]</t>
  </si>
  <si>
    <t xml:space="preserve">V0866</t>
  </si>
  <si>
    <t xml:space="preserve">sceanra</t>
  </si>
  <si>
    <t xml:space="preserve">cutlery</t>
  </si>
  <si>
    <t xml:space="preserve">sceanra [m]</t>
  </si>
  <si>
    <t xml:space="preserve">V0867</t>
  </si>
  <si>
    <t xml:space="preserve">scian</t>
  </si>
  <si>
    <t xml:space="preserve">knife</t>
  </si>
  <si>
    <t xml:space="preserve">V0868</t>
  </si>
  <si>
    <t xml:space="preserve">seilf</t>
  </si>
  <si>
    <t xml:space="preserve">shelf</t>
  </si>
  <si>
    <t xml:space="preserve">V0869</t>
  </si>
  <si>
    <t xml:space="preserve">síleáil</t>
  </si>
  <si>
    <t xml:space="preserve">ceiling</t>
  </si>
  <si>
    <t xml:space="preserve">síleáil [m]</t>
  </si>
  <si>
    <t xml:space="preserve">V0870</t>
  </si>
  <si>
    <t xml:space="preserve">síos, thíos staighre</t>
  </si>
  <si>
    <t xml:space="preserve">down, downstairs</t>
  </si>
  <si>
    <t xml:space="preserve">síos, thíos staighre [m]</t>
  </si>
  <si>
    <t xml:space="preserve">V0871</t>
  </si>
  <si>
    <t xml:space="preserve">sorn</t>
  </si>
  <si>
    <t xml:space="preserve">cooker</t>
  </si>
  <si>
    <t xml:space="preserve">sorn [m]</t>
  </si>
  <si>
    <t xml:space="preserve">V0872</t>
  </si>
  <si>
    <t xml:space="preserve">staighre [m]</t>
  </si>
  <si>
    <t xml:space="preserve">V0873</t>
  </si>
  <si>
    <t xml:space="preserve">suas, thuas staighre</t>
  </si>
  <si>
    <t xml:space="preserve">up, upstairs</t>
  </si>
  <si>
    <t xml:space="preserve">suas, thuas staighre [m]</t>
  </si>
  <si>
    <t xml:space="preserve">V0874</t>
  </si>
  <si>
    <t xml:space="preserve">teas lárnach</t>
  </si>
  <si>
    <t xml:space="preserve">central heating</t>
  </si>
  <si>
    <t xml:space="preserve">teas lárnach [m]</t>
  </si>
  <si>
    <t xml:space="preserve">V0875</t>
  </si>
  <si>
    <t xml:space="preserve">tolg</t>
  </si>
  <si>
    <t xml:space="preserve">sofa</t>
  </si>
  <si>
    <t xml:space="preserve">tolg [m]</t>
  </si>
  <si>
    <t xml:space="preserve">V0876</t>
  </si>
  <si>
    <t xml:space="preserve">troscán</t>
  </si>
  <si>
    <t xml:space="preserve">furniture</t>
  </si>
  <si>
    <t xml:space="preserve">troscán [m]</t>
  </si>
  <si>
    <t xml:space="preserve">V0877</t>
  </si>
  <si>
    <t xml:space="preserve">urlár</t>
  </si>
  <si>
    <t xml:space="preserve">floor</t>
  </si>
  <si>
    <t xml:space="preserve">urlár [m]</t>
  </si>
  <si>
    <t xml:space="preserve">V0878</t>
  </si>
  <si>
    <t xml:space="preserve">vardrús, almóir</t>
  </si>
  <si>
    <t xml:space="preserve">wardrobe</t>
  </si>
  <si>
    <t xml:space="preserve">vardrús, almóir [m]</t>
  </si>
  <si>
    <t xml:space="preserve">V0879</t>
  </si>
  <si>
    <t xml:space="preserve">an t-athchúrsáil a dhéanamh (ag</t>
  </si>
  <si>
    <t xml:space="preserve">to do the recycling (doing the recycling)</t>
  </si>
  <si>
    <t xml:space="preserve">Household jobs</t>
  </si>
  <si>
    <t xml:space="preserve">V0880</t>
  </si>
  <si>
    <t xml:space="preserve">déanamh athchúrsála)</t>
  </si>
  <si>
    <t xml:space="preserve">V0881</t>
  </si>
  <si>
    <t xml:space="preserve">an bosca bruscair a chur amach (ag cur</t>
  </si>
  <si>
    <t xml:space="preserve">to put the bin out (putting the bin out)</t>
  </si>
  <si>
    <t xml:space="preserve">V0882</t>
  </si>
  <si>
    <t xml:space="preserve">amach bosca bruscair)</t>
  </si>
  <si>
    <t xml:space="preserve">V0883</t>
  </si>
  <si>
    <t xml:space="preserve">an chócaireacht a dhéanamh (ag déanamh to do the cooking (doing the cooking)</t>
  </si>
  <si>
    <t xml:space="preserve">an chócaireacht a dhéanamh</t>
  </si>
  <si>
    <t xml:space="preserve">ag déanamh to do the cooking (doing the cooking</t>
  </si>
  <si>
    <t xml:space="preserve">V0884</t>
  </si>
  <si>
    <t xml:space="preserve">chócaireachta)</t>
  </si>
  <si>
    <t xml:space="preserve">V0885</t>
  </si>
  <si>
    <t xml:space="preserve">an gharraíodóireacht a dhéanamh (ag</t>
  </si>
  <si>
    <t xml:space="preserve">to do gardening (doing gardening)</t>
  </si>
  <si>
    <t xml:space="preserve">V0886</t>
  </si>
  <si>
    <t xml:space="preserve">déanamh garraíodóireachta)</t>
  </si>
  <si>
    <t xml:space="preserve">V0887</t>
  </si>
  <si>
    <t xml:space="preserve">an leaba a chóiriú (ag chóiriú na leapa)</t>
  </si>
  <si>
    <t xml:space="preserve">an leaba a chóiriú</t>
  </si>
  <si>
    <t xml:space="preserve">ag chóiriú na leapa</t>
  </si>
  <si>
    <t xml:space="preserve">to make the bed (making the bed)</t>
  </si>
  <si>
    <t xml:space="preserve">V0888</t>
  </si>
  <si>
    <t xml:space="preserve">an níochán a dhéanamh (ag déanamh</t>
  </si>
  <si>
    <t xml:space="preserve">to do the washing (doing the washing)</t>
  </si>
  <si>
    <t xml:space="preserve">V0889</t>
  </si>
  <si>
    <t xml:space="preserve">níocháin)</t>
  </si>
  <si>
    <t xml:space="preserve">V0890</t>
  </si>
  <si>
    <t xml:space="preserve">an smúdáil a dhéanamh (ag déanamh</t>
  </si>
  <si>
    <t xml:space="preserve">to do the ironing (doing the ironing)</t>
  </si>
  <si>
    <t xml:space="preserve">V0891</t>
  </si>
  <si>
    <t xml:space="preserve">smúdála)</t>
  </si>
  <si>
    <t xml:space="preserve">V0892</t>
  </si>
  <si>
    <t xml:space="preserve">an tábla a chóiriú (ag chóiriú tábla)</t>
  </si>
  <si>
    <t xml:space="preserve">an tábla a chóiriú</t>
  </si>
  <si>
    <t xml:space="preserve">ag chóiriú tábla</t>
  </si>
  <si>
    <t xml:space="preserve">to set the table (setting the table)</t>
  </si>
  <si>
    <t xml:space="preserve">V0893</t>
  </si>
  <si>
    <t xml:space="preserve">an tábla a ghlanadh (ag glanadh tábla)</t>
  </si>
  <si>
    <t xml:space="preserve">an tábla a ghlanadh</t>
  </si>
  <si>
    <t xml:space="preserve">ag glanadh tábla</t>
  </si>
  <si>
    <t xml:space="preserve">to clear the table (clearing the table)</t>
  </si>
  <si>
    <t xml:space="preserve">V0894</t>
  </si>
  <si>
    <t xml:space="preserve">an folúsghlanadh a dhéanamh (ag</t>
  </si>
  <si>
    <t xml:space="preserve">to do the vacuuming (doing the</t>
  </si>
  <si>
    <t xml:space="preserve">V0895</t>
  </si>
  <si>
    <t xml:space="preserve">déanamh folúsghlanta)</t>
  </si>
  <si>
    <t xml:space="preserve">vacuuming)</t>
  </si>
  <si>
    <t xml:space="preserve">V0896</t>
  </si>
  <si>
    <t xml:space="preserve">V0897</t>
  </si>
  <si>
    <t xml:space="preserve">na soithí a ní (ag ní na soithí)</t>
  </si>
  <si>
    <t xml:space="preserve">na soithí a ní</t>
  </si>
  <si>
    <t xml:space="preserve">ag ní na soithí</t>
  </si>
  <si>
    <t xml:space="preserve">to wash the dishes (washing the dishes)</t>
  </si>
  <si>
    <t xml:space="preserve">V0898</t>
  </si>
  <si>
    <t xml:space="preserve">obair an tí a dhéanamh (ag déanamh</t>
  </si>
  <si>
    <t xml:space="preserve">to do housework (doing housework)</t>
  </si>
  <si>
    <t xml:space="preserve">V0899</t>
  </si>
  <si>
    <t xml:space="preserve">obair an tí)</t>
  </si>
  <si>
    <t xml:space="preserve">V0900</t>
  </si>
  <si>
    <t xml:space="preserve">an madadh a shiúil (ag siúl an mhadaidh)</t>
  </si>
  <si>
    <t xml:space="preserve">an madadh a shiúil</t>
  </si>
  <si>
    <t xml:space="preserve">ag siúl an mhadaidh</t>
  </si>
  <si>
    <t xml:space="preserve">to walk the dog (walking the dog)</t>
  </si>
  <si>
    <t xml:space="preserve">V0901</t>
  </si>
  <si>
    <t xml:space="preserve">slacht a chur ar …</t>
  </si>
  <si>
    <t xml:space="preserve">to tidy …</t>
  </si>
  <si>
    <t xml:space="preserve">V0902</t>
  </si>
  <si>
    <t xml:space="preserve">téigh a shiopadóireacht (ag dul a shiopadóireacht)</t>
  </si>
  <si>
    <t xml:space="preserve">téigh a shiopadóireacht</t>
  </si>
  <si>
    <t xml:space="preserve">ag dul a shiopadóireacht</t>
  </si>
  <si>
    <t xml:space="preserve">to go shopping (going shopping)</t>
  </si>
  <si>
    <t xml:space="preserve">V0903</t>
  </si>
  <si>
    <t xml:space="preserve">abhainn</t>
  </si>
  <si>
    <t xml:space="preserve">river</t>
  </si>
  <si>
    <t xml:space="preserve">My village/My town and my region</t>
  </si>
  <si>
    <t xml:space="preserve">V0904</t>
  </si>
  <si>
    <t xml:space="preserve">ainmhithe</t>
  </si>
  <si>
    <t xml:space="preserve">animals</t>
  </si>
  <si>
    <t xml:space="preserve">ainmhithe [mpl]</t>
  </si>
  <si>
    <t xml:space="preserve">V0905</t>
  </si>
  <si>
    <t xml:space="preserve">an fharraige</t>
  </si>
  <si>
    <t xml:space="preserve">the sea</t>
  </si>
  <si>
    <t xml:space="preserve">V0906</t>
  </si>
  <si>
    <t xml:space="preserve">árasán</t>
  </si>
  <si>
    <t xml:space="preserve">a flat</t>
  </si>
  <si>
    <t xml:space="preserve">V0907</t>
  </si>
  <si>
    <t xml:space="preserve">bácús</t>
  </si>
  <si>
    <t xml:space="preserve">bakery</t>
  </si>
  <si>
    <t xml:space="preserve">bácús [m]</t>
  </si>
  <si>
    <t xml:space="preserve">V0908</t>
  </si>
  <si>
    <t xml:space="preserve">baile</t>
  </si>
  <si>
    <t xml:space="preserve">town</t>
  </si>
  <si>
    <t xml:space="preserve">baile [m]</t>
  </si>
  <si>
    <t xml:space="preserve">V0909</t>
  </si>
  <si>
    <t xml:space="preserve">baile stairiúil</t>
  </si>
  <si>
    <t xml:space="preserve">historical town</t>
  </si>
  <si>
    <t xml:space="preserve">baile stairiúil [m]</t>
  </si>
  <si>
    <t xml:space="preserve">V0910</t>
  </si>
  <si>
    <t xml:space="preserve">baile tionsclaíoch</t>
  </si>
  <si>
    <t xml:space="preserve">industrial town</t>
  </si>
  <si>
    <t xml:space="preserve">baile tionsclaíoch [m]</t>
  </si>
  <si>
    <t xml:space="preserve">V0911</t>
  </si>
  <si>
    <t xml:space="preserve">baile tráchtála</t>
  </si>
  <si>
    <t xml:space="preserve">commercial town</t>
  </si>
  <si>
    <t xml:space="preserve">baile tráchtála [m]</t>
  </si>
  <si>
    <t xml:space="preserve">V0912</t>
  </si>
  <si>
    <t xml:space="preserve">baile turasóireachta</t>
  </si>
  <si>
    <t xml:space="preserve">tourist town</t>
  </si>
  <si>
    <t xml:space="preserve">baile turasóireachta [m]</t>
  </si>
  <si>
    <t xml:space="preserve">V0913</t>
  </si>
  <si>
    <t xml:space="preserve">V0914</t>
  </si>
  <si>
    <t xml:space="preserve">bóthar</t>
  </si>
  <si>
    <t xml:space="preserve">road</t>
  </si>
  <si>
    <t xml:space="preserve">bóthar [m]</t>
  </si>
  <si>
    <t xml:space="preserve">V0915</t>
  </si>
  <si>
    <t xml:space="preserve">bríomhar</t>
  </si>
  <si>
    <t xml:space="preserve">lively</t>
  </si>
  <si>
    <t xml:space="preserve">V0916</t>
  </si>
  <si>
    <t xml:space="preserve">bruachbhaile</t>
  </si>
  <si>
    <t xml:space="preserve">suburb</t>
  </si>
  <si>
    <t xml:space="preserve">bruachbhaile [m]</t>
  </si>
  <si>
    <t xml:space="preserve">V0917</t>
  </si>
  <si>
    <t xml:space="preserve">brú tráchta</t>
  </si>
  <si>
    <t xml:space="preserve">traffic jam</t>
  </si>
  <si>
    <t xml:space="preserve">brú tráchta [m]</t>
  </si>
  <si>
    <t xml:space="preserve">V0918</t>
  </si>
  <si>
    <t xml:space="preserve">caisleán</t>
  </si>
  <si>
    <t xml:space="preserve">castle</t>
  </si>
  <si>
    <t xml:space="preserve">caisleán [m]</t>
  </si>
  <si>
    <t xml:space="preserve">V0919</t>
  </si>
  <si>
    <t xml:space="preserve">callánach</t>
  </si>
  <si>
    <t xml:space="preserve">noisy</t>
  </si>
  <si>
    <t xml:space="preserve">V0920</t>
  </si>
  <si>
    <t xml:space="preserve">ceantar coisithe, limistéar coisithe</t>
  </si>
  <si>
    <t xml:space="preserve">pedestrian zone</t>
  </si>
  <si>
    <t xml:space="preserve">ceantar coisithe, limistéar coisithe [m]</t>
  </si>
  <si>
    <t xml:space="preserve">V0921</t>
  </si>
  <si>
    <t xml:space="preserve">cearnóg</t>
  </si>
  <si>
    <t xml:space="preserve">square</t>
  </si>
  <si>
    <t xml:space="preserve">V0922</t>
  </si>
  <si>
    <t xml:space="preserve">ceimiceoir, poitigéir</t>
  </si>
  <si>
    <t xml:space="preserve">chemist</t>
  </si>
  <si>
    <t xml:space="preserve">ceimiceoir, poitigéir [m]</t>
  </si>
  <si>
    <t xml:space="preserve">V0923</t>
  </si>
  <si>
    <t xml:space="preserve">coirnéal</t>
  </si>
  <si>
    <t xml:space="preserve">corner</t>
  </si>
  <si>
    <t xml:space="preserve">coirnéal [m]</t>
  </si>
  <si>
    <t xml:space="preserve">V0924</t>
  </si>
  <si>
    <t xml:space="preserve">cois (farraige)</t>
  </si>
  <si>
    <t xml:space="preserve">(sea)side</t>
  </si>
  <si>
    <t xml:space="preserve">V0925</t>
  </si>
  <si>
    <t xml:space="preserve">comhartha bóthair</t>
  </si>
  <si>
    <t xml:space="preserve">signpost</t>
  </si>
  <si>
    <t xml:space="preserve">comhartha bóthair [m]</t>
  </si>
  <si>
    <t xml:space="preserve">V0926</t>
  </si>
  <si>
    <t xml:space="preserve">crann</t>
  </si>
  <si>
    <t xml:space="preserve">tree</t>
  </si>
  <si>
    <t xml:space="preserve">crann [m]</t>
  </si>
  <si>
    <t xml:space="preserve">V0927</t>
  </si>
  <si>
    <t xml:space="preserve">banc</t>
  </si>
  <si>
    <t xml:space="preserve">bank</t>
  </si>
  <si>
    <t xml:space="preserve">banc [m]</t>
  </si>
  <si>
    <t xml:space="preserve">V0928</t>
  </si>
  <si>
    <t xml:space="preserve">deilí</t>
  </si>
  <si>
    <t xml:space="preserve">deli</t>
  </si>
  <si>
    <t xml:space="preserve">deilí [m]</t>
  </si>
  <si>
    <t xml:space="preserve">V0929</t>
  </si>
  <si>
    <t xml:space="preserve">droichead</t>
  </si>
  <si>
    <t xml:space="preserve">bridge</t>
  </si>
  <si>
    <t xml:space="preserve">droichead [m]</t>
  </si>
  <si>
    <t xml:space="preserve">V0930</t>
  </si>
  <si>
    <t xml:space="preserve">feirm</t>
  </si>
  <si>
    <t xml:space="preserve">farm</t>
  </si>
  <si>
    <t xml:space="preserve">V0931</t>
  </si>
  <si>
    <t xml:space="preserve">foraois, coill</t>
  </si>
  <si>
    <t xml:space="preserve">forest</t>
  </si>
  <si>
    <t xml:space="preserve">V0932</t>
  </si>
  <si>
    <t xml:space="preserve">gruagaire</t>
  </si>
  <si>
    <t xml:space="preserve">hairdresser’s</t>
  </si>
  <si>
    <t xml:space="preserve">gruagaire [m]</t>
  </si>
  <si>
    <t xml:space="preserve">V0933</t>
  </si>
  <si>
    <t xml:space="preserve">halla an bhaile</t>
  </si>
  <si>
    <t xml:space="preserve">town hall</t>
  </si>
  <si>
    <t xml:space="preserve">halla an bhaile [m]</t>
  </si>
  <si>
    <t xml:space="preserve">V0934</t>
  </si>
  <si>
    <t xml:space="preserve">iarsmalann</t>
  </si>
  <si>
    <t xml:space="preserve">museum</t>
  </si>
  <si>
    <t xml:space="preserve">V0935</t>
  </si>
  <si>
    <t xml:space="preserve">V0936</t>
  </si>
  <si>
    <t xml:space="preserve">lár an bhaile</t>
  </si>
  <si>
    <t xml:space="preserve">town centre</t>
  </si>
  <si>
    <t xml:space="preserve">V0937</t>
  </si>
  <si>
    <t xml:space="preserve">V0938</t>
  </si>
  <si>
    <t xml:space="preserve">linn snámha</t>
  </si>
  <si>
    <t xml:space="preserve">V0939</t>
  </si>
  <si>
    <t xml:space="preserve">margadh</t>
  </si>
  <si>
    <t xml:space="preserve">market</t>
  </si>
  <si>
    <t xml:space="preserve">margadh [m]</t>
  </si>
  <si>
    <t xml:space="preserve">V0940</t>
  </si>
  <si>
    <t xml:space="preserve">oifig an phoist</t>
  </si>
  <si>
    <t xml:space="preserve">post office</t>
  </si>
  <si>
    <t xml:space="preserve">V0941</t>
  </si>
  <si>
    <t xml:space="preserve">oifig (fáilte)</t>
  </si>
  <si>
    <t xml:space="preserve">(tourist) office</t>
  </si>
  <si>
    <t xml:space="preserve">V0942</t>
  </si>
  <si>
    <t xml:space="preserve">ollmhargadh</t>
  </si>
  <si>
    <t xml:space="preserve">supermarket</t>
  </si>
  <si>
    <t xml:space="preserve">ollmhargadh [m]</t>
  </si>
  <si>
    <t xml:space="preserve">V0943</t>
  </si>
  <si>
    <t xml:space="preserve">páirceanna</t>
  </si>
  <si>
    <t xml:space="preserve">fields</t>
  </si>
  <si>
    <t xml:space="preserve">V0944</t>
  </si>
  <si>
    <t xml:space="preserve">V0945</t>
  </si>
  <si>
    <t xml:space="preserve">siamsaíochtaí</t>
  </si>
  <si>
    <t xml:space="preserve">amusements</t>
  </si>
  <si>
    <t xml:space="preserve">siamsaíochtaí [fpl]</t>
  </si>
  <si>
    <t xml:space="preserve">V0946</t>
  </si>
  <si>
    <t xml:space="preserve">V0947</t>
  </si>
  <si>
    <t xml:space="preserve">siopa búistéara</t>
  </si>
  <si>
    <t xml:space="preserve">butcher’s</t>
  </si>
  <si>
    <t xml:space="preserve">siopa búistéara [m]</t>
  </si>
  <si>
    <t xml:space="preserve">V0948</t>
  </si>
  <si>
    <t xml:space="preserve">siopa císte</t>
  </si>
  <si>
    <t xml:space="preserve">cake shop</t>
  </si>
  <si>
    <t xml:space="preserve">siopa císte [m]</t>
  </si>
  <si>
    <t xml:space="preserve">V0949</t>
  </si>
  <si>
    <t xml:space="preserve">siopa éisc</t>
  </si>
  <si>
    <t xml:space="preserve">fishmonger’s</t>
  </si>
  <si>
    <t xml:space="preserve">siopa éisc [m]</t>
  </si>
  <si>
    <t xml:space="preserve">V0950</t>
  </si>
  <si>
    <t xml:space="preserve">siopa grósaera</t>
  </si>
  <si>
    <t xml:space="preserve">grocer’s shop</t>
  </si>
  <si>
    <t xml:space="preserve">siopa grósaera [m]</t>
  </si>
  <si>
    <t xml:space="preserve">V0951</t>
  </si>
  <si>
    <t xml:space="preserve">siopa glasraí</t>
  </si>
  <si>
    <t xml:space="preserve">greengrocer’s</t>
  </si>
  <si>
    <t xml:space="preserve">siopa glasraí [m]</t>
  </si>
  <si>
    <t xml:space="preserve">V0952</t>
  </si>
  <si>
    <t xml:space="preserve">siopaí</t>
  </si>
  <si>
    <t xml:space="preserve">shops</t>
  </si>
  <si>
    <t xml:space="preserve">siopaí [mpl]</t>
  </si>
  <si>
    <t xml:space="preserve">V0953</t>
  </si>
  <si>
    <t xml:space="preserve">siopa ilranna</t>
  </si>
  <si>
    <t xml:space="preserve">department store</t>
  </si>
  <si>
    <t xml:space="preserve">siopa ilranna [m]</t>
  </si>
  <si>
    <t xml:space="preserve">V0954</t>
  </si>
  <si>
    <t xml:space="preserve">sléibhte</t>
  </si>
  <si>
    <t xml:space="preserve">mountains</t>
  </si>
  <si>
    <t xml:space="preserve">sléibhte [mpl]</t>
  </si>
  <si>
    <t xml:space="preserve">V0955</t>
  </si>
  <si>
    <t xml:space="preserve">socair, suaimhneach</t>
  </si>
  <si>
    <t xml:space="preserve">calm</t>
  </si>
  <si>
    <t xml:space="preserve">V0956</t>
  </si>
  <si>
    <t xml:space="preserve">V0957</t>
  </si>
  <si>
    <t xml:space="preserve">soilse tráchta</t>
  </si>
  <si>
    <t xml:space="preserve">traffic lights</t>
  </si>
  <si>
    <t xml:space="preserve">soilse tráchta [mpl]</t>
  </si>
  <si>
    <t xml:space="preserve">V0958</t>
  </si>
  <si>
    <t xml:space="preserve">sráid</t>
  </si>
  <si>
    <t xml:space="preserve">street</t>
  </si>
  <si>
    <t xml:space="preserve">V0959</t>
  </si>
  <si>
    <t xml:space="preserve">sráidbhaile</t>
  </si>
  <si>
    <t xml:space="preserve">village</t>
  </si>
  <si>
    <t xml:space="preserve">sráidbhaile [m]</t>
  </si>
  <si>
    <t xml:space="preserve">V0960</t>
  </si>
  <si>
    <t xml:space="preserve">stáisiún bus</t>
  </si>
  <si>
    <t xml:space="preserve">bus station</t>
  </si>
  <si>
    <t xml:space="preserve">stáisiún bus [m]</t>
  </si>
  <si>
    <t xml:space="preserve">V0961</t>
  </si>
  <si>
    <t xml:space="preserve">stáisiún peitril</t>
  </si>
  <si>
    <t xml:space="preserve">petrol station</t>
  </si>
  <si>
    <t xml:space="preserve">stáisiún peitril [m]</t>
  </si>
  <si>
    <t xml:space="preserve">V0962</t>
  </si>
  <si>
    <t xml:space="preserve">stáisiún traenach</t>
  </si>
  <si>
    <t xml:space="preserve">train station</t>
  </si>
  <si>
    <t xml:space="preserve">stáisiún traenach [m]</t>
  </si>
  <si>
    <t xml:space="preserve">V0963</t>
  </si>
  <si>
    <t xml:space="preserve">teach</t>
  </si>
  <si>
    <t xml:space="preserve">house</t>
  </si>
  <si>
    <t xml:space="preserve">teach [m]</t>
  </si>
  <si>
    <t xml:space="preserve">V0964</t>
  </si>
  <si>
    <t xml:space="preserve">teach leathscoite</t>
  </si>
  <si>
    <t xml:space="preserve">semi-detached house</t>
  </si>
  <si>
    <t xml:space="preserve">teach leathscoite [m]</t>
  </si>
  <si>
    <t xml:space="preserve">V0965</t>
  </si>
  <si>
    <t xml:space="preserve">teach mór</t>
  </si>
  <si>
    <t xml:space="preserve">a villa</t>
  </si>
  <si>
    <t xml:space="preserve">teach mór [m]</t>
  </si>
  <si>
    <t xml:space="preserve">V0966</t>
  </si>
  <si>
    <t xml:space="preserve">teach scoite</t>
  </si>
  <si>
    <t xml:space="preserve">detached house</t>
  </si>
  <si>
    <t xml:space="preserve">teach scoite [m]</t>
  </si>
  <si>
    <t xml:space="preserve">V0967</t>
  </si>
  <si>
    <t xml:space="preserve">timpeallán</t>
  </si>
  <si>
    <t xml:space="preserve">roundabout</t>
  </si>
  <si>
    <t xml:space="preserve">timpeallán [m]</t>
  </si>
  <si>
    <t xml:space="preserve">V0968</t>
  </si>
  <si>
    <t xml:space="preserve">trá</t>
  </si>
  <si>
    <t xml:space="preserve">beach</t>
  </si>
  <si>
    <t xml:space="preserve">V0969</t>
  </si>
  <si>
    <t xml:space="preserve">trácht</t>
  </si>
  <si>
    <t xml:space="preserve">traffic</t>
  </si>
  <si>
    <t xml:space="preserve">trácht [m]</t>
  </si>
  <si>
    <t xml:space="preserve">V0970</t>
  </si>
  <si>
    <t xml:space="preserve">tuath</t>
  </si>
  <si>
    <t xml:space="preserve">countryside</t>
  </si>
  <si>
    <t xml:space="preserve">V0971</t>
  </si>
  <si>
    <t xml:space="preserve">áit éigin</t>
  </si>
  <si>
    <t xml:space="preserve">somewhere</t>
  </si>
  <si>
    <t xml:space="preserve">Directions</t>
  </si>
  <si>
    <t xml:space="preserve">V0972</t>
  </si>
  <si>
    <t xml:space="preserve">there</t>
  </si>
  <si>
    <t xml:space="preserve">V0973</t>
  </si>
  <si>
    <t xml:space="preserve">ar chlé</t>
  </si>
  <si>
    <t xml:space="preserve">on the left</t>
  </si>
  <si>
    <t xml:space="preserve">V0974</t>
  </si>
  <si>
    <t xml:space="preserve">ar dheis</t>
  </si>
  <si>
    <t xml:space="preserve">on the right</t>
  </si>
  <si>
    <t xml:space="preserve">V0975</t>
  </si>
  <si>
    <t xml:space="preserve">an lár</t>
  </si>
  <si>
    <t xml:space="preserve">the centre</t>
  </si>
  <si>
    <t xml:space="preserve">an lár [m]</t>
  </si>
  <si>
    <t xml:space="preserve">V0976</t>
  </si>
  <si>
    <t xml:space="preserve">anseo</t>
  </si>
  <si>
    <t xml:space="preserve">here</t>
  </si>
  <si>
    <t xml:space="preserve">V0977</t>
  </si>
  <si>
    <t xml:space="preserve">cóngarach do, gar do</t>
  </si>
  <si>
    <t xml:space="preserve">near (to)</t>
  </si>
  <si>
    <t xml:space="preserve">V0978</t>
  </si>
  <si>
    <t xml:space="preserve">deisceart</t>
  </si>
  <si>
    <t xml:space="preserve">south</t>
  </si>
  <si>
    <t xml:space="preserve">deisceart [m]</t>
  </si>
  <si>
    <t xml:space="preserve">V0979</t>
  </si>
  <si>
    <t xml:space="preserve">díreach ar aghaidh</t>
  </si>
  <si>
    <t xml:space="preserve">straight ahead</t>
  </si>
  <si>
    <t xml:space="preserve">V0980</t>
  </si>
  <si>
    <t xml:space="preserve">gach áit</t>
  </si>
  <si>
    <t xml:space="preserve">everywhere</t>
  </si>
  <si>
    <t xml:space="preserve">V0981</t>
  </si>
  <si>
    <t xml:space="preserve">iarthar</t>
  </si>
  <si>
    <t xml:space="preserve">west</t>
  </si>
  <si>
    <t xml:space="preserve">iarthar [m]</t>
  </si>
  <si>
    <t xml:space="preserve">V0982</t>
  </si>
  <si>
    <t xml:space="preserve">i bhfad ó</t>
  </si>
  <si>
    <t xml:space="preserve">far from</t>
  </si>
  <si>
    <t xml:space="preserve">V0983</t>
  </si>
  <si>
    <t xml:space="preserve">in aice le</t>
  </si>
  <si>
    <t xml:space="preserve">next to, beside</t>
  </si>
  <si>
    <t xml:space="preserve">V0984</t>
  </si>
  <si>
    <t xml:space="preserve">(i n)gach treo</t>
  </si>
  <si>
    <t xml:space="preserve">(in) all directions</t>
  </si>
  <si>
    <t xml:space="preserve">V0985</t>
  </si>
  <si>
    <t xml:space="preserve">i lár</t>
  </si>
  <si>
    <t xml:space="preserve">in the centre</t>
  </si>
  <si>
    <t xml:space="preserve">V0986</t>
  </si>
  <si>
    <t xml:space="preserve">oirthear</t>
  </si>
  <si>
    <t xml:space="preserve">east</t>
  </si>
  <si>
    <t xml:space="preserve">oirthear [m]</t>
  </si>
  <si>
    <t xml:space="preserve">V0987</t>
  </si>
  <si>
    <t xml:space="preserve">ón taobh eile</t>
  </si>
  <si>
    <t xml:space="preserve">from the other side</t>
  </si>
  <si>
    <t xml:space="preserve">V0988</t>
  </si>
  <si>
    <t xml:space="preserve">os comhair</t>
  </si>
  <si>
    <t xml:space="preserve">in front of, opposite</t>
  </si>
  <si>
    <t xml:space="preserve">V0989</t>
  </si>
  <si>
    <t xml:space="preserve">taobh thiar de, ar chúl</t>
  </si>
  <si>
    <t xml:space="preserve">behind</t>
  </si>
  <si>
    <t xml:space="preserve">V0990</t>
  </si>
  <si>
    <t xml:space="preserve">thall ansin</t>
  </si>
  <si>
    <t xml:space="preserve">over there</t>
  </si>
  <si>
    <t xml:space="preserve">V0991</t>
  </si>
  <si>
    <t xml:space="preserve">tuaisceart</t>
  </si>
  <si>
    <t xml:space="preserve">north</t>
  </si>
  <si>
    <t xml:space="preserve">tuaisceart [m]</t>
  </si>
  <si>
    <t xml:space="preserve">V0992</t>
  </si>
  <si>
    <t xml:space="preserve">aerfort</t>
  </si>
  <si>
    <t xml:space="preserve">airport</t>
  </si>
  <si>
    <t xml:space="preserve">Getting around</t>
  </si>
  <si>
    <t xml:space="preserve">aerfort [m]</t>
  </si>
  <si>
    <t xml:space="preserve">V0993</t>
  </si>
  <si>
    <t xml:space="preserve">ar thraein</t>
  </si>
  <si>
    <t xml:space="preserve">by train</t>
  </si>
  <si>
    <t xml:space="preserve">V0994</t>
  </si>
  <si>
    <t xml:space="preserve">bád, ar bhád</t>
  </si>
  <si>
    <t xml:space="preserve">boat, by boat</t>
  </si>
  <si>
    <t xml:space="preserve">bád, ar bhád [m]</t>
  </si>
  <si>
    <t xml:space="preserve">V0995</t>
  </si>
  <si>
    <t xml:space="preserve">bus</t>
  </si>
  <si>
    <t xml:space="preserve">bus [m]</t>
  </si>
  <si>
    <t xml:space="preserve">V0996</t>
  </si>
  <si>
    <t xml:space="preserve">bus, ar bhus</t>
  </si>
  <si>
    <t xml:space="preserve">bus, by bus</t>
  </si>
  <si>
    <t xml:space="preserve">bus, ar bhus [m]</t>
  </si>
  <si>
    <t xml:space="preserve">V0997</t>
  </si>
  <si>
    <t xml:space="preserve">capall, ar chapall</t>
  </si>
  <si>
    <t xml:space="preserve">horse, by horse</t>
  </si>
  <si>
    <t xml:space="preserve">capall, ar chapall [m]</t>
  </si>
  <si>
    <t xml:space="preserve">V0998</t>
  </si>
  <si>
    <t xml:space="preserve">carr, sa charr</t>
  </si>
  <si>
    <t xml:space="preserve">car, by car</t>
  </si>
  <si>
    <t xml:space="preserve">carr, sa charr [m]</t>
  </si>
  <si>
    <t xml:space="preserve">V0999</t>
  </si>
  <si>
    <t xml:space="preserve">carrchlós</t>
  </si>
  <si>
    <t xml:space="preserve">car park</t>
  </si>
  <si>
    <t xml:space="preserve">carrchlós [m]</t>
  </si>
  <si>
    <t xml:space="preserve">V1000</t>
  </si>
  <si>
    <t xml:space="preserve">coisí</t>
  </si>
  <si>
    <t xml:space="preserve">pedestrian</t>
  </si>
  <si>
    <t xml:space="preserve">coisí [m]</t>
  </si>
  <si>
    <t xml:space="preserve">V1001</t>
  </si>
  <si>
    <t xml:space="preserve">de shiúl na gcos, ag siúl</t>
  </si>
  <si>
    <t xml:space="preserve">on foot, walking</t>
  </si>
  <si>
    <t xml:space="preserve">V1002</t>
  </si>
  <si>
    <t xml:space="preserve">dolabhoth</t>
  </si>
  <si>
    <t xml:space="preserve">toll booth</t>
  </si>
  <si>
    <t xml:space="preserve">V1003</t>
  </si>
  <si>
    <t xml:space="preserve">eitilt</t>
  </si>
  <si>
    <t xml:space="preserve">flight</t>
  </si>
  <si>
    <t xml:space="preserve">V1004</t>
  </si>
  <si>
    <t xml:space="preserve">eitleán, ar eitleán</t>
  </si>
  <si>
    <t xml:space="preserve">plane, by plane</t>
  </si>
  <si>
    <t xml:space="preserve">eitleán, ar eitleán [m]</t>
  </si>
  <si>
    <t xml:space="preserve">V1005</t>
  </si>
  <si>
    <t xml:space="preserve">gluaisrothar, ar ghluaisrothar</t>
  </si>
  <si>
    <t xml:space="preserve">motorbike, by motorbike</t>
  </si>
  <si>
    <t xml:space="preserve">gluaisrothar, ar ghluaisrothar [m]</t>
  </si>
  <si>
    <t xml:space="preserve">V1006</t>
  </si>
  <si>
    <t xml:space="preserve">léarscáil, mapa</t>
  </si>
  <si>
    <t xml:space="preserve">map</t>
  </si>
  <si>
    <t xml:space="preserve">léarscáil, mapa [m]</t>
  </si>
  <si>
    <t xml:space="preserve">V1007</t>
  </si>
  <si>
    <t xml:space="preserve">moill</t>
  </si>
  <si>
    <t xml:space="preserve">delay</t>
  </si>
  <si>
    <t xml:space="preserve">V1008</t>
  </si>
  <si>
    <t xml:space="preserve">mótarbhealach</t>
  </si>
  <si>
    <t xml:space="preserve">motorway</t>
  </si>
  <si>
    <t xml:space="preserve">mótarbhealach [m]</t>
  </si>
  <si>
    <t xml:space="preserve">V1009</t>
  </si>
  <si>
    <t xml:space="preserve">rothar, ar rothar</t>
  </si>
  <si>
    <t xml:space="preserve">bike, by bike</t>
  </si>
  <si>
    <t xml:space="preserve">rothar, ar rothar [m]</t>
  </si>
  <si>
    <t xml:space="preserve">V1010</t>
  </si>
  <si>
    <t xml:space="preserve">stad bus</t>
  </si>
  <si>
    <t xml:space="preserve">bus stop</t>
  </si>
  <si>
    <t xml:space="preserve">stad bus [m]</t>
  </si>
  <si>
    <t xml:space="preserve">V1011</t>
  </si>
  <si>
    <t xml:space="preserve">tacsaí, i dtacsaí</t>
  </si>
  <si>
    <t xml:space="preserve">taxi, by taxi</t>
  </si>
  <si>
    <t xml:space="preserve">tacsaí, i dtacsaí [m]</t>
  </si>
  <si>
    <t xml:space="preserve">V1012</t>
  </si>
  <si>
    <t xml:space="preserve">taistealaí</t>
  </si>
  <si>
    <t xml:space="preserve">traveller</t>
  </si>
  <si>
    <t xml:space="preserve">taistealaí [m]</t>
  </si>
  <si>
    <t xml:space="preserve">V1013</t>
  </si>
  <si>
    <t xml:space="preserve">tiománaí</t>
  </si>
  <si>
    <t xml:space="preserve">motorist</t>
  </si>
  <si>
    <t xml:space="preserve">tiománaí [m]</t>
  </si>
  <si>
    <t xml:space="preserve">V1014</t>
  </si>
  <si>
    <t xml:space="preserve">traein (faoi thalamh)</t>
  </si>
  <si>
    <t xml:space="preserve">(underground) train</t>
  </si>
  <si>
    <t xml:space="preserve">V1015</t>
  </si>
  <si>
    <t xml:space="preserve">tram, ar thram</t>
  </si>
  <si>
    <t xml:space="preserve">tram, by tram</t>
  </si>
  <si>
    <t xml:space="preserve">tram, ar thram [m]</t>
  </si>
  <si>
    <t xml:space="preserve">V1016</t>
  </si>
  <si>
    <t xml:space="preserve">turas</t>
  </si>
  <si>
    <t xml:space="preserve">journey</t>
  </si>
  <si>
    <t xml:space="preserve">turas [m]</t>
  </si>
  <si>
    <t xml:space="preserve">V1017</t>
  </si>
  <si>
    <t xml:space="preserve">bonn pollta</t>
  </si>
  <si>
    <t xml:space="preserve">flat tyre</t>
  </si>
  <si>
    <t xml:space="preserve">Travelling by car</t>
  </si>
  <si>
    <t xml:space="preserve">bonn pollta [m]</t>
  </si>
  <si>
    <t xml:space="preserve">V1018</t>
  </si>
  <si>
    <t xml:space="preserve">ceadúnas tiomána</t>
  </si>
  <si>
    <t xml:space="preserve">driving licence</t>
  </si>
  <si>
    <t xml:space="preserve">ceadúnas tiomána [m]</t>
  </si>
  <si>
    <t xml:space="preserve">V1019</t>
  </si>
  <si>
    <t xml:space="preserve">coscáin</t>
  </si>
  <si>
    <t xml:space="preserve">brakes</t>
  </si>
  <si>
    <t xml:space="preserve">coscáin [mpl]</t>
  </si>
  <si>
    <t xml:space="preserve">V1020</t>
  </si>
  <si>
    <t xml:space="preserve">díosal</t>
  </si>
  <si>
    <t xml:space="preserve">diesel</t>
  </si>
  <si>
    <t xml:space="preserve">díosal [m]</t>
  </si>
  <si>
    <t xml:space="preserve">V1021</t>
  </si>
  <si>
    <t xml:space="preserve">peitreal</t>
  </si>
  <si>
    <t xml:space="preserve">petrol</t>
  </si>
  <si>
    <t xml:space="preserve">peitreal [m]</t>
  </si>
  <si>
    <t xml:space="preserve">V1022</t>
  </si>
  <si>
    <t xml:space="preserve">roth</t>
  </si>
  <si>
    <t xml:space="preserve">wheel</t>
  </si>
  <si>
    <t xml:space="preserve">roth [m]</t>
  </si>
  <si>
    <t xml:space="preserve">V1023</t>
  </si>
  <si>
    <t xml:space="preserve">roth stiúrtha</t>
  </si>
  <si>
    <t xml:space="preserve">steering wheel</t>
  </si>
  <si>
    <t xml:space="preserve">roth stiúrtha [m]</t>
  </si>
  <si>
    <t xml:space="preserve">V1024</t>
  </si>
  <si>
    <t xml:space="preserve">solas dearg</t>
  </si>
  <si>
    <t xml:space="preserve">red light</t>
  </si>
  <si>
    <t xml:space="preserve">solas dearg [m]</t>
  </si>
  <si>
    <t xml:space="preserve">V1025</t>
  </si>
  <si>
    <t xml:space="preserve">platform</t>
  </si>
  <si>
    <t xml:space="preserve">Travelling by train</t>
  </si>
  <si>
    <t xml:space="preserve">V1026</t>
  </si>
  <si>
    <t xml:space="preserve">bagáiste</t>
  </si>
  <si>
    <t xml:space="preserve">luggage</t>
  </si>
  <si>
    <t xml:space="preserve">bagáiste [m]</t>
  </si>
  <si>
    <t xml:space="preserve">V1027</t>
  </si>
  <si>
    <t xml:space="preserve">bealach éigeandála</t>
  </si>
  <si>
    <t xml:space="preserve">emergency exit</t>
  </si>
  <si>
    <t xml:space="preserve">bealach éigeandála [m]</t>
  </si>
  <si>
    <t xml:space="preserve">V1028</t>
  </si>
  <si>
    <t xml:space="preserve">cás</t>
  </si>
  <si>
    <t xml:space="preserve">suitcase</t>
  </si>
  <si>
    <t xml:space="preserve">cás [m]</t>
  </si>
  <si>
    <t xml:space="preserve">V1029</t>
  </si>
  <si>
    <t xml:space="preserve">clár ama</t>
  </si>
  <si>
    <t xml:space="preserve">timetable</t>
  </si>
  <si>
    <t xml:space="preserve">clár ama [m]</t>
  </si>
  <si>
    <t xml:space="preserve">V1030</t>
  </si>
  <si>
    <t xml:space="preserve">eolas</t>
  </si>
  <si>
    <t xml:space="preserve">information</t>
  </si>
  <si>
    <t xml:space="preserve">eolas [m]</t>
  </si>
  <si>
    <t xml:space="preserve">V1031</t>
  </si>
  <si>
    <t xml:space="preserve">oifig an bhagáiste</t>
  </si>
  <si>
    <t xml:space="preserve">left luggage office</t>
  </si>
  <si>
    <t xml:space="preserve">V1032</t>
  </si>
  <si>
    <t xml:space="preserve">oifig na dticéad</t>
  </si>
  <si>
    <t xml:space="preserve">ticket office</t>
  </si>
  <si>
    <t xml:space="preserve">V1033</t>
  </si>
  <si>
    <t xml:space="preserve">ticéad</t>
  </si>
  <si>
    <t xml:space="preserve">ticket</t>
  </si>
  <si>
    <t xml:space="preserve">ticéad [m]</t>
  </si>
  <si>
    <t xml:space="preserve">V1034</t>
  </si>
  <si>
    <t xml:space="preserve">ticéad fillte</t>
  </si>
  <si>
    <t xml:space="preserve">return ticket</t>
  </si>
  <si>
    <t xml:space="preserve">ticéad fillte [m]</t>
  </si>
  <si>
    <t xml:space="preserve">V1035</t>
  </si>
  <si>
    <t xml:space="preserve">ticéad singil</t>
  </si>
  <si>
    <t xml:space="preserve">single ticket</t>
  </si>
  <si>
    <t xml:space="preserve">ticéad singil [m]</t>
  </si>
  <si>
    <t xml:space="preserve">V1036</t>
  </si>
  <si>
    <t xml:space="preserve">traenacha amach</t>
  </si>
  <si>
    <t xml:space="preserve">departures</t>
  </si>
  <si>
    <t xml:space="preserve">V1037</t>
  </si>
  <si>
    <t xml:space="preserve">traenacha isteach</t>
  </si>
  <si>
    <t xml:space="preserve">arrivals</t>
  </si>
  <si>
    <t xml:space="preserve">V1038</t>
  </si>
  <si>
    <t xml:space="preserve">seomra feithimh</t>
  </si>
  <si>
    <t xml:space="preserve">waiting room</t>
  </si>
  <si>
    <t xml:space="preserve">seomra feithimh [m]</t>
  </si>
  <si>
    <t xml:space="preserve">V1039</t>
  </si>
  <si>
    <t xml:space="preserve">slí amach, bealach amach</t>
  </si>
  <si>
    <t xml:space="preserve">exit</t>
  </si>
  <si>
    <t xml:space="preserve">slí amach, bealach amach [m]</t>
  </si>
  <si>
    <t xml:space="preserve">V1040</t>
  </si>
  <si>
    <t xml:space="preserve">slí isteach, bealach isteach</t>
  </si>
  <si>
    <t xml:space="preserve">entrance</t>
  </si>
  <si>
    <t xml:space="preserve">slí isteach, bealach isteach [m]</t>
  </si>
  <si>
    <t xml:space="preserve">V1041</t>
  </si>
  <si>
    <t xml:space="preserve">V1042</t>
  </si>
  <si>
    <t xml:space="preserve">a bheith suite</t>
  </si>
  <si>
    <t xml:space="preserve">to be situated</t>
  </si>
  <si>
    <t xml:space="preserve">V1043</t>
  </si>
  <si>
    <t xml:space="preserve">bris síos (ag briseadh síos)</t>
  </si>
  <si>
    <t xml:space="preserve">bris síos</t>
  </si>
  <si>
    <t xml:space="preserve">ag briseadh síos</t>
  </si>
  <si>
    <t xml:space="preserve">to break down (breaking down)</t>
  </si>
  <si>
    <t xml:space="preserve">V1044</t>
  </si>
  <si>
    <t xml:space="preserve">to lose, to miss (losing, missing)</t>
  </si>
  <si>
    <t xml:space="preserve">V1045</t>
  </si>
  <si>
    <t xml:space="preserve">V1046</t>
  </si>
  <si>
    <t xml:space="preserve">cuairt a thabhairt ar (ag tabhairt cuairte ar) to visit (visiting)</t>
  </si>
  <si>
    <t xml:space="preserve">cuairt a thabhairt ar to visit (visiting)</t>
  </si>
  <si>
    <t xml:space="preserve">V1047</t>
  </si>
  <si>
    <t xml:space="preserve">to look for (looking for)</t>
  </si>
  <si>
    <t xml:space="preserve">V1048</t>
  </si>
  <si>
    <t xml:space="preserve">dean siopadóireacht (ag deánamh siopadóireachta)</t>
  </si>
  <si>
    <t xml:space="preserve">dean siopadóireacht</t>
  </si>
  <si>
    <t xml:space="preserve">ag deánamh siopadóireachta</t>
  </si>
  <si>
    <t xml:space="preserve">to do some shopping</t>
  </si>
  <si>
    <t xml:space="preserve">V1049</t>
  </si>
  <si>
    <t xml:space="preserve">éirigh in airde (ag éirí in airde)</t>
  </si>
  <si>
    <t xml:space="preserve">éirigh in airde</t>
  </si>
  <si>
    <t xml:space="preserve">ag éirí in airde</t>
  </si>
  <si>
    <t xml:space="preserve">to take off (taking off) (plane)</t>
  </si>
  <si>
    <t xml:space="preserve">V1050</t>
  </si>
  <si>
    <t xml:space="preserve">faigh, aimsigh (ag fail, ag aimsiú)</t>
  </si>
  <si>
    <t xml:space="preserve">faigh, aimsigh</t>
  </si>
  <si>
    <t xml:space="preserve">ag fail, ag aimsiú</t>
  </si>
  <si>
    <t xml:space="preserve">to get, to find (getting, finding)</t>
  </si>
  <si>
    <t xml:space="preserve">V1051</t>
  </si>
  <si>
    <t xml:space="preserve">leag duine (ag leagan duine)</t>
  </si>
  <si>
    <t xml:space="preserve">leag duine</t>
  </si>
  <si>
    <t xml:space="preserve">ag leagan duine</t>
  </si>
  <si>
    <t xml:space="preserve">to run over a person (running over a person)</t>
  </si>
  <si>
    <t xml:space="preserve">V1052</t>
  </si>
  <si>
    <t xml:space="preserve">to continue (continuing)</t>
  </si>
  <si>
    <t xml:space="preserve">V1053</t>
  </si>
  <si>
    <t xml:space="preserve">V1054</t>
  </si>
  <si>
    <t xml:space="preserve">páirceáil (ag páirceáil)</t>
  </si>
  <si>
    <t xml:space="preserve">páirceáil</t>
  </si>
  <si>
    <t xml:space="preserve">ag páirceáil</t>
  </si>
  <si>
    <t xml:space="preserve">to park (parking)</t>
  </si>
  <si>
    <t xml:space="preserve">V1055</t>
  </si>
  <si>
    <t xml:space="preserve">siúil (ag siúl)</t>
  </si>
  <si>
    <t xml:space="preserve">siúil</t>
  </si>
  <si>
    <t xml:space="preserve">to walk (walking)</t>
  </si>
  <si>
    <t xml:space="preserve">V1056</t>
  </si>
  <si>
    <t xml:space="preserve">taisme/timpiste a bheith agat</t>
  </si>
  <si>
    <t xml:space="preserve">to have an accident/crash</t>
  </si>
  <si>
    <t xml:space="preserve">V1057</t>
  </si>
  <si>
    <t xml:space="preserve">taistil (ag taisteal)</t>
  </si>
  <si>
    <t xml:space="preserve">taistil</t>
  </si>
  <si>
    <t xml:space="preserve">ag taisteal</t>
  </si>
  <si>
    <t xml:space="preserve">to travel (travelling)</t>
  </si>
  <si>
    <t xml:space="preserve">V1058</t>
  </si>
  <si>
    <t xml:space="preserve">V1059</t>
  </si>
  <si>
    <t xml:space="preserve">téigh ar thuras mara/ar chrús (ag dul ar thuras mara/chrús)</t>
  </si>
  <si>
    <t xml:space="preserve">téigh ar thuras mara/ar chrús</t>
  </si>
  <si>
    <t xml:space="preserve">ag dul ar thuras mara/chrús</t>
  </si>
  <si>
    <t xml:space="preserve">to go on a cruise (going on a cruise)</t>
  </si>
  <si>
    <t xml:space="preserve">V1060</t>
  </si>
  <si>
    <t xml:space="preserve">ticéad a bhailíochtú (ag bailíochtú)</t>
  </si>
  <si>
    <t xml:space="preserve">ticéad a bhailíochtú</t>
  </si>
  <si>
    <t xml:space="preserve">ag bailíochtú</t>
  </si>
  <si>
    <t xml:space="preserve">to validate a ticket (validating)</t>
  </si>
  <si>
    <t xml:space="preserve">V1061</t>
  </si>
  <si>
    <t xml:space="preserve">tiomáin (ag tiomáint)</t>
  </si>
  <si>
    <t xml:space="preserve">tiomáin</t>
  </si>
  <si>
    <t xml:space="preserve">ag tiomáint</t>
  </si>
  <si>
    <t xml:space="preserve">to drive (driving)</t>
  </si>
  <si>
    <t xml:space="preserve">V1062</t>
  </si>
  <si>
    <t xml:space="preserve">(traein, bus) a chailleadh</t>
  </si>
  <si>
    <t xml:space="preserve">to miss (train, bus)</t>
  </si>
  <si>
    <t xml:space="preserve">V1063</t>
  </si>
  <si>
    <t xml:space="preserve">tuirling (ag tuirlingt)</t>
  </si>
  <si>
    <t xml:space="preserve">tuirling</t>
  </si>
  <si>
    <t xml:space="preserve">ag tuirlingt</t>
  </si>
  <si>
    <t xml:space="preserve">to land (landing) (plane)</t>
  </si>
  <si>
    <t xml:space="preserve">V1064</t>
  </si>
  <si>
    <t xml:space="preserve">aeráid</t>
  </si>
  <si>
    <t xml:space="preserve">climate</t>
  </si>
  <si>
    <t xml:space="preserve">The wider environment</t>
  </si>
  <si>
    <t xml:space="preserve">The weather</t>
  </si>
  <si>
    <t xml:space="preserve">V1065</t>
  </si>
  <si>
    <t xml:space="preserve">aimsir</t>
  </si>
  <si>
    <t xml:space="preserve">weather</t>
  </si>
  <si>
    <t xml:space="preserve">V1066</t>
  </si>
  <si>
    <t xml:space="preserve">aimsir bhreá</t>
  </si>
  <si>
    <t xml:space="preserve">fine weather</t>
  </si>
  <si>
    <t xml:space="preserve">V1067</t>
  </si>
  <si>
    <t xml:space="preserve">aimsir olc</t>
  </si>
  <si>
    <t xml:space="preserve">bad weather</t>
  </si>
  <si>
    <t xml:space="preserve">V1068</t>
  </si>
  <si>
    <t xml:space="preserve">ceo</t>
  </si>
  <si>
    <t xml:space="preserve">fog, mist</t>
  </si>
  <si>
    <t xml:space="preserve">ceo [m]</t>
  </si>
  <si>
    <t xml:space="preserve">V1069</t>
  </si>
  <si>
    <t xml:space="preserve">cith</t>
  </si>
  <si>
    <t xml:space="preserve">cith [m]</t>
  </si>
  <si>
    <t xml:space="preserve">V1070</t>
  </si>
  <si>
    <t xml:space="preserve">dorcha</t>
  </si>
  <si>
    <t xml:space="preserve">dark, overcast</t>
  </si>
  <si>
    <t xml:space="preserve">V1071</t>
  </si>
  <si>
    <t xml:space="preserve">fearthainn</t>
  </si>
  <si>
    <t xml:space="preserve">rain</t>
  </si>
  <si>
    <t xml:space="preserve">V1072</t>
  </si>
  <si>
    <t xml:space="preserve">fuar</t>
  </si>
  <si>
    <t xml:space="preserve">cold</t>
  </si>
  <si>
    <t xml:space="preserve">V1073</t>
  </si>
  <si>
    <t xml:space="preserve">gaoth</t>
  </si>
  <si>
    <t xml:space="preserve">wind</t>
  </si>
  <si>
    <t xml:space="preserve">V1074</t>
  </si>
  <si>
    <t xml:space="preserve">grian</t>
  </si>
  <si>
    <t xml:space="preserve">sun</t>
  </si>
  <si>
    <t xml:space="preserve">V1075</t>
  </si>
  <si>
    <t xml:space="preserve">grianmhar</t>
  </si>
  <si>
    <t xml:space="preserve">sunny</t>
  </si>
  <si>
    <t xml:space="preserve">V1076</t>
  </si>
  <si>
    <t xml:space="preserve">oighear</t>
  </si>
  <si>
    <t xml:space="preserve">ice</t>
  </si>
  <si>
    <t xml:space="preserve">oighear [m]</t>
  </si>
  <si>
    <t xml:space="preserve">V1077</t>
  </si>
  <si>
    <t xml:space="preserve">V1078</t>
  </si>
  <si>
    <t xml:space="preserve">scamall</t>
  </si>
  <si>
    <t xml:space="preserve">cloud</t>
  </si>
  <si>
    <t xml:space="preserve">scamall [m]</t>
  </si>
  <si>
    <t xml:space="preserve">V1079</t>
  </si>
  <si>
    <t xml:space="preserve">scamallach</t>
  </si>
  <si>
    <t xml:space="preserve">cloudy</t>
  </si>
  <si>
    <t xml:space="preserve">V1080</t>
  </si>
  <si>
    <t xml:space="preserve">scáth</t>
  </si>
  <si>
    <t xml:space="preserve">shade</t>
  </si>
  <si>
    <t xml:space="preserve">scáth [m]</t>
  </si>
  <si>
    <t xml:space="preserve">V1081</t>
  </si>
  <si>
    <t xml:space="preserve">spéir</t>
  </si>
  <si>
    <t xml:space="preserve">sky</t>
  </si>
  <si>
    <t xml:space="preserve">V1082</t>
  </si>
  <si>
    <t xml:space="preserve">stoirm</t>
  </si>
  <si>
    <t xml:space="preserve">storm</t>
  </si>
  <si>
    <t xml:space="preserve">V1083</t>
  </si>
  <si>
    <t xml:space="preserve">stoirmiúil</t>
  </si>
  <si>
    <t xml:space="preserve">stormy</t>
  </si>
  <si>
    <t xml:space="preserve">V1084</t>
  </si>
  <si>
    <t xml:space="preserve">tais</t>
  </si>
  <si>
    <t xml:space="preserve">humid</t>
  </si>
  <si>
    <t xml:space="preserve">V1085</t>
  </si>
  <si>
    <t xml:space="preserve">te</t>
  </si>
  <si>
    <t xml:space="preserve">hot</t>
  </si>
  <si>
    <t xml:space="preserve">V1086</t>
  </si>
  <si>
    <t xml:space="preserve">teas</t>
  </si>
  <si>
    <t xml:space="preserve">heat</t>
  </si>
  <si>
    <t xml:space="preserve">teas [m]</t>
  </si>
  <si>
    <t xml:space="preserve">V1087</t>
  </si>
  <si>
    <t xml:space="preserve">tintreach</t>
  </si>
  <si>
    <t xml:space="preserve">lightning</t>
  </si>
  <si>
    <t xml:space="preserve">V1088</t>
  </si>
  <si>
    <t xml:space="preserve">tirim</t>
  </si>
  <si>
    <t xml:space="preserve">dry</t>
  </si>
  <si>
    <t xml:space="preserve">V1089</t>
  </si>
  <si>
    <t xml:space="preserve">toirneach</t>
  </si>
  <si>
    <t xml:space="preserve">thunder</t>
  </si>
  <si>
    <t xml:space="preserve">V1090</t>
  </si>
  <si>
    <t xml:space="preserve">tréimhsí gréine</t>
  </si>
  <si>
    <t xml:space="preserve">sunny spells</t>
  </si>
  <si>
    <t xml:space="preserve">tréimhsí gréine [mpl]</t>
  </si>
  <si>
    <t xml:space="preserve">V1091</t>
  </si>
  <si>
    <t xml:space="preserve">acmhainní</t>
  </si>
  <si>
    <t xml:space="preserve">resources</t>
  </si>
  <si>
    <t xml:space="preserve">The environment</t>
  </si>
  <si>
    <t xml:space="preserve">acmhainní [fpl]</t>
  </si>
  <si>
    <t xml:space="preserve">V1092</t>
  </si>
  <si>
    <t xml:space="preserve">V1093</t>
  </si>
  <si>
    <t xml:space="preserve">amhola</t>
  </si>
  <si>
    <t xml:space="preserve">crude oil</t>
  </si>
  <si>
    <t xml:space="preserve">V1094</t>
  </si>
  <si>
    <t xml:space="preserve">an Domhan</t>
  </si>
  <si>
    <t xml:space="preserve">Earth</t>
  </si>
  <si>
    <t xml:space="preserve">an Domhan [m]</t>
  </si>
  <si>
    <t xml:space="preserve">V1095</t>
  </si>
  <si>
    <t xml:space="preserve">an domhan</t>
  </si>
  <si>
    <t xml:space="preserve">the world</t>
  </si>
  <si>
    <t xml:space="preserve">an domhan [m]</t>
  </si>
  <si>
    <t xml:space="preserve">V1096</t>
  </si>
  <si>
    <t xml:space="preserve">ar fud an domhain</t>
  </si>
  <si>
    <t xml:space="preserve">worldwide</t>
  </si>
  <si>
    <t xml:space="preserve">V1097</t>
  </si>
  <si>
    <t xml:space="preserve">recycling</t>
  </si>
  <si>
    <t xml:space="preserve">athchúrsáil [m]</t>
  </si>
  <si>
    <t xml:space="preserve">V1098</t>
  </si>
  <si>
    <t xml:space="preserve">báisteach/fearthainn aigéadach</t>
  </si>
  <si>
    <t xml:space="preserve">acid rain</t>
  </si>
  <si>
    <t xml:space="preserve">V1099</t>
  </si>
  <si>
    <t xml:space="preserve">bruscar</t>
  </si>
  <si>
    <t xml:space="preserve">rubbish</t>
  </si>
  <si>
    <t xml:space="preserve">bruscar [m]</t>
  </si>
  <si>
    <t xml:space="preserve">V1100</t>
  </si>
  <si>
    <t xml:space="preserve">ciseal ózóin</t>
  </si>
  <si>
    <t xml:space="preserve">ozone layer</t>
  </si>
  <si>
    <t xml:space="preserve">ciseal ózóin [m]</t>
  </si>
  <si>
    <t xml:space="preserve">V1101</t>
  </si>
  <si>
    <t xml:space="preserve">cogadh</t>
  </si>
  <si>
    <t xml:space="preserve">war</t>
  </si>
  <si>
    <t xml:space="preserve">cogadh [m]</t>
  </si>
  <si>
    <t xml:space="preserve">V1102</t>
  </si>
  <si>
    <t xml:space="preserve">crith talún</t>
  </si>
  <si>
    <t xml:space="preserve">earthquake</t>
  </si>
  <si>
    <t xml:space="preserve">V1103</t>
  </si>
  <si>
    <t xml:space="preserve">cumhacht gaoithe</t>
  </si>
  <si>
    <t xml:space="preserve">wind power</t>
  </si>
  <si>
    <t xml:space="preserve">V1104</t>
  </si>
  <si>
    <t xml:space="preserve">dífhoraoisiú</t>
  </si>
  <si>
    <t xml:space="preserve">deforestation</t>
  </si>
  <si>
    <t xml:space="preserve">dífhoraoisiú [m]</t>
  </si>
  <si>
    <t xml:space="preserve">V1105</t>
  </si>
  <si>
    <t xml:space="preserve">diomailt</t>
  </si>
  <si>
    <t xml:space="preserve">wastage</t>
  </si>
  <si>
    <t xml:space="preserve">V1106</t>
  </si>
  <si>
    <t xml:space="preserve">dramhaíl (núicléach)</t>
  </si>
  <si>
    <t xml:space="preserve">(nuclear) waste</t>
  </si>
  <si>
    <t xml:space="preserve">V1107</t>
  </si>
  <si>
    <t xml:space="preserve">fuinneamh núicléach</t>
  </si>
  <si>
    <t xml:space="preserve">nuclear energy</t>
  </si>
  <si>
    <t xml:space="preserve">fuinneamh núicléach [m]</t>
  </si>
  <si>
    <t xml:space="preserve">V1108</t>
  </si>
  <si>
    <t xml:space="preserve">gás charbóin</t>
  </si>
  <si>
    <t xml:space="preserve">carbon gas</t>
  </si>
  <si>
    <t xml:space="preserve">gás charbóin [m]</t>
  </si>
  <si>
    <t xml:space="preserve">V1109</t>
  </si>
  <si>
    <t xml:space="preserve">grianchumhacht</t>
  </si>
  <si>
    <t xml:space="preserve">solar power</t>
  </si>
  <si>
    <t xml:space="preserve">V1110</t>
  </si>
  <si>
    <t xml:space="preserve">gual</t>
  </si>
  <si>
    <t xml:space="preserve">coal</t>
  </si>
  <si>
    <t xml:space="preserve">gual [m]</t>
  </si>
  <si>
    <t xml:space="preserve">V1111</t>
  </si>
  <si>
    <t xml:space="preserve">iarmhairt cheaptha teasa</t>
  </si>
  <si>
    <t xml:space="preserve">greenhouse effect</t>
  </si>
  <si>
    <t xml:space="preserve">V1112</t>
  </si>
  <si>
    <t xml:space="preserve">in-athnuaite</t>
  </si>
  <si>
    <t xml:space="preserve">renewable</t>
  </si>
  <si>
    <t xml:space="preserve">V1113</t>
  </si>
  <si>
    <t xml:space="preserve">leictreachas</t>
  </si>
  <si>
    <t xml:space="preserve">electricity</t>
  </si>
  <si>
    <t xml:space="preserve">leictreachas [m]</t>
  </si>
  <si>
    <t xml:space="preserve">V1114</t>
  </si>
  <si>
    <t xml:space="preserve">peitreal (gan luaidhe)</t>
  </si>
  <si>
    <t xml:space="preserve">(unleaded) petrol</t>
  </si>
  <si>
    <t xml:space="preserve">peitreal [m] (gan luaidhe)</t>
  </si>
  <si>
    <t xml:space="preserve">V1115</t>
  </si>
  <si>
    <t xml:space="preserve">poll</t>
  </si>
  <si>
    <t xml:space="preserve">hole</t>
  </si>
  <si>
    <t xml:space="preserve">V1116</t>
  </si>
  <si>
    <t xml:space="preserve">V1117</t>
  </si>
  <si>
    <t xml:space="preserve">róphobalú</t>
  </si>
  <si>
    <t xml:space="preserve">overpopulation</t>
  </si>
  <si>
    <t xml:space="preserve">V1118</t>
  </si>
  <si>
    <t xml:space="preserve">stáisiún cumhachta núicléach</t>
  </si>
  <si>
    <t xml:space="preserve">nuclear power station</t>
  </si>
  <si>
    <t xml:space="preserve">stáisiún cumhachta núicléach [m]</t>
  </si>
  <si>
    <t xml:space="preserve">V1119</t>
  </si>
  <si>
    <t xml:space="preserve">téamh domhanda</t>
  </si>
  <si>
    <t xml:space="preserve">global warming</t>
  </si>
  <si>
    <t xml:space="preserve">téamh domhanda [m]</t>
  </si>
  <si>
    <t xml:space="preserve">V1120</t>
  </si>
  <si>
    <t xml:space="preserve">tonn</t>
  </si>
  <si>
    <t xml:space="preserve">wave</t>
  </si>
  <si>
    <t xml:space="preserve">V1121</t>
  </si>
  <si>
    <t xml:space="preserve">truailliú</t>
  </si>
  <si>
    <t xml:space="preserve">pollution</t>
  </si>
  <si>
    <t xml:space="preserve">truailliú [m]</t>
  </si>
  <si>
    <t xml:space="preserve">V1122</t>
  </si>
  <si>
    <t xml:space="preserve">úsáid</t>
  </si>
  <si>
    <t xml:space="preserve">consumption</t>
  </si>
  <si>
    <t xml:space="preserve">V1123</t>
  </si>
  <si>
    <t xml:space="preserve">béar</t>
  </si>
  <si>
    <t xml:space="preserve">bear</t>
  </si>
  <si>
    <t xml:space="preserve">Endangered species</t>
  </si>
  <si>
    <t xml:space="preserve">béar [m]</t>
  </si>
  <si>
    <t xml:space="preserve">V1124</t>
  </si>
  <si>
    <t xml:space="preserve">V1125</t>
  </si>
  <si>
    <t xml:space="preserve">deilf</t>
  </si>
  <si>
    <t xml:space="preserve">dolphin</t>
  </si>
  <si>
    <t xml:space="preserve">V1126</t>
  </si>
  <si>
    <t xml:space="preserve">V1127</t>
  </si>
  <si>
    <t xml:space="preserve">eilifint</t>
  </si>
  <si>
    <t xml:space="preserve">elephant</t>
  </si>
  <si>
    <t xml:space="preserve">V1128</t>
  </si>
  <si>
    <t xml:space="preserve">iasc</t>
  </si>
  <si>
    <t xml:space="preserve">fish</t>
  </si>
  <si>
    <t xml:space="preserve">iasc [m]</t>
  </si>
  <si>
    <t xml:space="preserve">V1129</t>
  </si>
  <si>
    <t xml:space="preserve">míol mór</t>
  </si>
  <si>
    <t xml:space="preserve">whale</t>
  </si>
  <si>
    <t xml:space="preserve">míol mór [m]</t>
  </si>
  <si>
    <t xml:space="preserve">V1130</t>
  </si>
  <si>
    <t xml:space="preserve">moncaí</t>
  </si>
  <si>
    <t xml:space="preserve">monkey</t>
  </si>
  <si>
    <t xml:space="preserve">moncaí [m]</t>
  </si>
  <si>
    <t xml:space="preserve">V1131</t>
  </si>
  <si>
    <t xml:space="preserve">panda</t>
  </si>
  <si>
    <t xml:space="preserve">panda [m]</t>
  </si>
  <si>
    <t xml:space="preserve">V1132</t>
  </si>
  <si>
    <t xml:space="preserve">V1133</t>
  </si>
  <si>
    <t xml:space="preserve">sciathán leathair</t>
  </si>
  <si>
    <t xml:space="preserve">bat</t>
  </si>
  <si>
    <t xml:space="preserve">sciathán leathair [m]</t>
  </si>
  <si>
    <t xml:space="preserve">V1134</t>
  </si>
  <si>
    <t xml:space="preserve">V1135</t>
  </si>
  <si>
    <t xml:space="preserve">síota</t>
  </si>
  <si>
    <t xml:space="preserve">cheetah</t>
  </si>
  <si>
    <t xml:space="preserve">síota [m]</t>
  </si>
  <si>
    <t xml:space="preserve">V1136</t>
  </si>
  <si>
    <t xml:space="preserve">srónbheannach</t>
  </si>
  <si>
    <t xml:space="preserve">rhino</t>
  </si>
  <si>
    <t xml:space="preserve">V1137</t>
  </si>
  <si>
    <t xml:space="preserve">tíogar</t>
  </si>
  <si>
    <t xml:space="preserve">tiger</t>
  </si>
  <si>
    <t xml:space="preserve">tíogar [m]</t>
  </si>
  <si>
    <t xml:space="preserve">V1138</t>
  </si>
  <si>
    <t xml:space="preserve">a bheith dífhostaithe</t>
  </si>
  <si>
    <t xml:space="preserve">to be unemployed</t>
  </si>
  <si>
    <t xml:space="preserve">V1139</t>
  </si>
  <si>
    <t xml:space="preserve">caomhnaigh (ag caomhnú)</t>
  </si>
  <si>
    <t xml:space="preserve">caomhnaigh</t>
  </si>
  <si>
    <t xml:space="preserve">ag caomhnú</t>
  </si>
  <si>
    <t xml:space="preserve">to preserve (preserving)</t>
  </si>
  <si>
    <t xml:space="preserve">V1140</t>
  </si>
  <si>
    <t xml:space="preserve">cosain (ag cosaint)</t>
  </si>
  <si>
    <t xml:space="preserve">cosain</t>
  </si>
  <si>
    <t xml:space="preserve">ag cosaint</t>
  </si>
  <si>
    <t xml:space="preserve">to protect (protecting), safeguard (safeguarding)</t>
  </si>
  <si>
    <t xml:space="preserve">V1141</t>
  </si>
  <si>
    <t xml:space="preserve">cuir amú am (ag cur amú ama)</t>
  </si>
  <si>
    <t xml:space="preserve">cuir amú am</t>
  </si>
  <si>
    <t xml:space="preserve">ag cur amú ama</t>
  </si>
  <si>
    <t xml:space="preserve">to waste time (wasting time)</t>
  </si>
  <si>
    <t xml:space="preserve">V1142</t>
  </si>
  <si>
    <t xml:space="preserve">cuir fearthainn (ag cur fearthainne)</t>
  </si>
  <si>
    <t xml:space="preserve">cuir fearthainn</t>
  </si>
  <si>
    <t xml:space="preserve">ag cur fearthainne</t>
  </si>
  <si>
    <t xml:space="preserve">to rain (raining)</t>
  </si>
  <si>
    <t xml:space="preserve">V1143</t>
  </si>
  <si>
    <t xml:space="preserve">cuir sneachta (ag cur sneachta)</t>
  </si>
  <si>
    <t xml:space="preserve">cuir sneachta</t>
  </si>
  <si>
    <t xml:space="preserve">ag cur sneachta</t>
  </si>
  <si>
    <t xml:space="preserve">to snow (snowing)</t>
  </si>
  <si>
    <t xml:space="preserve">V1144</t>
  </si>
  <si>
    <t xml:space="preserve">déan dochar (ag déanamh dochair)</t>
  </si>
  <si>
    <t xml:space="preserve">déan dochar</t>
  </si>
  <si>
    <t xml:space="preserve">ag déanamh dochair</t>
  </si>
  <si>
    <t xml:space="preserve">to harm (harming)</t>
  </si>
  <si>
    <t xml:space="preserve">V1145</t>
  </si>
  <si>
    <t xml:space="preserve">lonraigh (ag lonrú)</t>
  </si>
  <si>
    <t xml:space="preserve">lonraigh</t>
  </si>
  <si>
    <t xml:space="preserve">ag lonrú</t>
  </si>
  <si>
    <t xml:space="preserve">to shine (shining)</t>
  </si>
  <si>
    <t xml:space="preserve">V1146</t>
  </si>
  <si>
    <t xml:space="preserve">sioc (ag cur seaca)</t>
  </si>
  <si>
    <t xml:space="preserve">sioc</t>
  </si>
  <si>
    <t xml:space="preserve">ag cur seaca</t>
  </si>
  <si>
    <t xml:space="preserve">frost (freezing)</t>
  </si>
  <si>
    <t xml:space="preserve">V1147</t>
  </si>
  <si>
    <t xml:space="preserve">truailligh (ag truailliú)</t>
  </si>
  <si>
    <t xml:space="preserve">truailligh</t>
  </si>
  <si>
    <t xml:space="preserve">ag truailliú</t>
  </si>
  <si>
    <t xml:space="preserve">to pollute (polluting)</t>
  </si>
  <si>
    <t xml:space="preserve">V1148</t>
  </si>
  <si>
    <t xml:space="preserve">daoine gan dídean</t>
  </si>
  <si>
    <t xml:space="preserve">the homeless</t>
  </si>
  <si>
    <t xml:space="preserve">Social issues</t>
  </si>
  <si>
    <t xml:space="preserve">Poverty and homelessness</t>
  </si>
  <si>
    <t xml:space="preserve">daoine gan dídean [mpl]</t>
  </si>
  <si>
    <t xml:space="preserve">V1149</t>
  </si>
  <si>
    <t xml:space="preserve">dífhostaíocht</t>
  </si>
  <si>
    <t xml:space="preserve">unemployment</t>
  </si>
  <si>
    <t xml:space="preserve">V1150</t>
  </si>
  <si>
    <t xml:space="preserve">duine dífhostaithe</t>
  </si>
  <si>
    <t xml:space="preserve">unemployed person</t>
  </si>
  <si>
    <t xml:space="preserve">duine dífhostaithe [m]</t>
  </si>
  <si>
    <t xml:space="preserve">V1151</t>
  </si>
  <si>
    <t xml:space="preserve">duine gan dídean</t>
  </si>
  <si>
    <t xml:space="preserve">a homeless person</t>
  </si>
  <si>
    <t xml:space="preserve">V1152</t>
  </si>
  <si>
    <t xml:space="preserve">ag feabhsú</t>
  </si>
  <si>
    <t xml:space="preserve">improving</t>
  </si>
  <si>
    <t xml:space="preserve">Community involvement</t>
  </si>
  <si>
    <t xml:space="preserve">V1153</t>
  </si>
  <si>
    <t xml:space="preserve">aonach cístí</t>
  </si>
  <si>
    <t xml:space="preserve">cake sale</t>
  </si>
  <si>
    <t xml:space="preserve">aonach [m] cístí</t>
  </si>
  <si>
    <t xml:space="preserve">V1154</t>
  </si>
  <si>
    <t xml:space="preserve">athraigh (ag athrú)</t>
  </si>
  <si>
    <t xml:space="preserve">athraigh</t>
  </si>
  <si>
    <t xml:space="preserve">ag athrú</t>
  </si>
  <si>
    <t xml:space="preserve">to change (changing)</t>
  </si>
  <si>
    <t xml:space="preserve">V1155</t>
  </si>
  <si>
    <t xml:space="preserve">bailiúchán</t>
  </si>
  <si>
    <t xml:space="preserve">collection</t>
  </si>
  <si>
    <t xml:space="preserve">bailiúchán [m]</t>
  </si>
  <si>
    <t xml:space="preserve">V1156</t>
  </si>
  <si>
    <t xml:space="preserve">cuidigh (ag cuidiú)</t>
  </si>
  <si>
    <t xml:space="preserve">cuidigh</t>
  </si>
  <si>
    <t xml:space="preserve">ag cuidiú</t>
  </si>
  <si>
    <t xml:space="preserve">V1157</t>
  </si>
  <si>
    <t xml:space="preserve">déirc</t>
  </si>
  <si>
    <t xml:space="preserve">charity</t>
  </si>
  <si>
    <t xml:space="preserve">V1158</t>
  </si>
  <si>
    <t xml:space="preserve">duine [m] dífhostaithe</t>
  </si>
  <si>
    <t xml:space="preserve">V1159</t>
  </si>
  <si>
    <t xml:space="preserve">freagracht</t>
  </si>
  <si>
    <t xml:space="preserve">responsibility</t>
  </si>
  <si>
    <t xml:space="preserve">V1160</t>
  </si>
  <si>
    <t xml:space="preserve">Gorta</t>
  </si>
  <si>
    <t xml:space="preserve">a charity for developing countries</t>
  </si>
  <si>
    <t xml:space="preserve">Gorta [m]</t>
  </si>
  <si>
    <t xml:space="preserve">V1161</t>
  </si>
  <si>
    <t xml:space="preserve">gorta</t>
  </si>
  <si>
    <t xml:space="preserve">famine</t>
  </si>
  <si>
    <t xml:space="preserve">gorta [m]</t>
  </si>
  <si>
    <t xml:space="preserve">V1162</t>
  </si>
  <si>
    <t xml:space="preserve">le hobair dheonach a dhéanamh</t>
  </si>
  <si>
    <t xml:space="preserve">do voluntary work</t>
  </si>
  <si>
    <t xml:space="preserve">V1163</t>
  </si>
  <si>
    <t xml:space="preserve">obair dheonach</t>
  </si>
  <si>
    <t xml:space="preserve">voluntary work</t>
  </si>
  <si>
    <t xml:space="preserve">V1164</t>
  </si>
  <si>
    <t xml:space="preserve">réitigh (ag réiteach)</t>
  </si>
  <si>
    <t xml:space="preserve">to resolve (resolving)</t>
  </si>
  <si>
    <t xml:space="preserve">V1165</t>
  </si>
  <si>
    <t xml:space="preserve">rialtas</t>
  </si>
  <si>
    <t xml:space="preserve">government</t>
  </si>
  <si>
    <t xml:space="preserve">rialtas [m]</t>
  </si>
  <si>
    <t xml:space="preserve">V1166</t>
  </si>
  <si>
    <t xml:space="preserve">V1167</t>
  </si>
  <si>
    <t xml:space="preserve">téigh i bhfeidhm ar (ag dul i bhfeidhm ar)</t>
  </si>
  <si>
    <t xml:space="preserve">téigh i bhfeidhm ar</t>
  </si>
  <si>
    <t xml:space="preserve">ag dul i bhfeidhm ar</t>
  </si>
  <si>
    <t xml:space="preserve">to affect (affecting)</t>
  </si>
  <si>
    <t xml:space="preserve">V1168</t>
  </si>
  <si>
    <t xml:space="preserve">tír fhorbartha</t>
  </si>
  <si>
    <t xml:space="preserve">developed country</t>
  </si>
  <si>
    <t xml:space="preserve">V1169</t>
  </si>
  <si>
    <t xml:space="preserve">tír i mbéal forbartha</t>
  </si>
  <si>
    <t xml:space="preserve">developing country</t>
  </si>
  <si>
    <t xml:space="preserve">V1170</t>
  </si>
  <si>
    <t xml:space="preserve">Trócaire</t>
  </si>
  <si>
    <t xml:space="preserve">Trócaire [m]</t>
  </si>
  <si>
    <t xml:space="preserve">V1171</t>
  </si>
  <si>
    <t xml:space="preserve">trócaire</t>
  </si>
  <si>
    <t xml:space="preserve">mercy</t>
  </si>
  <si>
    <t xml:space="preserve">trócaire [m]</t>
  </si>
  <si>
    <t xml:space="preserve">V1172</t>
  </si>
  <si>
    <t xml:space="preserve">andúileach</t>
  </si>
  <si>
    <t xml:space="preserve">addict</t>
  </si>
  <si>
    <t xml:space="preserve">Anti-social behaviour</t>
  </si>
  <si>
    <t xml:space="preserve">andúileach [m]</t>
  </si>
  <si>
    <t xml:space="preserve">V1173</t>
  </si>
  <si>
    <t xml:space="preserve">caith (ag caitheamh) (drugaí)</t>
  </si>
  <si>
    <t xml:space="preserve">caith (drugaí)</t>
  </si>
  <si>
    <t xml:space="preserve">to smoke (smoking) (drugs)</t>
  </si>
  <si>
    <t xml:space="preserve">V1174</t>
  </si>
  <si>
    <t xml:space="preserve">creachadóireacht</t>
  </si>
  <si>
    <t xml:space="preserve">vandalism</t>
  </si>
  <si>
    <t xml:space="preserve">V1175</t>
  </si>
  <si>
    <t xml:space="preserve">deisigh (ag deisiú)</t>
  </si>
  <si>
    <t xml:space="preserve">deisigh</t>
  </si>
  <si>
    <t xml:space="preserve">ag deisiú</t>
  </si>
  <si>
    <t xml:space="preserve">to fix, repair (fixing, repairing)</t>
  </si>
  <si>
    <t xml:space="preserve">V1176</t>
  </si>
  <si>
    <t xml:space="preserve">gadaíocht</t>
  </si>
  <si>
    <t xml:space="preserve">theft</t>
  </si>
  <si>
    <t xml:space="preserve">V1177</t>
  </si>
  <si>
    <t xml:space="preserve">gadaí</t>
  </si>
  <si>
    <t xml:space="preserve">thief</t>
  </si>
  <si>
    <t xml:space="preserve">gadaí [m]</t>
  </si>
  <si>
    <t xml:space="preserve">V1178</t>
  </si>
  <si>
    <t xml:space="preserve">goid (ag goid)</t>
  </si>
  <si>
    <t xml:space="preserve">goid</t>
  </si>
  <si>
    <t xml:space="preserve">ag goid</t>
  </si>
  <si>
    <t xml:space="preserve">to steal (stealing)</t>
  </si>
  <si>
    <t xml:space="preserve">V1179</t>
  </si>
  <si>
    <t xml:space="preserve">gortaigh (ag gortú)</t>
  </si>
  <si>
    <t xml:space="preserve">gortaigh</t>
  </si>
  <si>
    <t xml:space="preserve">ag gortú</t>
  </si>
  <si>
    <t xml:space="preserve">to hurt (hurting), to injure (injuring)</t>
  </si>
  <si>
    <t xml:space="preserve">V1180</t>
  </si>
  <si>
    <t xml:space="preserve">iompar</t>
  </si>
  <si>
    <t xml:space="preserve">behaviour</t>
  </si>
  <si>
    <t xml:space="preserve">iompar [m]</t>
  </si>
  <si>
    <t xml:space="preserve">V1181</t>
  </si>
  <si>
    <t xml:space="preserve">ionsaí</t>
  </si>
  <si>
    <t xml:space="preserve">attack</t>
  </si>
  <si>
    <t xml:space="preserve">ionsaí [m]</t>
  </si>
  <si>
    <t xml:space="preserve">V1182</t>
  </si>
  <si>
    <t xml:space="preserve">mill (ag milleadh)</t>
  </si>
  <si>
    <t xml:space="preserve">mill</t>
  </si>
  <si>
    <t xml:space="preserve">ag milleadh</t>
  </si>
  <si>
    <t xml:space="preserve">to destroy (destroying)</t>
  </si>
  <si>
    <t xml:space="preserve">V1183</t>
  </si>
  <si>
    <t xml:space="preserve">millte</t>
  </si>
  <si>
    <t xml:space="preserve">spoilt, ruined</t>
  </si>
  <si>
    <t xml:space="preserve">V1184</t>
  </si>
  <si>
    <t xml:space="preserve">robáil</t>
  </si>
  <si>
    <t xml:space="preserve">robbery</t>
  </si>
  <si>
    <t xml:space="preserve">V1185</t>
  </si>
  <si>
    <t xml:space="preserve">scrios (ag scriosadh)</t>
  </si>
  <si>
    <t xml:space="preserve">scrios</t>
  </si>
  <si>
    <t xml:space="preserve">ag scriosadh</t>
  </si>
  <si>
    <t xml:space="preserve">V1186</t>
  </si>
  <si>
    <t xml:space="preserve">tromaíocht</t>
  </si>
  <si>
    <t xml:space="preserve">bullying</t>
  </si>
  <si>
    <t xml:space="preserve">V1187</t>
  </si>
  <si>
    <t xml:space="preserve">bollaí</t>
  </si>
  <si>
    <t xml:space="preserve">bowls</t>
  </si>
  <si>
    <t xml:space="preserve">Health and lifestyle</t>
  </si>
  <si>
    <t xml:space="preserve">Exercise/Sport</t>
  </si>
  <si>
    <t xml:space="preserve">bollaí [mpl]</t>
  </si>
  <si>
    <t xml:space="preserve">V1188</t>
  </si>
  <si>
    <t xml:space="preserve">V1189</t>
  </si>
  <si>
    <t xml:space="preserve">clár scátála</t>
  </si>
  <si>
    <t xml:space="preserve">skateboard</t>
  </si>
  <si>
    <t xml:space="preserve">clár scátála [m]</t>
  </si>
  <si>
    <t xml:space="preserve">V1190</t>
  </si>
  <si>
    <t xml:space="preserve">clársheoltóireacht</t>
  </si>
  <si>
    <t xml:space="preserve">windsurfing</t>
  </si>
  <si>
    <t xml:space="preserve">V1191</t>
  </si>
  <si>
    <t xml:space="preserve">cluiche</t>
  </si>
  <si>
    <t xml:space="preserve">match, game</t>
  </si>
  <si>
    <t xml:space="preserve">V1192</t>
  </si>
  <si>
    <t xml:space="preserve">point</t>
  </si>
  <si>
    <t xml:space="preserve">V1193</t>
  </si>
  <si>
    <t xml:space="preserve">goal</t>
  </si>
  <si>
    <t xml:space="preserve">V1194</t>
  </si>
  <si>
    <t xml:space="preserve">curachóireacht</t>
  </si>
  <si>
    <t xml:space="preserve">canoeing</t>
  </si>
  <si>
    <t xml:space="preserve">V1195</t>
  </si>
  <si>
    <t xml:space="preserve">dairteanna</t>
  </si>
  <si>
    <t xml:space="preserve">darts</t>
  </si>
  <si>
    <t xml:space="preserve">dairteanna [fpl]</t>
  </si>
  <si>
    <t xml:space="preserve">V1196</t>
  </si>
  <si>
    <t xml:space="preserve">dreapadóireacht</t>
  </si>
  <si>
    <t xml:space="preserve">climbing</t>
  </si>
  <si>
    <t xml:space="preserve">V1197</t>
  </si>
  <si>
    <t xml:space="preserve">duine den lucht leanúna</t>
  </si>
  <si>
    <t xml:space="preserve">fan, supporter</t>
  </si>
  <si>
    <t xml:space="preserve">V1198</t>
  </si>
  <si>
    <t xml:space="preserve">eangach</t>
  </si>
  <si>
    <t xml:space="preserve">net</t>
  </si>
  <si>
    <t xml:space="preserve">V1199</t>
  </si>
  <si>
    <t xml:space="preserve">eitpheil</t>
  </si>
  <si>
    <t xml:space="preserve">volleyball</t>
  </si>
  <si>
    <t xml:space="preserve">V1200</t>
  </si>
  <si>
    <t xml:space="preserve">faoin aer</t>
  </si>
  <si>
    <t xml:space="preserve">open air</t>
  </si>
  <si>
    <t xml:space="preserve">V1201</t>
  </si>
  <si>
    <t xml:space="preserve">V1202</t>
  </si>
  <si>
    <t xml:space="preserve">giomnáisiam</t>
  </si>
  <si>
    <t xml:space="preserve">gymnasium</t>
  </si>
  <si>
    <t xml:space="preserve">giomnáisiam [m]</t>
  </si>
  <si>
    <t xml:space="preserve">V1203</t>
  </si>
  <si>
    <t xml:space="preserve">V1204</t>
  </si>
  <si>
    <t xml:space="preserve">iománaíocht</t>
  </si>
  <si>
    <t xml:space="preserve">V1205</t>
  </si>
  <si>
    <t xml:space="preserve">V1206</t>
  </si>
  <si>
    <t xml:space="preserve">V1207</t>
  </si>
  <si>
    <t xml:space="preserve">lúthchleasaíocht</t>
  </si>
  <si>
    <t xml:space="preserve">athletics</t>
  </si>
  <si>
    <t xml:space="preserve">V1208</t>
  </si>
  <si>
    <t xml:space="preserve">marcaíocht capaill</t>
  </si>
  <si>
    <t xml:space="preserve">horse-riding</t>
  </si>
  <si>
    <t xml:space="preserve">V1209</t>
  </si>
  <si>
    <t xml:space="preserve">raon (reatha)</t>
  </si>
  <si>
    <t xml:space="preserve">(running) track</t>
  </si>
  <si>
    <t xml:space="preserve">raon (reatha) [m]</t>
  </si>
  <si>
    <t xml:space="preserve">V1210</t>
  </si>
  <si>
    <t xml:space="preserve">V1211</t>
  </si>
  <si>
    <t xml:space="preserve">réiteoir</t>
  </si>
  <si>
    <t xml:space="preserve">referee</t>
  </si>
  <si>
    <t xml:space="preserve">V1212</t>
  </si>
  <si>
    <t xml:space="preserve">rinc scátála</t>
  </si>
  <si>
    <t xml:space="preserve">skating rink</t>
  </si>
  <si>
    <t xml:space="preserve">V1213</t>
  </si>
  <si>
    <t xml:space="preserve">V1214</t>
  </si>
  <si>
    <t xml:space="preserve">rothaí</t>
  </si>
  <si>
    <t xml:space="preserve">cyclist</t>
  </si>
  <si>
    <t xml:space="preserve">rothaí [m]</t>
  </si>
  <si>
    <t xml:space="preserve">V1215</t>
  </si>
  <si>
    <t xml:space="preserve">rothar sléibhe</t>
  </si>
  <si>
    <t xml:space="preserve">mountain bike</t>
  </si>
  <si>
    <t xml:space="preserve">V1216</t>
  </si>
  <si>
    <t xml:space="preserve">rothaíocht sléibhe</t>
  </si>
  <si>
    <t xml:space="preserve">mountain biking</t>
  </si>
  <si>
    <t xml:space="preserve">V1217</t>
  </si>
  <si>
    <t xml:space="preserve">scátáil</t>
  </si>
  <si>
    <t xml:space="preserve">skating</t>
  </si>
  <si>
    <t xml:space="preserve">V1218</t>
  </si>
  <si>
    <t xml:space="preserve">scátáil oighir</t>
  </si>
  <si>
    <t xml:space="preserve">ice skating</t>
  </si>
  <si>
    <t xml:space="preserve">scátáil oighir [m]</t>
  </si>
  <si>
    <t xml:space="preserve">V1219</t>
  </si>
  <si>
    <t xml:space="preserve">scátáil rollála</t>
  </si>
  <si>
    <t xml:space="preserve">roller skating</t>
  </si>
  <si>
    <t xml:space="preserve">scátáil rollála [m]</t>
  </si>
  <si>
    <t xml:space="preserve">V1220</t>
  </si>
  <si>
    <t xml:space="preserve">scáta rollála</t>
  </si>
  <si>
    <t xml:space="preserve">roller skate</t>
  </si>
  <si>
    <t xml:space="preserve">scáta rollála [m]</t>
  </si>
  <si>
    <t xml:space="preserve">V1221</t>
  </si>
  <si>
    <t xml:space="preserve">seoltóireacht</t>
  </si>
  <si>
    <t xml:space="preserve">sailing</t>
  </si>
  <si>
    <t xml:space="preserve">V1222</t>
  </si>
  <si>
    <t xml:space="preserve">siúl</t>
  </si>
  <si>
    <t xml:space="preserve">walk</t>
  </si>
  <si>
    <t xml:space="preserve">siúl [m]</t>
  </si>
  <si>
    <t xml:space="preserve">V1223</t>
  </si>
  <si>
    <t xml:space="preserve">siúlóid</t>
  </si>
  <si>
    <t xml:space="preserve">walk, hike, stroll</t>
  </si>
  <si>
    <t xml:space="preserve">V1224</t>
  </si>
  <si>
    <t xml:space="preserve">siúlóidí</t>
  </si>
  <si>
    <t xml:space="preserve">hiker</t>
  </si>
  <si>
    <t xml:space="preserve">V1225</t>
  </si>
  <si>
    <t xml:space="preserve">swimming</t>
  </si>
  <si>
    <t xml:space="preserve">V1226</t>
  </si>
  <si>
    <t xml:space="preserve">spaisteoireacht</t>
  </si>
  <si>
    <t xml:space="preserve">(leisurely) walk</t>
  </si>
  <si>
    <t xml:space="preserve">V1227</t>
  </si>
  <si>
    <t xml:space="preserve">V1228</t>
  </si>
  <si>
    <t xml:space="preserve">spórt uisce</t>
  </si>
  <si>
    <t xml:space="preserve">water sports</t>
  </si>
  <si>
    <t xml:space="preserve">spórt uisce [m]</t>
  </si>
  <si>
    <t xml:space="preserve">V1229</t>
  </si>
  <si>
    <t xml:space="preserve">staid, staidiam</t>
  </si>
  <si>
    <t xml:space="preserve">stadium</t>
  </si>
  <si>
    <t xml:space="preserve">V1230</t>
  </si>
  <si>
    <t xml:space="preserve">traenáil</t>
  </si>
  <si>
    <t xml:space="preserve">training</t>
  </si>
  <si>
    <t xml:space="preserve">V1231</t>
  </si>
  <si>
    <t xml:space="preserve">tumadóireacht</t>
  </si>
  <si>
    <t xml:space="preserve">diving</t>
  </si>
  <si>
    <t xml:space="preserve">V1232</t>
  </si>
  <si>
    <t xml:space="preserve">aibreog</t>
  </si>
  <si>
    <t xml:space="preserve">apricot</t>
  </si>
  <si>
    <t xml:space="preserve">Food and drink</t>
  </si>
  <si>
    <t xml:space="preserve">V1233</t>
  </si>
  <si>
    <t xml:space="preserve">V1234</t>
  </si>
  <si>
    <t xml:space="preserve">alcól</t>
  </si>
  <si>
    <t xml:space="preserve">alcohol</t>
  </si>
  <si>
    <t xml:space="preserve">V1235</t>
  </si>
  <si>
    <t xml:space="preserve">alcólach</t>
  </si>
  <si>
    <t xml:space="preserve">alcoholic</t>
  </si>
  <si>
    <t xml:space="preserve">V1236</t>
  </si>
  <si>
    <t xml:space="preserve">anann</t>
  </si>
  <si>
    <t xml:space="preserve">pineapple</t>
  </si>
  <si>
    <t xml:space="preserve">V1237</t>
  </si>
  <si>
    <t xml:space="preserve">anlann</t>
  </si>
  <si>
    <t xml:space="preserve">sauce</t>
  </si>
  <si>
    <t xml:space="preserve">anlann [m]</t>
  </si>
  <si>
    <t xml:space="preserve">V1238</t>
  </si>
  <si>
    <t xml:space="preserve">anraith</t>
  </si>
  <si>
    <t xml:space="preserve">soup</t>
  </si>
  <si>
    <t xml:space="preserve">anraith [m]</t>
  </si>
  <si>
    <t xml:space="preserve">V1239</t>
  </si>
  <si>
    <t xml:space="preserve">arán</t>
  </si>
  <si>
    <t xml:space="preserve">bread</t>
  </si>
  <si>
    <t xml:space="preserve">arán [m]</t>
  </si>
  <si>
    <t xml:space="preserve">V1240</t>
  </si>
  <si>
    <t xml:space="preserve">arbhar</t>
  </si>
  <si>
    <t xml:space="preserve">cereal</t>
  </si>
  <si>
    <t xml:space="preserve">arbhar [m]</t>
  </si>
  <si>
    <t xml:space="preserve">V1241</t>
  </si>
  <si>
    <t xml:space="preserve">bachlóg Bhruiséile</t>
  </si>
  <si>
    <t xml:space="preserve">Brussels sprouts</t>
  </si>
  <si>
    <t xml:space="preserve">V1242</t>
  </si>
  <si>
    <t xml:space="preserve">bagún</t>
  </si>
  <si>
    <t xml:space="preserve">bacon</t>
  </si>
  <si>
    <t xml:space="preserve">V1243</t>
  </si>
  <si>
    <t xml:space="preserve">bainne</t>
  </si>
  <si>
    <t xml:space="preserve">milk</t>
  </si>
  <si>
    <t xml:space="preserve">bainne [m]</t>
  </si>
  <si>
    <t xml:space="preserve">V1244</t>
  </si>
  <si>
    <t xml:space="preserve">banana</t>
  </si>
  <si>
    <t xml:space="preserve">V1245</t>
  </si>
  <si>
    <t xml:space="preserve">beacán</t>
  </si>
  <si>
    <t xml:space="preserve">mushroom</t>
  </si>
  <si>
    <t xml:space="preserve">beacán [m]</t>
  </si>
  <si>
    <t xml:space="preserve">V1246</t>
  </si>
  <si>
    <t xml:space="preserve">beagán</t>
  </si>
  <si>
    <t xml:space="preserve">a little</t>
  </si>
  <si>
    <t xml:space="preserve">beagán [m]</t>
  </si>
  <si>
    <t xml:space="preserve">V1247</t>
  </si>
  <si>
    <t xml:space="preserve">beoir</t>
  </si>
  <si>
    <t xml:space="preserve">beer</t>
  </si>
  <si>
    <t xml:space="preserve">V1248</t>
  </si>
  <si>
    <t xml:space="preserve">V1249</t>
  </si>
  <si>
    <t xml:space="preserve">béile an lae</t>
  </si>
  <si>
    <t xml:space="preserve">dish of the day</t>
  </si>
  <si>
    <t xml:space="preserve">V1250</t>
  </si>
  <si>
    <t xml:space="preserve">béilí réamhdhéanta</t>
  </si>
  <si>
    <t xml:space="preserve">ready-made meals</t>
  </si>
  <si>
    <t xml:space="preserve">béilí réamhdhéanta [mpl]</t>
  </si>
  <si>
    <t xml:space="preserve">V1251</t>
  </si>
  <si>
    <t xml:space="preserve">bia</t>
  </si>
  <si>
    <t xml:space="preserve">food, groceries</t>
  </si>
  <si>
    <t xml:space="preserve">bia [m]</t>
  </si>
  <si>
    <t xml:space="preserve">V1252</t>
  </si>
  <si>
    <t xml:space="preserve">bia-ábhar</t>
  </si>
  <si>
    <t xml:space="preserve">food stuff, groceries</t>
  </si>
  <si>
    <t xml:space="preserve">bia-ábhar [m]</t>
  </si>
  <si>
    <t xml:space="preserve">V1253</t>
  </si>
  <si>
    <t xml:space="preserve">bia mara</t>
  </si>
  <si>
    <t xml:space="preserve">seafood</t>
  </si>
  <si>
    <t xml:space="preserve">bia mara [m]</t>
  </si>
  <si>
    <t xml:space="preserve">V1254</t>
  </si>
  <si>
    <t xml:space="preserve">bille</t>
  </si>
  <si>
    <t xml:space="preserve">bill</t>
  </si>
  <si>
    <t xml:space="preserve">bille [m]</t>
  </si>
  <si>
    <t xml:space="preserve">V1255</t>
  </si>
  <si>
    <t xml:space="preserve">V1256</t>
  </si>
  <si>
    <t xml:space="preserve">V1257</t>
  </si>
  <si>
    <t xml:space="preserve">briosca</t>
  </si>
  <si>
    <t xml:space="preserve">biscuit</t>
  </si>
  <si>
    <t xml:space="preserve">V1258</t>
  </si>
  <si>
    <t xml:space="preserve">brioscáin phrátaí</t>
  </si>
  <si>
    <t xml:space="preserve">crisps</t>
  </si>
  <si>
    <t xml:space="preserve">brioscáin phrátaí [mpl]</t>
  </si>
  <si>
    <t xml:space="preserve">V1259</t>
  </si>
  <si>
    <t xml:space="preserve">brúitín</t>
  </si>
  <si>
    <t xml:space="preserve">mashed potato</t>
  </si>
  <si>
    <t xml:space="preserve">brúitín [m]</t>
  </si>
  <si>
    <t xml:space="preserve">V1260</t>
  </si>
  <si>
    <t xml:space="preserve">buidéal</t>
  </si>
  <si>
    <t xml:space="preserve">bottle</t>
  </si>
  <si>
    <t xml:space="preserve">buidéal [m]</t>
  </si>
  <si>
    <t xml:space="preserve">V1261</t>
  </si>
  <si>
    <t xml:space="preserve">builín</t>
  </si>
  <si>
    <t xml:space="preserve">loaf</t>
  </si>
  <si>
    <t xml:space="preserve">builín [m]</t>
  </si>
  <si>
    <t xml:space="preserve">V1262</t>
  </si>
  <si>
    <t xml:space="preserve">cabáiste</t>
  </si>
  <si>
    <t xml:space="preserve">cabbage</t>
  </si>
  <si>
    <t xml:space="preserve">cabáiste [m]</t>
  </si>
  <si>
    <t xml:space="preserve">V1263</t>
  </si>
  <si>
    <t xml:space="preserve">cáca, císte</t>
  </si>
  <si>
    <t xml:space="preserve">cáca, císte [m]</t>
  </si>
  <si>
    <t xml:space="preserve">V1264</t>
  </si>
  <si>
    <t xml:space="preserve">caife</t>
  </si>
  <si>
    <t xml:space="preserve">coffee</t>
  </si>
  <si>
    <t xml:space="preserve">caife [m]</t>
  </si>
  <si>
    <t xml:space="preserve">V1265</t>
  </si>
  <si>
    <t xml:space="preserve">cairéad, meacan dearg</t>
  </si>
  <si>
    <t xml:space="preserve">carrot</t>
  </si>
  <si>
    <t xml:space="preserve">cairéad, meacan dearg [m]</t>
  </si>
  <si>
    <t xml:space="preserve">V1266</t>
  </si>
  <si>
    <t xml:space="preserve">cáis</t>
  </si>
  <si>
    <t xml:space="preserve">cheese</t>
  </si>
  <si>
    <t xml:space="preserve">V1267</t>
  </si>
  <si>
    <t xml:space="preserve">canna</t>
  </si>
  <si>
    <t xml:space="preserve">can</t>
  </si>
  <si>
    <t xml:space="preserve">canna [m]</t>
  </si>
  <si>
    <t xml:space="preserve">V1268</t>
  </si>
  <si>
    <t xml:space="preserve">ceapaire</t>
  </si>
  <si>
    <t xml:space="preserve">sandwich</t>
  </si>
  <si>
    <t xml:space="preserve">ceapaire [m]</t>
  </si>
  <si>
    <t xml:space="preserve">V1269</t>
  </si>
  <si>
    <t xml:space="preserve">ciseán</t>
  </si>
  <si>
    <t xml:space="preserve">basket</t>
  </si>
  <si>
    <t xml:space="preserve">ciseán [m]</t>
  </si>
  <si>
    <t xml:space="preserve">V1270</t>
  </si>
  <si>
    <t xml:space="preserve">V1271</t>
  </si>
  <si>
    <t xml:space="preserve">cócó</t>
  </si>
  <si>
    <t xml:space="preserve">cocoa</t>
  </si>
  <si>
    <t xml:space="preserve">cócó [m]</t>
  </si>
  <si>
    <t xml:space="preserve">V1272</t>
  </si>
  <si>
    <t xml:space="preserve">cóilis</t>
  </si>
  <si>
    <t xml:space="preserve">cauliflower</t>
  </si>
  <si>
    <t xml:space="preserve">V1273</t>
  </si>
  <si>
    <t xml:space="preserve">crann silíní</t>
  </si>
  <si>
    <t xml:space="preserve">cherry</t>
  </si>
  <si>
    <t xml:space="preserve">crann silíní [m]</t>
  </si>
  <si>
    <t xml:space="preserve">V1274</t>
  </si>
  <si>
    <t xml:space="preserve">crúsca, pota</t>
  </si>
  <si>
    <t xml:space="preserve">jar, pot</t>
  </si>
  <si>
    <t xml:space="preserve">crúsca, pota [m]</t>
  </si>
  <si>
    <t xml:space="preserve">V1275</t>
  </si>
  <si>
    <t xml:space="preserve">cúcamar</t>
  </si>
  <si>
    <t xml:space="preserve">cucumber</t>
  </si>
  <si>
    <t xml:space="preserve">cúcamar [m]</t>
  </si>
  <si>
    <t xml:space="preserve">V1276</t>
  </si>
  <si>
    <t xml:space="preserve">cuirín dubh, cuiríní dubha</t>
  </si>
  <si>
    <t xml:space="preserve">blackcurrant, blackcurrants</t>
  </si>
  <si>
    <t xml:space="preserve">cuirín dubh [m], cuiríní dubha</t>
  </si>
  <si>
    <t xml:space="preserve">V1277</t>
  </si>
  <si>
    <t xml:space="preserve">curaí</t>
  </si>
  <si>
    <t xml:space="preserve">curry</t>
  </si>
  <si>
    <t xml:space="preserve">curaí [m]</t>
  </si>
  <si>
    <t xml:space="preserve">V1278</t>
  </si>
  <si>
    <t xml:space="preserve">cúrsa tosaigh</t>
  </si>
  <si>
    <t xml:space="preserve">starter</t>
  </si>
  <si>
    <t xml:space="preserve">cúrsa tosaigh [m]</t>
  </si>
  <si>
    <t xml:space="preserve">V1279</t>
  </si>
  <si>
    <t xml:space="preserve">déistineach</t>
  </si>
  <si>
    <t xml:space="preserve">disgusting</t>
  </si>
  <si>
    <t xml:space="preserve">V1280</t>
  </si>
  <si>
    <t xml:space="preserve">deoch</t>
  </si>
  <si>
    <t xml:space="preserve">drink</t>
  </si>
  <si>
    <t xml:space="preserve">V1281</t>
  </si>
  <si>
    <t xml:space="preserve">deoch (fiosaí)</t>
  </si>
  <si>
    <t xml:space="preserve">(fizzy) drink</t>
  </si>
  <si>
    <t xml:space="preserve">V1282</t>
  </si>
  <si>
    <t xml:space="preserve">dinnéar</t>
  </si>
  <si>
    <t xml:space="preserve">dinner</t>
  </si>
  <si>
    <t xml:space="preserve">dinnéar [m]</t>
  </si>
  <si>
    <t xml:space="preserve">V1283</t>
  </si>
  <si>
    <t xml:space="preserve">earraí grósaera</t>
  </si>
  <si>
    <t xml:space="preserve">groceries</t>
  </si>
  <si>
    <t xml:space="preserve">earraí [mpl] grósaera</t>
  </si>
  <si>
    <t xml:space="preserve">V1284</t>
  </si>
  <si>
    <t xml:space="preserve">fanaile</t>
  </si>
  <si>
    <t xml:space="preserve">vanilla</t>
  </si>
  <si>
    <t xml:space="preserve">fanaile [m]</t>
  </si>
  <si>
    <t xml:space="preserve">V1285</t>
  </si>
  <si>
    <t xml:space="preserve">feoil</t>
  </si>
  <si>
    <t xml:space="preserve">meat</t>
  </si>
  <si>
    <t xml:space="preserve">V1286</t>
  </si>
  <si>
    <t xml:space="preserve">fínéagar</t>
  </si>
  <si>
    <t xml:space="preserve">vinegar</t>
  </si>
  <si>
    <t xml:space="preserve">fínéagar [m]</t>
  </si>
  <si>
    <t xml:space="preserve">V1287</t>
  </si>
  <si>
    <t xml:space="preserve">fíon</t>
  </si>
  <si>
    <t xml:space="preserve">wine</t>
  </si>
  <si>
    <t xml:space="preserve">fíon [m]</t>
  </si>
  <si>
    <t xml:space="preserve">V1288</t>
  </si>
  <si>
    <t xml:space="preserve">fíonchaor</t>
  </si>
  <si>
    <t xml:space="preserve">grape</t>
  </si>
  <si>
    <t xml:space="preserve">V1289</t>
  </si>
  <si>
    <t xml:space="preserve">freastalaí</t>
  </si>
  <si>
    <t xml:space="preserve">waiter/waitress</t>
  </si>
  <si>
    <t xml:space="preserve">freastalaí [m]</t>
  </si>
  <si>
    <t xml:space="preserve">V1290</t>
  </si>
  <si>
    <t xml:space="preserve">gairleog</t>
  </si>
  <si>
    <t xml:space="preserve">garlic</t>
  </si>
  <si>
    <t xml:space="preserve">V1291</t>
  </si>
  <si>
    <t xml:space="preserve">glasraí</t>
  </si>
  <si>
    <t xml:space="preserve">vegetables</t>
  </si>
  <si>
    <t xml:space="preserve">V1292</t>
  </si>
  <si>
    <t xml:space="preserve">glasraí amha</t>
  </si>
  <si>
    <t xml:space="preserve">raw vegetables</t>
  </si>
  <si>
    <t xml:space="preserve">glasraí amha [mpl]</t>
  </si>
  <si>
    <t xml:space="preserve">V1293</t>
  </si>
  <si>
    <t xml:space="preserve">gríscín</t>
  </si>
  <si>
    <t xml:space="preserve">chop, cutlet</t>
  </si>
  <si>
    <t xml:space="preserve">gríscín [m]</t>
  </si>
  <si>
    <t xml:space="preserve">V1294</t>
  </si>
  <si>
    <t xml:space="preserve">V1295</t>
  </si>
  <si>
    <t xml:space="preserve">im</t>
  </si>
  <si>
    <t xml:space="preserve">butter</t>
  </si>
  <si>
    <t xml:space="preserve">V1296</t>
  </si>
  <si>
    <t xml:space="preserve">iógart</t>
  </si>
  <si>
    <t xml:space="preserve">yoghurt</t>
  </si>
  <si>
    <t xml:space="preserve">iógart [m]</t>
  </si>
  <si>
    <t xml:space="preserve">V1297</t>
  </si>
  <si>
    <t xml:space="preserve">ispín (griollta/friochta)</t>
  </si>
  <si>
    <t xml:space="preserve">(grilled/fried) sausage</t>
  </si>
  <si>
    <t xml:space="preserve">ispín [m] (griollta/friochta)</t>
  </si>
  <si>
    <t xml:space="preserve">V1298</t>
  </si>
  <si>
    <t xml:space="preserve">leitís</t>
  </si>
  <si>
    <t xml:space="preserve">lettuce</t>
  </si>
  <si>
    <t xml:space="preserve">V1299</t>
  </si>
  <si>
    <t xml:space="preserve">V1300</t>
  </si>
  <si>
    <t xml:space="preserve">líomanáid</t>
  </si>
  <si>
    <t xml:space="preserve">lemonade</t>
  </si>
  <si>
    <t xml:space="preserve">V1301</t>
  </si>
  <si>
    <t xml:space="preserve">líomóid</t>
  </si>
  <si>
    <t xml:space="preserve">lemon</t>
  </si>
  <si>
    <t xml:space="preserve">V1302</t>
  </si>
  <si>
    <t xml:space="preserve">lón</t>
  </si>
  <si>
    <t xml:space="preserve">lunch (midday)</t>
  </si>
  <si>
    <t xml:space="preserve">lón [m]</t>
  </si>
  <si>
    <t xml:space="preserve">V1303</t>
  </si>
  <si>
    <t xml:space="preserve">luibheanna</t>
  </si>
  <si>
    <t xml:space="preserve">herbs</t>
  </si>
  <si>
    <t xml:space="preserve">luibheanna [fpl]</t>
  </si>
  <si>
    <t xml:space="preserve">V1304</t>
  </si>
  <si>
    <t xml:space="preserve">mairteoil</t>
  </si>
  <si>
    <t xml:space="preserve">beef</t>
  </si>
  <si>
    <t xml:space="preserve">V1305</t>
  </si>
  <si>
    <t xml:space="preserve">milseáin</t>
  </si>
  <si>
    <t xml:space="preserve">sweets</t>
  </si>
  <si>
    <t xml:space="preserve">milseáin [mpl]</t>
  </si>
  <si>
    <t xml:space="preserve">V1306</t>
  </si>
  <si>
    <t xml:space="preserve">margairín</t>
  </si>
  <si>
    <t xml:space="preserve">margarine</t>
  </si>
  <si>
    <t xml:space="preserve">margairín [m]</t>
  </si>
  <si>
    <t xml:space="preserve">V1307</t>
  </si>
  <si>
    <t xml:space="preserve">mias, príomhchúrsa</t>
  </si>
  <si>
    <t xml:space="preserve">dish, main course</t>
  </si>
  <si>
    <t xml:space="preserve">mias, príomhchúrsa [m]</t>
  </si>
  <si>
    <t xml:space="preserve">V1308</t>
  </si>
  <si>
    <t xml:space="preserve">mil</t>
  </si>
  <si>
    <t xml:space="preserve">honey</t>
  </si>
  <si>
    <t xml:space="preserve">V1309</t>
  </si>
  <si>
    <t xml:space="preserve">milseog</t>
  </si>
  <si>
    <t xml:space="preserve">dessert, pudding</t>
  </si>
  <si>
    <t xml:space="preserve">V1310</t>
  </si>
  <si>
    <t xml:space="preserve">mustard</t>
  </si>
  <si>
    <t xml:space="preserve">mustard [m]</t>
  </si>
  <si>
    <t xml:space="preserve">V1311</t>
  </si>
  <si>
    <t xml:space="preserve">nua, úr</t>
  </si>
  <si>
    <t xml:space="preserve">fresh</t>
  </si>
  <si>
    <t xml:space="preserve">V1312</t>
  </si>
  <si>
    <t xml:space="preserve">núdáil</t>
  </si>
  <si>
    <t xml:space="preserve">noodles</t>
  </si>
  <si>
    <t xml:space="preserve">núdáil [mpl]</t>
  </si>
  <si>
    <t xml:space="preserve">V1313</t>
  </si>
  <si>
    <t xml:space="preserve">V1314</t>
  </si>
  <si>
    <t xml:space="preserve">oideas</t>
  </si>
  <si>
    <t xml:space="preserve">recipe</t>
  </si>
  <si>
    <t xml:space="preserve">oideas [m]</t>
  </si>
  <si>
    <t xml:space="preserve">V1315</t>
  </si>
  <si>
    <t xml:space="preserve">V1316</t>
  </si>
  <si>
    <t xml:space="preserve">oinniún</t>
  </si>
  <si>
    <t xml:space="preserve">onion</t>
  </si>
  <si>
    <t xml:space="preserve">oinniún [m]</t>
  </si>
  <si>
    <t xml:space="preserve">V1317</t>
  </si>
  <si>
    <t xml:space="preserve">ola</t>
  </si>
  <si>
    <t xml:space="preserve">oil</t>
  </si>
  <si>
    <t xml:space="preserve">V1318</t>
  </si>
  <si>
    <t xml:space="preserve">V1319</t>
  </si>
  <si>
    <t xml:space="preserve">pancóg</t>
  </si>
  <si>
    <t xml:space="preserve">pancake</t>
  </si>
  <si>
    <t xml:space="preserve">pancóg [m]</t>
  </si>
  <si>
    <t xml:space="preserve">V1320</t>
  </si>
  <si>
    <t xml:space="preserve">pasta</t>
  </si>
  <si>
    <t xml:space="preserve">pasta [m]</t>
  </si>
  <si>
    <t xml:space="preserve">V1321</t>
  </si>
  <si>
    <t xml:space="preserve">péitseog</t>
  </si>
  <si>
    <t xml:space="preserve">peach</t>
  </si>
  <si>
    <t xml:space="preserve">V1322</t>
  </si>
  <si>
    <t xml:space="preserve">piobar</t>
  </si>
  <si>
    <t xml:space="preserve">pepper (seasoning)</t>
  </si>
  <si>
    <t xml:space="preserve">piobar [m]</t>
  </si>
  <si>
    <t xml:space="preserve">V1323</t>
  </si>
  <si>
    <t xml:space="preserve">piorra</t>
  </si>
  <si>
    <t xml:space="preserve">pear</t>
  </si>
  <si>
    <t xml:space="preserve">piorra [m]</t>
  </si>
  <si>
    <t xml:space="preserve">V1324</t>
  </si>
  <si>
    <t xml:space="preserve">píosa</t>
  </si>
  <si>
    <t xml:space="preserve">a piece</t>
  </si>
  <si>
    <t xml:space="preserve">píosa [m]</t>
  </si>
  <si>
    <t xml:space="preserve">V1325</t>
  </si>
  <si>
    <t xml:space="preserve">píotsa</t>
  </si>
  <si>
    <t xml:space="preserve">pizza</t>
  </si>
  <si>
    <t xml:space="preserve">píotsa [m]</t>
  </si>
  <si>
    <t xml:space="preserve">V1326</t>
  </si>
  <si>
    <t xml:space="preserve">piseanna</t>
  </si>
  <si>
    <t xml:space="preserve">peas</t>
  </si>
  <si>
    <t xml:space="preserve">piseanna [fpl]</t>
  </si>
  <si>
    <t xml:space="preserve">V1327</t>
  </si>
  <si>
    <t xml:space="preserve">pluma</t>
  </si>
  <si>
    <t xml:space="preserve">plum</t>
  </si>
  <si>
    <t xml:space="preserve">pluma [m]</t>
  </si>
  <si>
    <t xml:space="preserve">V1328</t>
  </si>
  <si>
    <t xml:space="preserve">pónaire</t>
  </si>
  <si>
    <t xml:space="preserve">V1329</t>
  </si>
  <si>
    <t xml:space="preserve">práta</t>
  </si>
  <si>
    <t xml:space="preserve">potato</t>
  </si>
  <si>
    <t xml:space="preserve">práta [m]</t>
  </si>
  <si>
    <t xml:space="preserve">V1330</t>
  </si>
  <si>
    <t xml:space="preserve">práta bruite</t>
  </si>
  <si>
    <t xml:space="preserve">potato (boiled)</t>
  </si>
  <si>
    <t xml:space="preserve">práta bruite [m]</t>
  </si>
  <si>
    <t xml:space="preserve">V1331</t>
  </si>
  <si>
    <t xml:space="preserve">rís</t>
  </si>
  <si>
    <t xml:space="preserve">rice</t>
  </si>
  <si>
    <t xml:space="preserve">V1332</t>
  </si>
  <si>
    <t xml:space="preserve">rósta</t>
  </si>
  <si>
    <t xml:space="preserve">roast</t>
  </si>
  <si>
    <t xml:space="preserve">V1333</t>
  </si>
  <si>
    <t xml:space="preserve">rósta, spóla</t>
  </si>
  <si>
    <t xml:space="preserve">roast, joint</t>
  </si>
  <si>
    <t xml:space="preserve">rósta, spóla [m]</t>
  </si>
  <si>
    <t xml:space="preserve">V1334</t>
  </si>
  <si>
    <t xml:space="preserve">rudaí milise</t>
  </si>
  <si>
    <t xml:space="preserve">sweet things</t>
  </si>
  <si>
    <t xml:space="preserve">rudaí milise [mpl]</t>
  </si>
  <si>
    <t xml:space="preserve">V1335</t>
  </si>
  <si>
    <t xml:space="preserve">salann</t>
  </si>
  <si>
    <t xml:space="preserve">salt</t>
  </si>
  <si>
    <t xml:space="preserve">salann [m]</t>
  </si>
  <si>
    <t xml:space="preserve">V1336</t>
  </si>
  <si>
    <t xml:space="preserve">sailéad</t>
  </si>
  <si>
    <t xml:space="preserve">salad</t>
  </si>
  <si>
    <t xml:space="preserve">sailéad [m]</t>
  </si>
  <si>
    <t xml:space="preserve">V1337</t>
  </si>
  <si>
    <t xml:space="preserve">saincheird</t>
  </si>
  <si>
    <t xml:space="preserve">speciality</t>
  </si>
  <si>
    <t xml:space="preserve">V1338</t>
  </si>
  <si>
    <t xml:space="preserve">sásta</t>
  </si>
  <si>
    <t xml:space="preserve">satisfied</t>
  </si>
  <si>
    <t xml:space="preserve">V1339</t>
  </si>
  <si>
    <t xml:space="preserve">sceallóga</t>
  </si>
  <si>
    <t xml:space="preserve">chips</t>
  </si>
  <si>
    <t xml:space="preserve">sceallóga [fpl]</t>
  </si>
  <si>
    <t xml:space="preserve">V1340</t>
  </si>
  <si>
    <t xml:space="preserve">séacla</t>
  </si>
  <si>
    <t xml:space="preserve">shrimp</t>
  </si>
  <si>
    <t xml:space="preserve">séacla [m]</t>
  </si>
  <si>
    <t xml:space="preserve">V1341</t>
  </si>
  <si>
    <t xml:space="preserve">seacláid</t>
  </si>
  <si>
    <t xml:space="preserve">chocolate</t>
  </si>
  <si>
    <t xml:space="preserve">V1342</t>
  </si>
  <si>
    <t xml:space="preserve">seadóg</t>
  </si>
  <si>
    <t xml:space="preserve">grapefruit</t>
  </si>
  <si>
    <t xml:space="preserve">V1343</t>
  </si>
  <si>
    <t xml:space="preserve">seilide</t>
  </si>
  <si>
    <t xml:space="preserve">snail</t>
  </si>
  <si>
    <t xml:space="preserve">seilide [m]</t>
  </si>
  <si>
    <t xml:space="preserve">V1344</t>
  </si>
  <si>
    <t xml:space="preserve">séisín</t>
  </si>
  <si>
    <t xml:space="preserve">tip</t>
  </si>
  <si>
    <t xml:space="preserve">séisín [m]</t>
  </si>
  <si>
    <t xml:space="preserve">V1345</t>
  </si>
  <si>
    <t xml:space="preserve">sicín</t>
  </si>
  <si>
    <t xml:space="preserve">chicken</t>
  </si>
  <si>
    <t xml:space="preserve">sicín [m]</t>
  </si>
  <si>
    <t xml:space="preserve">V1346</t>
  </si>
  <si>
    <t xml:space="preserve">V1347</t>
  </si>
  <si>
    <t xml:space="preserve">siúcra</t>
  </si>
  <si>
    <t xml:space="preserve">sugar</t>
  </si>
  <si>
    <t xml:space="preserve">siúcra [m]</t>
  </si>
  <si>
    <t xml:space="preserve">V1348</t>
  </si>
  <si>
    <t xml:space="preserve">slis</t>
  </si>
  <si>
    <t xml:space="preserve">slice</t>
  </si>
  <si>
    <t xml:space="preserve">V1349</t>
  </si>
  <si>
    <t xml:space="preserve">sliseanna aráin agus im</t>
  </si>
  <si>
    <t xml:space="preserve">slices of bread and butter</t>
  </si>
  <si>
    <t xml:space="preserve">V1350</t>
  </si>
  <si>
    <t xml:space="preserve">sneaic</t>
  </si>
  <si>
    <t xml:space="preserve">snack</t>
  </si>
  <si>
    <t xml:space="preserve">V1351</t>
  </si>
  <si>
    <t xml:space="preserve">spionáiste</t>
  </si>
  <si>
    <t xml:space="preserve">spinach</t>
  </si>
  <si>
    <t xml:space="preserve">spionáiste [m]</t>
  </si>
  <si>
    <t xml:space="preserve">V1352</t>
  </si>
  <si>
    <t xml:space="preserve">spíosrach</t>
  </si>
  <si>
    <t xml:space="preserve">spicy</t>
  </si>
  <si>
    <t xml:space="preserve">V1353</t>
  </si>
  <si>
    <t xml:space="preserve">stán</t>
  </si>
  <si>
    <t xml:space="preserve">tin</t>
  </si>
  <si>
    <t xml:space="preserve">stán [m]</t>
  </si>
  <si>
    <t xml:space="preserve">V1354</t>
  </si>
  <si>
    <t xml:space="preserve">stéig</t>
  </si>
  <si>
    <t xml:space="preserve">steak</t>
  </si>
  <si>
    <t xml:space="preserve">V1355</t>
  </si>
  <si>
    <t xml:space="preserve">stobhach</t>
  </si>
  <si>
    <t xml:space="preserve">stew</t>
  </si>
  <si>
    <t xml:space="preserve">stobhach [m]</t>
  </si>
  <si>
    <t xml:space="preserve">V1356</t>
  </si>
  <si>
    <t xml:space="preserve">subh</t>
  </si>
  <si>
    <t xml:space="preserve">jam</t>
  </si>
  <si>
    <t xml:space="preserve">V1357</t>
  </si>
  <si>
    <t xml:space="preserve">sú</t>
  </si>
  <si>
    <t xml:space="preserve">juice</t>
  </si>
  <si>
    <t xml:space="preserve">sú [m]</t>
  </si>
  <si>
    <t xml:space="preserve">V1358</t>
  </si>
  <si>
    <t xml:space="preserve">sú craobh</t>
  </si>
  <si>
    <t xml:space="preserve">raspberry</t>
  </si>
  <si>
    <t xml:space="preserve">V1359</t>
  </si>
  <si>
    <t xml:space="preserve">sú talún</t>
  </si>
  <si>
    <t xml:space="preserve">strawberry</t>
  </si>
  <si>
    <t xml:space="preserve">V1360</t>
  </si>
  <si>
    <t xml:space="preserve">tae</t>
  </si>
  <si>
    <t xml:space="preserve">tea</t>
  </si>
  <si>
    <t xml:space="preserve">tae [m]</t>
  </si>
  <si>
    <t xml:space="preserve">V1361</t>
  </si>
  <si>
    <t xml:space="preserve">táirgí</t>
  </si>
  <si>
    <t xml:space="preserve">products</t>
  </si>
  <si>
    <t xml:space="preserve">táirgí [mpl]</t>
  </si>
  <si>
    <t xml:space="preserve">V1362</t>
  </si>
  <si>
    <t xml:space="preserve">torthaí</t>
  </si>
  <si>
    <t xml:space="preserve">fruit</t>
  </si>
  <si>
    <t xml:space="preserve">torthaí [mpl]</t>
  </si>
  <si>
    <t xml:space="preserve">V1363</t>
  </si>
  <si>
    <t xml:space="preserve">tráidire</t>
  </si>
  <si>
    <t xml:space="preserve">tray</t>
  </si>
  <si>
    <t xml:space="preserve">tráidire [m]</t>
  </si>
  <si>
    <t xml:space="preserve">V1364</t>
  </si>
  <si>
    <t xml:space="preserve">tráta</t>
  </si>
  <si>
    <t xml:space="preserve">tomato</t>
  </si>
  <si>
    <t xml:space="preserve">tráta [m]</t>
  </si>
  <si>
    <t xml:space="preserve">V1365</t>
  </si>
  <si>
    <t xml:space="preserve">V1366</t>
  </si>
  <si>
    <t xml:space="preserve">V1367</t>
  </si>
  <si>
    <t xml:space="preserve">uachtar reoite</t>
  </si>
  <si>
    <t xml:space="preserve">ice cream</t>
  </si>
  <si>
    <t xml:space="preserve">uachtar reoite [m]</t>
  </si>
  <si>
    <t xml:space="preserve">V1368</t>
  </si>
  <si>
    <t xml:space="preserve">V1369</t>
  </si>
  <si>
    <t xml:space="preserve">ubh</t>
  </si>
  <si>
    <t xml:space="preserve">egg</t>
  </si>
  <si>
    <t xml:space="preserve">V1370</t>
  </si>
  <si>
    <t xml:space="preserve">uibheagán</t>
  </si>
  <si>
    <t xml:space="preserve">omelette</t>
  </si>
  <si>
    <t xml:space="preserve">uibheagán [m]</t>
  </si>
  <si>
    <t xml:space="preserve">V1371</t>
  </si>
  <si>
    <t xml:space="preserve">uisce</t>
  </si>
  <si>
    <t xml:space="preserve">water</t>
  </si>
  <si>
    <t xml:space="preserve">uisce [m]</t>
  </si>
  <si>
    <t xml:space="preserve">V1372</t>
  </si>
  <si>
    <t xml:space="preserve">úll</t>
  </si>
  <si>
    <t xml:space="preserve">apple</t>
  </si>
  <si>
    <t xml:space="preserve">úll [m]</t>
  </si>
  <si>
    <t xml:space="preserve">V1373</t>
  </si>
  <si>
    <t xml:space="preserve">bolg, goile</t>
  </si>
  <si>
    <t xml:space="preserve">stomach</t>
  </si>
  <si>
    <t xml:space="preserve">The body</t>
  </si>
  <si>
    <t xml:space="preserve">bolg, goile [m]</t>
  </si>
  <si>
    <t xml:space="preserve">V1374</t>
  </si>
  <si>
    <t xml:space="preserve">ceann</t>
  </si>
  <si>
    <t xml:space="preserve">head</t>
  </si>
  <si>
    <t xml:space="preserve">ceann [m]</t>
  </si>
  <si>
    <t xml:space="preserve">V1375</t>
  </si>
  <si>
    <t xml:space="preserve">cluas</t>
  </si>
  <si>
    <t xml:space="preserve">ear</t>
  </si>
  <si>
    <t xml:space="preserve">V1376</t>
  </si>
  <si>
    <t xml:space="preserve">cos</t>
  </si>
  <si>
    <t xml:space="preserve">foot, leg</t>
  </si>
  <si>
    <t xml:space="preserve">V1377</t>
  </si>
  <si>
    <t xml:space="preserve">croí</t>
  </si>
  <si>
    <t xml:space="preserve">heart</t>
  </si>
  <si>
    <t xml:space="preserve">croí [m]</t>
  </si>
  <si>
    <t xml:space="preserve">V1378</t>
  </si>
  <si>
    <t xml:space="preserve">droim</t>
  </si>
  <si>
    <t xml:space="preserve">back</t>
  </si>
  <si>
    <t xml:space="preserve">droim [m]</t>
  </si>
  <si>
    <t xml:space="preserve">V1379</t>
  </si>
  <si>
    <t xml:space="preserve">fiacail</t>
  </si>
  <si>
    <t xml:space="preserve">tooth</t>
  </si>
  <si>
    <t xml:space="preserve">V1380</t>
  </si>
  <si>
    <t xml:space="preserve">glúin</t>
  </si>
  <si>
    <t xml:space="preserve">knee</t>
  </si>
  <si>
    <t xml:space="preserve">V1381</t>
  </si>
  <si>
    <t xml:space="preserve">gualainn</t>
  </si>
  <si>
    <t xml:space="preserve">shoulder</t>
  </si>
  <si>
    <t xml:space="preserve">V1382</t>
  </si>
  <si>
    <t xml:space="preserve">inchinn</t>
  </si>
  <si>
    <t xml:space="preserve">brain</t>
  </si>
  <si>
    <t xml:space="preserve">V1383</t>
  </si>
  <si>
    <t xml:space="preserve">lámh</t>
  </si>
  <si>
    <t xml:space="preserve">hand, arm</t>
  </si>
  <si>
    <t xml:space="preserve">V1384</t>
  </si>
  <si>
    <t xml:space="preserve">méar</t>
  </si>
  <si>
    <t xml:space="preserve">finger</t>
  </si>
  <si>
    <t xml:space="preserve">V1385</t>
  </si>
  <si>
    <t xml:space="preserve">scamhóg</t>
  </si>
  <si>
    <t xml:space="preserve">lungs</t>
  </si>
  <si>
    <t xml:space="preserve">V1386</t>
  </si>
  <si>
    <t xml:space="preserve">sciathán</t>
  </si>
  <si>
    <t xml:space="preserve">arm</t>
  </si>
  <si>
    <t xml:space="preserve">sciathán [m]</t>
  </si>
  <si>
    <t xml:space="preserve">V1387</t>
  </si>
  <si>
    <t xml:space="preserve">scornach</t>
  </si>
  <si>
    <t xml:space="preserve">throat</t>
  </si>
  <si>
    <t xml:space="preserve">V1388</t>
  </si>
  <si>
    <t xml:space="preserve">smig</t>
  </si>
  <si>
    <t xml:space="preserve">chin</t>
  </si>
  <si>
    <t xml:space="preserve">V1389</t>
  </si>
  <si>
    <t xml:space="preserve">srón</t>
  </si>
  <si>
    <t xml:space="preserve">nose</t>
  </si>
  <si>
    <t xml:space="preserve">V1390</t>
  </si>
  <si>
    <t xml:space="preserve">súil, súile</t>
  </si>
  <si>
    <t xml:space="preserve">eye, eyes</t>
  </si>
  <si>
    <t xml:space="preserve">V1391</t>
  </si>
  <si>
    <t xml:space="preserve">uillinn</t>
  </si>
  <si>
    <t xml:space="preserve">elbow</t>
  </si>
  <si>
    <t xml:space="preserve">V1392</t>
  </si>
  <si>
    <t xml:space="preserve">béim ghréine</t>
  </si>
  <si>
    <t xml:space="preserve">sunstroke</t>
  </si>
  <si>
    <t xml:space="preserve">At the doctor’s/pharmacy</t>
  </si>
  <si>
    <t xml:space="preserve">V1393</t>
  </si>
  <si>
    <t xml:space="preserve">breoite</t>
  </si>
  <si>
    <t xml:space="preserve">ill</t>
  </si>
  <si>
    <t xml:space="preserve">V1394</t>
  </si>
  <si>
    <t xml:space="preserve">casacht</t>
  </si>
  <si>
    <t xml:space="preserve">cough</t>
  </si>
  <si>
    <t xml:space="preserve">V1395</t>
  </si>
  <si>
    <t xml:space="preserve">fiabhras</t>
  </si>
  <si>
    <t xml:space="preserve">fever</t>
  </si>
  <si>
    <t xml:space="preserve">fiabhras [m]</t>
  </si>
  <si>
    <t xml:space="preserve">V1396</t>
  </si>
  <si>
    <t xml:space="preserve">fliú</t>
  </si>
  <si>
    <t xml:space="preserve">flu</t>
  </si>
  <si>
    <t xml:space="preserve">V1397</t>
  </si>
  <si>
    <t xml:space="preserve">greim feithide</t>
  </si>
  <si>
    <t xml:space="preserve">insect bite</t>
  </si>
  <si>
    <t xml:space="preserve">V1398</t>
  </si>
  <si>
    <t xml:space="preserve">leigheasanna</t>
  </si>
  <si>
    <t xml:space="preserve">cures</t>
  </si>
  <si>
    <t xml:space="preserve">V1399</t>
  </si>
  <si>
    <t xml:space="preserve">leigheas casachta</t>
  </si>
  <si>
    <t xml:space="preserve">cough medicine</t>
  </si>
  <si>
    <t xml:space="preserve">leigheas casachta [m]</t>
  </si>
  <si>
    <t xml:space="preserve">V1400</t>
  </si>
  <si>
    <t xml:space="preserve">níl mé go maith</t>
  </si>
  <si>
    <t xml:space="preserve">I’m not well</t>
  </si>
  <si>
    <t xml:space="preserve">V1401</t>
  </si>
  <si>
    <t xml:space="preserve">prescription</t>
  </si>
  <si>
    <t xml:space="preserve">V1402</t>
  </si>
  <si>
    <t xml:space="preserve">piolla, piollaire</t>
  </si>
  <si>
    <t xml:space="preserve">pill</t>
  </si>
  <si>
    <t xml:space="preserve">piolla, piollaire [m]</t>
  </si>
  <si>
    <t xml:space="preserve">V1403</t>
  </si>
  <si>
    <t xml:space="preserve">slaghdán</t>
  </si>
  <si>
    <t xml:space="preserve">slaghdán [m]</t>
  </si>
  <si>
    <t xml:space="preserve">V1404</t>
  </si>
  <si>
    <t xml:space="preserve">tinneas</t>
  </si>
  <si>
    <t xml:space="preserve">illness</t>
  </si>
  <si>
    <t xml:space="preserve">tinneas [m]</t>
  </si>
  <si>
    <t xml:space="preserve">V1405</t>
  </si>
  <si>
    <t xml:space="preserve">tuirseach</t>
  </si>
  <si>
    <t xml:space="preserve">tired</t>
  </si>
  <si>
    <t xml:space="preserve">V1406</t>
  </si>
  <si>
    <t xml:space="preserve">Health</t>
  </si>
  <si>
    <t xml:space="preserve">alcól [m]</t>
  </si>
  <si>
    <t xml:space="preserve">V1407</t>
  </si>
  <si>
    <t xml:space="preserve">anoireicse</t>
  </si>
  <si>
    <t xml:space="preserve">anorexia</t>
  </si>
  <si>
    <t xml:space="preserve">V1408</t>
  </si>
  <si>
    <t xml:space="preserve">caitheamh tobac</t>
  </si>
  <si>
    <t xml:space="preserve">smoking</t>
  </si>
  <si>
    <t xml:space="preserve">caitheamh tobac [m]</t>
  </si>
  <si>
    <t xml:space="preserve">V1409</t>
  </si>
  <si>
    <t xml:space="preserve">drugaí</t>
  </si>
  <si>
    <t xml:space="preserve">drugs</t>
  </si>
  <si>
    <t xml:space="preserve">V1410</t>
  </si>
  <si>
    <t xml:space="preserve">mí-úsáid drugaí</t>
  </si>
  <si>
    <t xml:space="preserve">drug abuse</t>
  </si>
  <si>
    <t xml:space="preserve">V1411</t>
  </si>
  <si>
    <t xml:space="preserve">murtall</t>
  </si>
  <si>
    <t xml:space="preserve">obesity</t>
  </si>
  <si>
    <t xml:space="preserve">murtall [m]</t>
  </si>
  <si>
    <t xml:space="preserve">V1412</t>
  </si>
  <si>
    <t xml:space="preserve">ólta</t>
  </si>
  <si>
    <t xml:space="preserve">drunk</t>
  </si>
  <si>
    <t xml:space="preserve">V1413</t>
  </si>
  <si>
    <t xml:space="preserve">a bheith fuar</t>
  </si>
  <si>
    <t xml:space="preserve">to feel cold</t>
  </si>
  <si>
    <t xml:space="preserve">V1414</t>
  </si>
  <si>
    <t xml:space="preserve">a bheith gortaithe</t>
  </si>
  <si>
    <t xml:space="preserve">to be injured</t>
  </si>
  <si>
    <t xml:space="preserve">V1415</t>
  </si>
  <si>
    <t xml:space="preserve">a bheith ólta</t>
  </si>
  <si>
    <t xml:space="preserve">to be drunk</t>
  </si>
  <si>
    <t xml:space="preserve">V1416</t>
  </si>
  <si>
    <t xml:space="preserve">a bheith te</t>
  </si>
  <si>
    <t xml:space="preserve">to feel hot</t>
  </si>
  <si>
    <t xml:space="preserve">V1417</t>
  </si>
  <si>
    <t xml:space="preserve">bain (ag baint)</t>
  </si>
  <si>
    <t xml:space="preserve">bain</t>
  </si>
  <si>
    <t xml:space="preserve">to win (winning)</t>
  </si>
  <si>
    <t xml:space="preserve">V1418</t>
  </si>
  <si>
    <t xml:space="preserve">blais, le blaiseadh</t>
  </si>
  <si>
    <t xml:space="preserve">to taste</t>
  </si>
  <si>
    <t xml:space="preserve">V1419</t>
  </si>
  <si>
    <t xml:space="preserve">V1420</t>
  </si>
  <si>
    <t xml:space="preserve">cócaráil (ag cócaireacht)</t>
  </si>
  <si>
    <t xml:space="preserve">cócaráil</t>
  </si>
  <si>
    <t xml:space="preserve">ag cócaireacht</t>
  </si>
  <si>
    <t xml:space="preserve">to cook (cooking)</t>
  </si>
  <si>
    <t xml:space="preserve">V1421</t>
  </si>
  <si>
    <t xml:space="preserve">cuir amach/aníos (ag cur amach/aníos)</t>
  </si>
  <si>
    <t xml:space="preserve">cuir amach/aníos</t>
  </si>
  <si>
    <t xml:space="preserve">ag cur amach/aníos</t>
  </si>
  <si>
    <t xml:space="preserve">to vomit (vomiting)</t>
  </si>
  <si>
    <t xml:space="preserve">V1422</t>
  </si>
  <si>
    <t xml:space="preserve">to do (doing)</t>
  </si>
  <si>
    <t xml:space="preserve">V1423</t>
  </si>
  <si>
    <t xml:space="preserve">déan iarracht, le hiarracht a dhéanamh</t>
  </si>
  <si>
    <t xml:space="preserve">V1424</t>
  </si>
  <si>
    <t xml:space="preserve">(ag déanamh iarrachta)</t>
  </si>
  <si>
    <t xml:space="preserve">ag déanamh iarrachta</t>
  </si>
  <si>
    <t xml:space="preserve">V1425</t>
  </si>
  <si>
    <t xml:space="preserve">dinnéar a bheith ag</t>
  </si>
  <si>
    <t xml:space="preserve">to have dinner</t>
  </si>
  <si>
    <t xml:space="preserve">V1426</t>
  </si>
  <si>
    <t xml:space="preserve">dreap (ag dreapadh)</t>
  </si>
  <si>
    <t xml:space="preserve">dreap</t>
  </si>
  <si>
    <t xml:space="preserve">ag dreapadh</t>
  </si>
  <si>
    <t xml:space="preserve">to climb (climbing)</t>
  </si>
  <si>
    <t xml:space="preserve">V1427</t>
  </si>
  <si>
    <t xml:space="preserve">drugaí a chaitheamh</t>
  </si>
  <si>
    <t xml:space="preserve">to take drugs</t>
  </si>
  <si>
    <t xml:space="preserve">V1428</t>
  </si>
  <si>
    <t xml:space="preserve">dul ag siúl, dul fá choinne siúlóide</t>
  </si>
  <si>
    <t xml:space="preserve">to have a walk, to take for a walk</t>
  </si>
  <si>
    <t xml:space="preserve">V1429</t>
  </si>
  <si>
    <t xml:space="preserve">éirigh ólta (ag éirí ólta)</t>
  </si>
  <si>
    <t xml:space="preserve">éirigh ólta</t>
  </si>
  <si>
    <t xml:space="preserve">ag éirí ólta</t>
  </si>
  <si>
    <t xml:space="preserve">to get drunk (getting drunk)</t>
  </si>
  <si>
    <t xml:space="preserve">V1430</t>
  </si>
  <si>
    <t xml:space="preserve">glac (ag glacadh)</t>
  </si>
  <si>
    <t xml:space="preserve">glac</t>
  </si>
  <si>
    <t xml:space="preserve">ag glacadh</t>
  </si>
  <si>
    <t xml:space="preserve">to take (taking)</t>
  </si>
  <si>
    <t xml:space="preserve">V1431</t>
  </si>
  <si>
    <t xml:space="preserve">to injure (injuring)</t>
  </si>
  <si>
    <t xml:space="preserve">V1432</t>
  </si>
  <si>
    <t xml:space="preserve">V1433</t>
  </si>
  <si>
    <t xml:space="preserve">V1434</t>
  </si>
  <si>
    <t xml:space="preserve">V1435</t>
  </si>
  <si>
    <t xml:space="preserve">le spórt a dhéanamh</t>
  </si>
  <si>
    <t xml:space="preserve">to do sport</t>
  </si>
  <si>
    <t xml:space="preserve">V1436</t>
  </si>
  <si>
    <t xml:space="preserve">to rest (resting)</t>
  </si>
  <si>
    <t xml:space="preserve">V1437</t>
  </si>
  <si>
    <t xml:space="preserve">lón a bheith ag</t>
  </si>
  <si>
    <t xml:space="preserve">to have lunch</t>
  </si>
  <si>
    <t xml:space="preserve">V1438</t>
  </si>
  <si>
    <t xml:space="preserve">V1439</t>
  </si>
  <si>
    <t xml:space="preserve">V1440</t>
  </si>
  <si>
    <t xml:space="preserve">scátáil (ag scátáil)</t>
  </si>
  <si>
    <t xml:space="preserve">ag scátáil</t>
  </si>
  <si>
    <t xml:space="preserve">to skate (skating)</t>
  </si>
  <si>
    <t xml:space="preserve">V1441</t>
  </si>
  <si>
    <t xml:space="preserve">to play (playing (music))</t>
  </si>
  <si>
    <t xml:space="preserve">V1442</t>
  </si>
  <si>
    <t xml:space="preserve">V1443</t>
  </si>
  <si>
    <t xml:space="preserve">tá ocras ar …</t>
  </si>
  <si>
    <t xml:space="preserve">... is hungry</t>
  </si>
  <si>
    <t xml:space="preserve">V1444</t>
  </si>
  <si>
    <t xml:space="preserve">tá pian i … , tá … nimhneach</t>
  </si>
  <si>
    <t xml:space="preserve">there’s a pain in … , … is sore</t>
  </si>
  <si>
    <t xml:space="preserve">V1445</t>
  </si>
  <si>
    <t xml:space="preserve">tá tart ar …</t>
  </si>
  <si>
    <t xml:space="preserve">… is thirsty</t>
  </si>
  <si>
    <t xml:space="preserve">V1446</t>
  </si>
  <si>
    <t xml:space="preserve">tá tinneas ar …</t>
  </si>
  <si>
    <t xml:space="preserve">… feels sick</t>
  </si>
  <si>
    <t xml:space="preserve">V1447</t>
  </si>
  <si>
    <t xml:space="preserve">Albain</t>
  </si>
  <si>
    <t xml:space="preserve">Scotland</t>
  </si>
  <si>
    <t xml:space="preserve">Travel and tourism</t>
  </si>
  <si>
    <t xml:space="preserve">The world</t>
  </si>
  <si>
    <t xml:space="preserve">V1448</t>
  </si>
  <si>
    <t xml:space="preserve">an Afraic</t>
  </si>
  <si>
    <t xml:space="preserve">Africa</t>
  </si>
  <si>
    <t xml:space="preserve">V1449</t>
  </si>
  <si>
    <t xml:space="preserve">an Astráil</t>
  </si>
  <si>
    <t xml:space="preserve">Australia</t>
  </si>
  <si>
    <t xml:space="preserve">V1450</t>
  </si>
  <si>
    <t xml:space="preserve">an Bheilg</t>
  </si>
  <si>
    <t xml:space="preserve">Belgium</t>
  </si>
  <si>
    <t xml:space="preserve">V1451</t>
  </si>
  <si>
    <t xml:space="preserve">an Bhreatain Bheag</t>
  </si>
  <si>
    <t xml:space="preserve">Wales</t>
  </si>
  <si>
    <t xml:space="preserve">V1452</t>
  </si>
  <si>
    <t xml:space="preserve">an Bhulgáir</t>
  </si>
  <si>
    <t xml:space="preserve">Bulgaria</t>
  </si>
  <si>
    <t xml:space="preserve">V1453</t>
  </si>
  <si>
    <t xml:space="preserve">an Chipir</t>
  </si>
  <si>
    <t xml:space="preserve">Cyprus</t>
  </si>
  <si>
    <t xml:space="preserve">V1454</t>
  </si>
  <si>
    <t xml:space="preserve">an Chróit</t>
  </si>
  <si>
    <t xml:space="preserve">Croatia</t>
  </si>
  <si>
    <t xml:space="preserve">V1455</t>
  </si>
  <si>
    <t xml:space="preserve">an Danmhairg</t>
  </si>
  <si>
    <t xml:space="preserve">Denmark</t>
  </si>
  <si>
    <t xml:space="preserve">V1456</t>
  </si>
  <si>
    <t xml:space="preserve">an Eastóin</t>
  </si>
  <si>
    <t xml:space="preserve">Estonia</t>
  </si>
  <si>
    <t xml:space="preserve">V1457</t>
  </si>
  <si>
    <t xml:space="preserve">an Eilvéis</t>
  </si>
  <si>
    <t xml:space="preserve">Switzerland</t>
  </si>
  <si>
    <t xml:space="preserve">V1458</t>
  </si>
  <si>
    <t xml:space="preserve">an Fhionlainn</t>
  </si>
  <si>
    <t xml:space="preserve">Finland</t>
  </si>
  <si>
    <t xml:space="preserve">V1459</t>
  </si>
  <si>
    <t xml:space="preserve">an Fhrainc</t>
  </si>
  <si>
    <t xml:space="preserve">France</t>
  </si>
  <si>
    <t xml:space="preserve">V1460</t>
  </si>
  <si>
    <t xml:space="preserve">an Ghearmáin</t>
  </si>
  <si>
    <t xml:space="preserve">Germany</t>
  </si>
  <si>
    <t xml:space="preserve">V1461</t>
  </si>
  <si>
    <t xml:space="preserve">an Ghréig</t>
  </si>
  <si>
    <t xml:space="preserve">Greece</t>
  </si>
  <si>
    <t xml:space="preserve">V1462</t>
  </si>
  <si>
    <t xml:space="preserve">an Iodáil</t>
  </si>
  <si>
    <t xml:space="preserve">Italy</t>
  </si>
  <si>
    <t xml:space="preserve">V1463</t>
  </si>
  <si>
    <t xml:space="preserve">an Ísiltír</t>
  </si>
  <si>
    <t xml:space="preserve">The Netherlands</t>
  </si>
  <si>
    <t xml:space="preserve">V1464</t>
  </si>
  <si>
    <t xml:space="preserve">an Laitvia</t>
  </si>
  <si>
    <t xml:space="preserve">Latvia</t>
  </si>
  <si>
    <t xml:space="preserve">V1465</t>
  </si>
  <si>
    <t xml:space="preserve">an Liotuáin</t>
  </si>
  <si>
    <t xml:space="preserve">Lithuania</t>
  </si>
  <si>
    <t xml:space="preserve">V1466</t>
  </si>
  <si>
    <t xml:space="preserve">an Ostair</t>
  </si>
  <si>
    <t xml:space="preserve">Austria</t>
  </si>
  <si>
    <t xml:space="preserve">V1467</t>
  </si>
  <si>
    <t xml:space="preserve">an Pholainn</t>
  </si>
  <si>
    <t xml:space="preserve">Poland</t>
  </si>
  <si>
    <t xml:space="preserve">V1468</t>
  </si>
  <si>
    <t xml:space="preserve">an Phortaingéil</t>
  </si>
  <si>
    <t xml:space="preserve">Portugal</t>
  </si>
  <si>
    <t xml:space="preserve">V1469</t>
  </si>
  <si>
    <t xml:space="preserve">an Ríocht Aontaithe</t>
  </si>
  <si>
    <t xml:space="preserve">United Kingdom</t>
  </si>
  <si>
    <t xml:space="preserve">V1470</t>
  </si>
  <si>
    <t xml:space="preserve">an Rómáin</t>
  </si>
  <si>
    <t xml:space="preserve">Romania</t>
  </si>
  <si>
    <t xml:space="preserve">V1471</t>
  </si>
  <si>
    <t xml:space="preserve">an Spáinn</t>
  </si>
  <si>
    <t xml:space="preserve">Spain</t>
  </si>
  <si>
    <t xml:space="preserve">V1472</t>
  </si>
  <si>
    <t xml:space="preserve">an tSlóivéin</t>
  </si>
  <si>
    <t xml:space="preserve">Slovenia</t>
  </si>
  <si>
    <t xml:space="preserve">V1473</t>
  </si>
  <si>
    <t xml:space="preserve">an tSlóvaic</t>
  </si>
  <si>
    <t xml:space="preserve">Slovakia</t>
  </si>
  <si>
    <t xml:space="preserve">V1474</t>
  </si>
  <si>
    <t xml:space="preserve">an tSualainn</t>
  </si>
  <si>
    <t xml:space="preserve">Sweden</t>
  </si>
  <si>
    <t xml:space="preserve">V1475</t>
  </si>
  <si>
    <t xml:space="preserve">an Ungáir</t>
  </si>
  <si>
    <t xml:space="preserve">Hungary</t>
  </si>
  <si>
    <t xml:space="preserve">V1476</t>
  </si>
  <si>
    <t xml:space="preserve">Éire, in Éirinn</t>
  </si>
  <si>
    <t xml:space="preserve">Ireland, in Ireland</t>
  </si>
  <si>
    <t xml:space="preserve">V1477</t>
  </si>
  <si>
    <t xml:space="preserve">Lucsamburg</t>
  </si>
  <si>
    <t xml:space="preserve">Luxembourg</t>
  </si>
  <si>
    <t xml:space="preserve">V1478</t>
  </si>
  <si>
    <t xml:space="preserve">Málta</t>
  </si>
  <si>
    <t xml:space="preserve">Malta</t>
  </si>
  <si>
    <t xml:space="preserve">V1479</t>
  </si>
  <si>
    <t xml:space="preserve">na Stáit Aontaithe Mheiriceá</t>
  </si>
  <si>
    <t xml:space="preserve">USA</t>
  </si>
  <si>
    <t xml:space="preserve">na Stáit Aontaithe Mheiriceá [mpl]</t>
  </si>
  <si>
    <t xml:space="preserve">V1480</t>
  </si>
  <si>
    <t xml:space="preserve">Poblacht na Seice</t>
  </si>
  <si>
    <t xml:space="preserve">Czech Republic</t>
  </si>
  <si>
    <t xml:space="preserve">V1481</t>
  </si>
  <si>
    <t xml:space="preserve">Sasana</t>
  </si>
  <si>
    <t xml:space="preserve">England</t>
  </si>
  <si>
    <t xml:space="preserve">Sasana [m]</t>
  </si>
  <si>
    <t xml:space="preserve">V1482</t>
  </si>
  <si>
    <t xml:space="preserve">tíortha</t>
  </si>
  <si>
    <t xml:space="preserve">countries</t>
  </si>
  <si>
    <t xml:space="preserve">tíortha [fpl]</t>
  </si>
  <si>
    <t xml:space="preserve">V1483</t>
  </si>
  <si>
    <t xml:space="preserve">Albanach</t>
  </si>
  <si>
    <t xml:space="preserve">Scottish</t>
  </si>
  <si>
    <t xml:space="preserve">Nationalities</t>
  </si>
  <si>
    <t xml:space="preserve">V1484</t>
  </si>
  <si>
    <t xml:space="preserve">Breatnach</t>
  </si>
  <si>
    <t xml:space="preserve">Welsh</t>
  </si>
  <si>
    <t xml:space="preserve">V1485</t>
  </si>
  <si>
    <t xml:space="preserve">Briotanach</t>
  </si>
  <si>
    <t xml:space="preserve">British</t>
  </si>
  <si>
    <t xml:space="preserve">V1486</t>
  </si>
  <si>
    <t xml:space="preserve">coimhthíoch, eachtrannach</t>
  </si>
  <si>
    <t xml:space="preserve">foreigner</t>
  </si>
  <si>
    <t xml:space="preserve">V1487</t>
  </si>
  <si>
    <t xml:space="preserve">Eilvéiseach</t>
  </si>
  <si>
    <t xml:space="preserve">Swiss</t>
  </si>
  <si>
    <t xml:space="preserve">V1488</t>
  </si>
  <si>
    <t xml:space="preserve">Éireannach</t>
  </si>
  <si>
    <t xml:space="preserve">V1489</t>
  </si>
  <si>
    <t xml:space="preserve">Eorpach</t>
  </si>
  <si>
    <t xml:space="preserve">European</t>
  </si>
  <si>
    <t xml:space="preserve">V1490</t>
  </si>
  <si>
    <t xml:space="preserve">Francach</t>
  </si>
  <si>
    <t xml:space="preserve">French</t>
  </si>
  <si>
    <t xml:space="preserve">V1491</t>
  </si>
  <si>
    <t xml:space="preserve">Gearmánach</t>
  </si>
  <si>
    <t xml:space="preserve">German</t>
  </si>
  <si>
    <t xml:space="preserve">V1492</t>
  </si>
  <si>
    <t xml:space="preserve">Iodálach</t>
  </si>
  <si>
    <t xml:space="preserve">Italian</t>
  </si>
  <si>
    <t xml:space="preserve">V1493</t>
  </si>
  <si>
    <t xml:space="preserve">Meiriceánach</t>
  </si>
  <si>
    <t xml:space="preserve">American</t>
  </si>
  <si>
    <t xml:space="preserve">V1494</t>
  </si>
  <si>
    <t xml:space="preserve">Ostarach</t>
  </si>
  <si>
    <t xml:space="preserve">Austrian</t>
  </si>
  <si>
    <t xml:space="preserve">V1495</t>
  </si>
  <si>
    <t xml:space="preserve">Sasanach</t>
  </si>
  <si>
    <t xml:space="preserve">V1496</t>
  </si>
  <si>
    <t xml:space="preserve">Spáinneach</t>
  </si>
  <si>
    <t xml:space="preserve">Spanish</t>
  </si>
  <si>
    <t xml:space="preserve">V1497</t>
  </si>
  <si>
    <t xml:space="preserve">apartment</t>
  </si>
  <si>
    <t xml:space="preserve">Holidays</t>
  </si>
  <si>
    <t xml:space="preserve">árasán [m]</t>
  </si>
  <si>
    <t xml:space="preserve">V1498</t>
  </si>
  <si>
    <t xml:space="preserve">brú óige</t>
  </si>
  <si>
    <t xml:space="preserve">youth hostel</t>
  </si>
  <si>
    <t xml:space="preserve">brú óige [m]</t>
  </si>
  <si>
    <t xml:space="preserve">V1499</t>
  </si>
  <si>
    <t xml:space="preserve">carbhán</t>
  </si>
  <si>
    <t xml:space="preserve">caravan</t>
  </si>
  <si>
    <t xml:space="preserve">carbhán [m]</t>
  </si>
  <si>
    <t xml:space="preserve">V1500</t>
  </si>
  <si>
    <t xml:space="preserve">cois farraige</t>
  </si>
  <si>
    <t xml:space="preserve">by the seaside</t>
  </si>
  <si>
    <t xml:space="preserve">V1501</t>
  </si>
  <si>
    <t xml:space="preserve">eochair</t>
  </si>
  <si>
    <t xml:space="preserve">key</t>
  </si>
  <si>
    <t xml:space="preserve">V1502</t>
  </si>
  <si>
    <t xml:space="preserve">faoin tuath</t>
  </si>
  <si>
    <t xml:space="preserve">in the country</t>
  </si>
  <si>
    <t xml:space="preserve">V1503</t>
  </si>
  <si>
    <t xml:space="preserve">láithreán campála</t>
  </si>
  <si>
    <t xml:space="preserve">campsite</t>
  </si>
  <si>
    <t xml:space="preserve">láithreán campála [m]</t>
  </si>
  <si>
    <t xml:space="preserve">V1504</t>
  </si>
  <si>
    <t xml:space="preserve">óstán cúig réalta</t>
  </si>
  <si>
    <t xml:space="preserve">five-star hotel</t>
  </si>
  <si>
    <t xml:space="preserve">óstán cúig réalta [m]</t>
  </si>
  <si>
    <t xml:space="preserve">V1505</t>
  </si>
  <si>
    <t xml:space="preserve">sa chathair</t>
  </si>
  <si>
    <t xml:space="preserve">in the city</t>
  </si>
  <si>
    <t xml:space="preserve">V1506</t>
  </si>
  <si>
    <t xml:space="preserve">sna sléibhte</t>
  </si>
  <si>
    <t xml:space="preserve">in the mountains</t>
  </si>
  <si>
    <t xml:space="preserve">V1507</t>
  </si>
  <si>
    <t xml:space="preserve">teachín</t>
  </si>
  <si>
    <t xml:space="preserve">cottage</t>
  </si>
  <si>
    <t xml:space="preserve">teachín [m]</t>
  </si>
  <si>
    <t xml:space="preserve">V1508</t>
  </si>
  <si>
    <t xml:space="preserve">villa</t>
  </si>
  <si>
    <t xml:space="preserve">V1509</t>
  </si>
  <si>
    <t xml:space="preserve">bitheolaíocht</t>
  </si>
  <si>
    <t xml:space="preserve">biology</t>
  </si>
  <si>
    <t xml:space="preserve">My studies</t>
  </si>
  <si>
    <t xml:space="preserve">V1510</t>
  </si>
  <si>
    <t xml:space="preserve">ceimic</t>
  </si>
  <si>
    <t xml:space="preserve">chemistry</t>
  </si>
  <si>
    <t xml:space="preserve">V1511</t>
  </si>
  <si>
    <t xml:space="preserve">ceol</t>
  </si>
  <si>
    <t xml:space="preserve">music</t>
  </si>
  <si>
    <t xml:space="preserve">ceol [m]</t>
  </si>
  <si>
    <t xml:space="preserve">V1512</t>
  </si>
  <si>
    <t xml:space="preserve">corpoideachas, corpoiliúint</t>
  </si>
  <si>
    <t xml:space="preserve">PE</t>
  </si>
  <si>
    <t xml:space="preserve">corpoideachas [nm], corpoiliúint [m]</t>
  </si>
  <si>
    <t xml:space="preserve">V1513</t>
  </si>
  <si>
    <t xml:space="preserve">dráma</t>
  </si>
  <si>
    <t xml:space="preserve">dráma [m]</t>
  </si>
  <si>
    <t xml:space="preserve">V1514</t>
  </si>
  <si>
    <t xml:space="preserve">ealaín</t>
  </si>
  <si>
    <t xml:space="preserve">art</t>
  </si>
  <si>
    <t xml:space="preserve">V1515</t>
  </si>
  <si>
    <t xml:space="preserve">eacnamaíocht</t>
  </si>
  <si>
    <t xml:space="preserve">economics</t>
  </si>
  <si>
    <t xml:space="preserve">V1516</t>
  </si>
  <si>
    <t xml:space="preserve">fisic</t>
  </si>
  <si>
    <t xml:space="preserve">physics</t>
  </si>
  <si>
    <t xml:space="preserve">V1517</t>
  </si>
  <si>
    <t xml:space="preserve">foghlaim don saol agus don obair</t>
  </si>
  <si>
    <t xml:space="preserve">PSE, Citizenship, LLW</t>
  </si>
  <si>
    <t xml:space="preserve">foghlaim don saol agus don obair [m]</t>
  </si>
  <si>
    <t xml:space="preserve">V1518</t>
  </si>
  <si>
    <t xml:space="preserve">Fraincis</t>
  </si>
  <si>
    <t xml:space="preserve">V1519</t>
  </si>
  <si>
    <t xml:space="preserve">Gaeilge</t>
  </si>
  <si>
    <t xml:space="preserve">V1520</t>
  </si>
  <si>
    <t xml:space="preserve">Gearmáinis</t>
  </si>
  <si>
    <t xml:space="preserve">V1521</t>
  </si>
  <si>
    <t xml:space="preserve">gleacaíocht</t>
  </si>
  <si>
    <t xml:space="preserve">gymnastics</t>
  </si>
  <si>
    <t xml:space="preserve">V1522</t>
  </si>
  <si>
    <t xml:space="preserve">Iodáilis</t>
  </si>
  <si>
    <t xml:space="preserve">V1523</t>
  </si>
  <si>
    <t xml:space="preserve">matamaitic</t>
  </si>
  <si>
    <t xml:space="preserve">maths</t>
  </si>
  <si>
    <t xml:space="preserve">V1524</t>
  </si>
  <si>
    <t xml:space="preserve">nuatheangacha</t>
  </si>
  <si>
    <t xml:space="preserve">modern languages</t>
  </si>
  <si>
    <t xml:space="preserve">V1525</t>
  </si>
  <si>
    <t xml:space="preserve">ICT</t>
  </si>
  <si>
    <t xml:space="preserve">V1526</t>
  </si>
  <si>
    <t xml:space="preserve">socheolaíocht</t>
  </si>
  <si>
    <t xml:space="preserve">sociology</t>
  </si>
  <si>
    <t xml:space="preserve">V1527</t>
  </si>
  <si>
    <t xml:space="preserve">Spáinnis</t>
  </si>
  <si>
    <t xml:space="preserve">V1528</t>
  </si>
  <si>
    <t xml:space="preserve">stair</t>
  </si>
  <si>
    <t xml:space="preserve">history</t>
  </si>
  <si>
    <t xml:space="preserve">V1529</t>
  </si>
  <si>
    <t xml:space="preserve">teagasc Críostaí</t>
  </si>
  <si>
    <t xml:space="preserve">RE</t>
  </si>
  <si>
    <t xml:space="preserve">teagasc Críostaí [m]</t>
  </si>
  <si>
    <t xml:space="preserve">V1530</t>
  </si>
  <si>
    <t xml:space="preserve">teangacha iasachta</t>
  </si>
  <si>
    <t xml:space="preserve">foreign languages</t>
  </si>
  <si>
    <t xml:space="preserve">V1531</t>
  </si>
  <si>
    <t xml:space="preserve">teicneolaíocht</t>
  </si>
  <si>
    <t xml:space="preserve">technology</t>
  </si>
  <si>
    <t xml:space="preserve">V1532</t>
  </si>
  <si>
    <t xml:space="preserve">tíreolaíocht</t>
  </si>
  <si>
    <t xml:space="preserve">geography</t>
  </si>
  <si>
    <t xml:space="preserve">V1533</t>
  </si>
  <si>
    <t xml:space="preserve">am lóin</t>
  </si>
  <si>
    <t xml:space="preserve">lunchtime</t>
  </si>
  <si>
    <t xml:space="preserve">School life</t>
  </si>
  <si>
    <t xml:space="preserve">am lóin [m]</t>
  </si>
  <si>
    <t xml:space="preserve">V1534</t>
  </si>
  <si>
    <t xml:space="preserve">am sosa</t>
  </si>
  <si>
    <t xml:space="preserve">break</t>
  </si>
  <si>
    <t xml:space="preserve">am sosa [m]</t>
  </si>
  <si>
    <t xml:space="preserve">V1535</t>
  </si>
  <si>
    <t xml:space="preserve">V1536</t>
  </si>
  <si>
    <t xml:space="preserve">an seomra ranga</t>
  </si>
  <si>
    <t xml:space="preserve">the classroom</t>
  </si>
  <si>
    <t xml:space="preserve">V1537</t>
  </si>
  <si>
    <t xml:space="preserve">Ard-Fhotheastas</t>
  </si>
  <si>
    <t xml:space="preserve">AS</t>
  </si>
  <si>
    <t xml:space="preserve">V1538</t>
  </si>
  <si>
    <t xml:space="preserve">Ard-Ghaeilge, A2</t>
  </si>
  <si>
    <t xml:space="preserve">A2</t>
  </si>
  <si>
    <t xml:space="preserve">V1539</t>
  </si>
  <si>
    <t xml:space="preserve">Ard-Leibhéal</t>
  </si>
  <si>
    <t xml:space="preserve">A level</t>
  </si>
  <si>
    <t xml:space="preserve">V1540</t>
  </si>
  <si>
    <t xml:space="preserve">as láthair</t>
  </si>
  <si>
    <t xml:space="preserve">absent</t>
  </si>
  <si>
    <t xml:space="preserve">V1541</t>
  </si>
  <si>
    <t xml:space="preserve">bunscoil</t>
  </si>
  <si>
    <t xml:space="preserve">primary school</t>
  </si>
  <si>
    <t xml:space="preserve">V1542</t>
  </si>
  <si>
    <t xml:space="preserve">bioróir</t>
  </si>
  <si>
    <t xml:space="preserve">sharpener</t>
  </si>
  <si>
    <t xml:space="preserve">bioróir [m]</t>
  </si>
  <si>
    <t xml:space="preserve">V1543</t>
  </si>
  <si>
    <t xml:space="preserve">cás peann luaidhe</t>
  </si>
  <si>
    <t xml:space="preserve">pencil case</t>
  </si>
  <si>
    <t xml:space="preserve">cás peann luaidhe [m]</t>
  </si>
  <si>
    <t xml:space="preserve">V1544</t>
  </si>
  <si>
    <t xml:space="preserve">ceacht</t>
  </si>
  <si>
    <t xml:space="preserve">lesson</t>
  </si>
  <si>
    <t xml:space="preserve">ceacht [m]</t>
  </si>
  <si>
    <t xml:space="preserve">V1545</t>
  </si>
  <si>
    <t xml:space="preserve">ceaintín</t>
  </si>
  <si>
    <t xml:space="preserve">canteen</t>
  </si>
  <si>
    <t xml:space="preserve">ceaintín [m]</t>
  </si>
  <si>
    <t xml:space="preserve">V1546</t>
  </si>
  <si>
    <t xml:space="preserve">ceannaire bliana</t>
  </si>
  <si>
    <t xml:space="preserve">year head</t>
  </si>
  <si>
    <t xml:space="preserve">V1547</t>
  </si>
  <si>
    <t xml:space="preserve">clár</t>
  </si>
  <si>
    <t xml:space="preserve">board</t>
  </si>
  <si>
    <t xml:space="preserve">clár [m]</t>
  </si>
  <si>
    <t xml:space="preserve">V1548</t>
  </si>
  <si>
    <t xml:space="preserve">V1549</t>
  </si>
  <si>
    <t xml:space="preserve">clár bán idirghníomhach</t>
  </si>
  <si>
    <t xml:space="preserve">interactive whiteboard</t>
  </si>
  <si>
    <t xml:space="preserve">V1550</t>
  </si>
  <si>
    <t xml:space="preserve">clár fógraí</t>
  </si>
  <si>
    <t xml:space="preserve">notice board</t>
  </si>
  <si>
    <t xml:space="preserve">V1551</t>
  </si>
  <si>
    <t xml:space="preserve">practice</t>
  </si>
  <si>
    <t xml:space="preserve">V1552</t>
  </si>
  <si>
    <t xml:space="preserve">clós súgartha</t>
  </si>
  <si>
    <t xml:space="preserve">playground</t>
  </si>
  <si>
    <t xml:space="preserve">clós súgartha [m]</t>
  </si>
  <si>
    <t xml:space="preserve">V1553</t>
  </si>
  <si>
    <t xml:space="preserve">cóipleabhar</t>
  </si>
  <si>
    <t xml:space="preserve">exercise book</t>
  </si>
  <si>
    <t xml:space="preserve">cóipleabhar [m]</t>
  </si>
  <si>
    <t xml:space="preserve">V1554</t>
  </si>
  <si>
    <t xml:space="preserve">comhairle mic léinn</t>
  </si>
  <si>
    <t xml:space="preserve">student council</t>
  </si>
  <si>
    <t xml:space="preserve">V1555</t>
  </si>
  <si>
    <t xml:space="preserve">cór</t>
  </si>
  <si>
    <t xml:space="preserve">choir</t>
  </si>
  <si>
    <t xml:space="preserve">cór [m]</t>
  </si>
  <si>
    <t xml:space="preserve">V1556</t>
  </si>
  <si>
    <t xml:space="preserve">deasc</t>
  </si>
  <si>
    <t xml:space="preserve">desk</t>
  </si>
  <si>
    <t xml:space="preserve">deasc [m]</t>
  </si>
  <si>
    <t xml:space="preserve">V1557</t>
  </si>
  <si>
    <t xml:space="preserve">cúntóir ranga</t>
  </si>
  <si>
    <t xml:space="preserve">classroom assistant</t>
  </si>
  <si>
    <t xml:space="preserve">V1558</t>
  </si>
  <si>
    <t xml:space="preserve">dalta scoile/scoláire</t>
  </si>
  <si>
    <t xml:space="preserve">pupil</t>
  </si>
  <si>
    <t xml:space="preserve">dalta scoile/scoláire [m]</t>
  </si>
  <si>
    <t xml:space="preserve">V1559</t>
  </si>
  <si>
    <t xml:space="preserve">dialann obair bhaile</t>
  </si>
  <si>
    <t xml:space="preserve">homework diary</t>
  </si>
  <si>
    <t xml:space="preserve">dialann obair bhaile [m]</t>
  </si>
  <si>
    <t xml:space="preserve">V1560</t>
  </si>
  <si>
    <t xml:space="preserve">dorchla, pasáiste</t>
  </si>
  <si>
    <t xml:space="preserve">corridor</t>
  </si>
  <si>
    <t xml:space="preserve">dorchla, pasáiste [m]</t>
  </si>
  <si>
    <t xml:space="preserve">V1561</t>
  </si>
  <si>
    <t xml:space="preserve">éide scoile</t>
  </si>
  <si>
    <t xml:space="preserve">school uniform</t>
  </si>
  <si>
    <t xml:space="preserve">V1562</t>
  </si>
  <si>
    <t xml:space="preserve">feighlí scoile</t>
  </si>
  <si>
    <t xml:space="preserve">caretaker</t>
  </si>
  <si>
    <t xml:space="preserve">feighlí scoile [m]</t>
  </si>
  <si>
    <t xml:space="preserve">V1563</t>
  </si>
  <si>
    <t xml:space="preserve">filíocht</t>
  </si>
  <si>
    <t xml:space="preserve">poetry</t>
  </si>
  <si>
    <t xml:space="preserve">V1564</t>
  </si>
  <si>
    <t xml:space="preserve">foclóir</t>
  </si>
  <si>
    <t xml:space="preserve">dictionary, vocabulary</t>
  </si>
  <si>
    <t xml:space="preserve">foclóir [m]</t>
  </si>
  <si>
    <t xml:space="preserve">V1565</t>
  </si>
  <si>
    <t xml:space="preserve">team, staff</t>
  </si>
  <si>
    <t xml:space="preserve">V1566</t>
  </si>
  <si>
    <t xml:space="preserve">freagra</t>
  </si>
  <si>
    <t xml:space="preserve">answer</t>
  </si>
  <si>
    <t xml:space="preserve">freagra [m]</t>
  </si>
  <si>
    <t xml:space="preserve">V1567</t>
  </si>
  <si>
    <t xml:space="preserve">gym</t>
  </si>
  <si>
    <t xml:space="preserve">V1568</t>
  </si>
  <si>
    <t xml:space="preserve">halla spóirt</t>
  </si>
  <si>
    <t xml:space="preserve">sports hall</t>
  </si>
  <si>
    <t xml:space="preserve">halla spóirt [m]</t>
  </si>
  <si>
    <t xml:space="preserve">V1569</t>
  </si>
  <si>
    <t xml:space="preserve">laethanta saoire an tsamhraidh</t>
  </si>
  <si>
    <t xml:space="preserve">summer holidays</t>
  </si>
  <si>
    <t xml:space="preserve">V1570</t>
  </si>
  <si>
    <t xml:space="preserve">V1571</t>
  </si>
  <si>
    <t xml:space="preserve">V1572</t>
  </si>
  <si>
    <t xml:space="preserve">leas-phríomhoide</t>
  </si>
  <si>
    <t xml:space="preserve">vice-principal</t>
  </si>
  <si>
    <t xml:space="preserve">V1573</t>
  </si>
  <si>
    <t xml:space="preserve">leathanach oibre, bileog oibre</t>
  </si>
  <si>
    <t xml:space="preserve">worksheet</t>
  </si>
  <si>
    <t xml:space="preserve">leathanach oibre [nm], bileog oibre</t>
  </si>
  <si>
    <t xml:space="preserve">V1574</t>
  </si>
  <si>
    <t xml:space="preserve">mac léinn, scoláire</t>
  </si>
  <si>
    <t xml:space="preserve">student</t>
  </si>
  <si>
    <t xml:space="preserve">mac léinn, scoláire [m]</t>
  </si>
  <si>
    <t xml:space="preserve">V1575</t>
  </si>
  <si>
    <t xml:space="preserve">meánscoil</t>
  </si>
  <si>
    <t xml:space="preserve">secondary school</t>
  </si>
  <si>
    <t xml:space="preserve">V1576</t>
  </si>
  <si>
    <t xml:space="preserve">measúnú</t>
  </si>
  <si>
    <t xml:space="preserve">class test, assessment</t>
  </si>
  <si>
    <t xml:space="preserve">measúnú [m]</t>
  </si>
  <si>
    <t xml:space="preserve">V1577</t>
  </si>
  <si>
    <t xml:space="preserve">múinteoir</t>
  </si>
  <si>
    <t xml:space="preserve">teacher</t>
  </si>
  <si>
    <t xml:space="preserve">múinteoir [m]</t>
  </si>
  <si>
    <t xml:space="preserve">V1578</t>
  </si>
  <si>
    <t xml:space="preserve">múinteoir foirme</t>
  </si>
  <si>
    <t xml:space="preserve">form teacher</t>
  </si>
  <si>
    <t xml:space="preserve">V1579</t>
  </si>
  <si>
    <t xml:space="preserve">múinteoir ionadach</t>
  </si>
  <si>
    <t xml:space="preserve">supply teacher, cover teacher</t>
  </si>
  <si>
    <t xml:space="preserve">múinteoir ionadach [m]</t>
  </si>
  <si>
    <t xml:space="preserve">V1580</t>
  </si>
  <si>
    <t xml:space="preserve">níl mé maith ag</t>
  </si>
  <si>
    <t xml:space="preserve">I am not good at … (a subject)</t>
  </si>
  <si>
    <t xml:space="preserve">V1581</t>
  </si>
  <si>
    <t xml:space="preserve">obair bhaile</t>
  </si>
  <si>
    <t xml:space="preserve">homework</t>
  </si>
  <si>
    <t xml:space="preserve">V1582</t>
  </si>
  <si>
    <t xml:space="preserve">obair bheirte</t>
  </si>
  <si>
    <t xml:space="preserve">pair work</t>
  </si>
  <si>
    <t xml:space="preserve">V1583</t>
  </si>
  <si>
    <t xml:space="preserve">oideachas</t>
  </si>
  <si>
    <t xml:space="preserve">education</t>
  </si>
  <si>
    <t xml:space="preserve">oideachas [m]</t>
  </si>
  <si>
    <t xml:space="preserve">V1584</t>
  </si>
  <si>
    <t xml:space="preserve">ollscoil</t>
  </si>
  <si>
    <t xml:space="preserve">university</t>
  </si>
  <si>
    <t xml:space="preserve">V1585</t>
  </si>
  <si>
    <t xml:space="preserve">peann</t>
  </si>
  <si>
    <t xml:space="preserve">pen</t>
  </si>
  <si>
    <t xml:space="preserve">peann [m]</t>
  </si>
  <si>
    <t xml:space="preserve">V1586</t>
  </si>
  <si>
    <t xml:space="preserve">peann feiltbhiorach</t>
  </si>
  <si>
    <t xml:space="preserve">felt tip</t>
  </si>
  <si>
    <t xml:space="preserve">peann feiltbhiorach [m]</t>
  </si>
  <si>
    <t xml:space="preserve">V1587</t>
  </si>
  <si>
    <t xml:space="preserve">peann luaidhe</t>
  </si>
  <si>
    <t xml:space="preserve">pencil</t>
  </si>
  <si>
    <t xml:space="preserve">peann luaidhe [m]</t>
  </si>
  <si>
    <t xml:space="preserve">V1588</t>
  </si>
  <si>
    <t xml:space="preserve">príomhoide</t>
  </si>
  <si>
    <t xml:space="preserve">head teacher</t>
  </si>
  <si>
    <t xml:space="preserve">príomhoide [m]</t>
  </si>
  <si>
    <t xml:space="preserve">V1589</t>
  </si>
  <si>
    <t xml:space="preserve">rang</t>
  </si>
  <si>
    <t xml:space="preserve">class</t>
  </si>
  <si>
    <t xml:space="preserve">V1590</t>
  </si>
  <si>
    <t xml:space="preserve">rialóir</t>
  </si>
  <si>
    <t xml:space="preserve">ruler</t>
  </si>
  <si>
    <t xml:space="preserve">rialóir [m]</t>
  </si>
  <si>
    <t xml:space="preserve">V1591</t>
  </si>
  <si>
    <t xml:space="preserve">calculator</t>
  </si>
  <si>
    <t xml:space="preserve">V1592</t>
  </si>
  <si>
    <t xml:space="preserve">saotharlann</t>
  </si>
  <si>
    <t xml:space="preserve">laboratory</t>
  </si>
  <si>
    <t xml:space="preserve">V1593</t>
  </si>
  <si>
    <t xml:space="preserve">scoil</t>
  </si>
  <si>
    <t xml:space="preserve">school</t>
  </si>
  <si>
    <t xml:space="preserve">V1594</t>
  </si>
  <si>
    <t xml:space="preserve">scoil chuimsitheach</t>
  </si>
  <si>
    <t xml:space="preserve">comprehensive school</t>
  </si>
  <si>
    <t xml:space="preserve">V1595</t>
  </si>
  <si>
    <t xml:space="preserve">scoil bhuachaillí</t>
  </si>
  <si>
    <t xml:space="preserve">boys’ school</t>
  </si>
  <si>
    <t xml:space="preserve">V1596</t>
  </si>
  <si>
    <t xml:space="preserve">scoil chailíní</t>
  </si>
  <si>
    <t xml:space="preserve">girls’ school</t>
  </si>
  <si>
    <t xml:space="preserve">V1597</t>
  </si>
  <si>
    <t xml:space="preserve">scoil bhuachaillí is chailíní, scoil mheasctha co-ed school</t>
  </si>
  <si>
    <t xml:space="preserve">V1598</t>
  </si>
  <si>
    <t xml:space="preserve">scoil ghramadaí</t>
  </si>
  <si>
    <t xml:space="preserve">grammar school</t>
  </si>
  <si>
    <t xml:space="preserve">V1599</t>
  </si>
  <si>
    <t xml:space="preserve">scoil imeasctha</t>
  </si>
  <si>
    <t xml:space="preserve">integrated school</t>
  </si>
  <si>
    <t xml:space="preserve">V1600</t>
  </si>
  <si>
    <t xml:space="preserve">scriosán</t>
  </si>
  <si>
    <t xml:space="preserve">eraser</t>
  </si>
  <si>
    <t xml:space="preserve">scriosán [m]</t>
  </si>
  <si>
    <t xml:space="preserve">V1601</t>
  </si>
  <si>
    <t xml:space="preserve">scrúdú</t>
  </si>
  <si>
    <t xml:space="preserve">exam</t>
  </si>
  <si>
    <t xml:space="preserve">scrúdú [m]</t>
  </si>
  <si>
    <t xml:space="preserve">V1602</t>
  </si>
  <si>
    <t xml:space="preserve">V1603</t>
  </si>
  <si>
    <t xml:space="preserve">seomra na múinteoirí</t>
  </si>
  <si>
    <t xml:space="preserve">staffroom</t>
  </si>
  <si>
    <t xml:space="preserve">seomra na múinteoirí [m]</t>
  </si>
  <si>
    <t xml:space="preserve">V1604</t>
  </si>
  <si>
    <t xml:space="preserve">seomra ríomhaireachta TFC (Teicneolaíocht Faisnéise agus Cumarsáide)</t>
  </si>
  <si>
    <t xml:space="preserve">ICT suite</t>
  </si>
  <si>
    <t xml:space="preserve">V1605</t>
  </si>
  <si>
    <t xml:space="preserve">siosúr</t>
  </si>
  <si>
    <t xml:space="preserve">scissors</t>
  </si>
  <si>
    <t xml:space="preserve">siosúr [m]</t>
  </si>
  <si>
    <t xml:space="preserve">V1606</t>
  </si>
  <si>
    <t xml:space="preserve">staidéar, staidéir</t>
  </si>
  <si>
    <t xml:space="preserve">study, studies</t>
  </si>
  <si>
    <t xml:space="preserve">staidéar [m], staidéir [mpl]</t>
  </si>
  <si>
    <t xml:space="preserve">V1607</t>
  </si>
  <si>
    <t xml:space="preserve">teanga</t>
  </si>
  <si>
    <t xml:space="preserve">language</t>
  </si>
  <si>
    <t xml:space="preserve">V1608</t>
  </si>
  <si>
    <t xml:space="preserve">téarma</t>
  </si>
  <si>
    <t xml:space="preserve">term</t>
  </si>
  <si>
    <t xml:space="preserve">téarma [m]</t>
  </si>
  <si>
    <t xml:space="preserve">V1609</t>
  </si>
  <si>
    <t xml:space="preserve">TGMO</t>
  </si>
  <si>
    <t xml:space="preserve">GCSE</t>
  </si>
  <si>
    <t xml:space="preserve">V1610</t>
  </si>
  <si>
    <t xml:space="preserve">tuairisc, tuarascáil</t>
  </si>
  <si>
    <t xml:space="preserve">report</t>
  </si>
  <si>
    <t xml:space="preserve">V1611</t>
  </si>
  <si>
    <t xml:space="preserve">turgnamh</t>
  </si>
  <si>
    <t xml:space="preserve">experiment</t>
  </si>
  <si>
    <t xml:space="preserve">turgnamh [m]</t>
  </si>
  <si>
    <t xml:space="preserve">V1612</t>
  </si>
  <si>
    <t xml:space="preserve">tús na bliana</t>
  </si>
  <si>
    <t xml:space="preserve">start of school year</t>
  </si>
  <si>
    <t xml:space="preserve">tús na bliana [m]</t>
  </si>
  <si>
    <t xml:space="preserve">V1613</t>
  </si>
  <si>
    <t xml:space="preserve">coinneáil istigh</t>
  </si>
  <si>
    <t xml:space="preserve">detention</t>
  </si>
  <si>
    <t xml:space="preserve">The classroom</t>
  </si>
  <si>
    <t xml:space="preserve">V1614</t>
  </si>
  <si>
    <t xml:space="preserve">cuir pionós ar</t>
  </si>
  <si>
    <t xml:space="preserve">to punish</t>
  </si>
  <si>
    <t xml:space="preserve">V1615</t>
  </si>
  <si>
    <t xml:space="preserve">Ná …!</t>
  </si>
  <si>
    <t xml:space="preserve">Do not …!</t>
  </si>
  <si>
    <t xml:space="preserve">V1616</t>
  </si>
  <si>
    <t xml:space="preserve">nil cead agam</t>
  </si>
  <si>
    <t xml:space="preserve">I am not allowed</t>
  </si>
  <si>
    <t xml:space="preserve">V1617</t>
  </si>
  <si>
    <t xml:space="preserve">tá cead agam</t>
  </si>
  <si>
    <t xml:space="preserve">I am allowed</t>
  </si>
  <si>
    <t xml:space="preserve">V1618</t>
  </si>
  <si>
    <t xml:space="preserve">tá cosc ar …</t>
  </si>
  <si>
    <t xml:space="preserve">… is forbidden</t>
  </si>
  <si>
    <t xml:space="preserve">V1619</t>
  </si>
  <si>
    <t xml:space="preserve">siúil ar chlé, siúil ar dheis</t>
  </si>
  <si>
    <t xml:space="preserve">walk on the left, walk on the right</t>
  </si>
  <si>
    <t xml:space="preserve">V1620</t>
  </si>
  <si>
    <t xml:space="preserve">scrúdú ar siúl</t>
  </si>
  <si>
    <t xml:space="preserve">exam in progress</t>
  </si>
  <si>
    <t xml:space="preserve">V1621</t>
  </si>
  <si>
    <t xml:space="preserve">smacht</t>
  </si>
  <si>
    <t xml:space="preserve">discipline</t>
  </si>
  <si>
    <t xml:space="preserve">V1622</t>
  </si>
  <si>
    <t xml:space="preserve">abair arís (ag athrá)</t>
  </si>
  <si>
    <t xml:space="preserve">abair arís</t>
  </si>
  <si>
    <t xml:space="preserve">ag athrá</t>
  </si>
  <si>
    <t xml:space="preserve">to repeat a word (repeating)</t>
  </si>
  <si>
    <t xml:space="preserve">V1623</t>
  </si>
  <si>
    <t xml:space="preserve">a bheith ábalta, a bheith ar mo chumas</t>
  </si>
  <si>
    <t xml:space="preserve">to be able to</t>
  </si>
  <si>
    <t xml:space="preserve">V1624</t>
  </si>
  <si>
    <t xml:space="preserve">a bheith faoi choinneáil</t>
  </si>
  <si>
    <t xml:space="preserve">to be in detention</t>
  </si>
  <si>
    <t xml:space="preserve">V1625</t>
  </si>
  <si>
    <t xml:space="preserve">áirigh (ag áirí)</t>
  </si>
  <si>
    <t xml:space="preserve">áirigh</t>
  </si>
  <si>
    <t xml:space="preserve">ag áirí</t>
  </si>
  <si>
    <t xml:space="preserve">to calculate (calculating)</t>
  </si>
  <si>
    <t xml:space="preserve">V1626</t>
  </si>
  <si>
    <t xml:space="preserve">aistrigh (ag aistriú)</t>
  </si>
  <si>
    <t xml:space="preserve">aistrigh</t>
  </si>
  <si>
    <t xml:space="preserve">ag aistriú</t>
  </si>
  <si>
    <t xml:space="preserve">to translate (translating)</t>
  </si>
  <si>
    <t xml:space="preserve">V1627</t>
  </si>
  <si>
    <t xml:space="preserve">to look at (looking at)</t>
  </si>
  <si>
    <t xml:space="preserve">V1628</t>
  </si>
  <si>
    <t xml:space="preserve">aontaigh le (ag aontú le)</t>
  </si>
  <si>
    <t xml:space="preserve">aontaigh le</t>
  </si>
  <si>
    <t xml:space="preserve">ag aontú le</t>
  </si>
  <si>
    <t xml:space="preserve">to agree with (agreeing with)</t>
  </si>
  <si>
    <t xml:space="preserve">V1629</t>
  </si>
  <si>
    <t xml:space="preserve">athbhreithnigh (ag athbhreithniú)</t>
  </si>
  <si>
    <t xml:space="preserve">athbhreithnigh</t>
  </si>
  <si>
    <t xml:space="preserve">ag athbhreithniú</t>
  </si>
  <si>
    <t xml:space="preserve">to revise (revising)</t>
  </si>
  <si>
    <t xml:space="preserve">V1630</t>
  </si>
  <si>
    <t xml:space="preserve">bain triail as (ag baint trialach as)</t>
  </si>
  <si>
    <t xml:space="preserve">ag baint trialach as</t>
  </si>
  <si>
    <t xml:space="preserve">V1631</t>
  </si>
  <si>
    <t xml:space="preserve">bain úsáid as (ag baint úsáide as)</t>
  </si>
  <si>
    <t xml:space="preserve">bain úsáid as</t>
  </si>
  <si>
    <t xml:space="preserve">ag baint úsáide as</t>
  </si>
  <si>
    <t xml:space="preserve">to use (using)</t>
  </si>
  <si>
    <t xml:space="preserve">V1632</t>
  </si>
  <si>
    <t xml:space="preserve">bí ciúin (a bheith ciúin)</t>
  </si>
  <si>
    <t xml:space="preserve">to keep quiet (keeping quiet)</t>
  </si>
  <si>
    <t xml:space="preserve">V1633</t>
  </si>
  <si>
    <t xml:space="preserve">V1634</t>
  </si>
  <si>
    <t xml:space="preserve">caithfidh mé</t>
  </si>
  <si>
    <t xml:space="preserve">I have to</t>
  </si>
  <si>
    <t xml:space="preserve">V1635</t>
  </si>
  <si>
    <t xml:space="preserve">ceachtanna a chailleadh (ag cailleadh ceachtanna)</t>
  </si>
  <si>
    <t xml:space="preserve">ceachtanna a chailleadh</t>
  </si>
  <si>
    <t xml:space="preserve">ag cailleadh ceachtanna</t>
  </si>
  <si>
    <t xml:space="preserve">to miss lessons (missing lessons)</t>
  </si>
  <si>
    <t xml:space="preserve">V1636</t>
  </si>
  <si>
    <t xml:space="preserve">ceartaigh (ag ceartú)</t>
  </si>
  <si>
    <t xml:space="preserve">ceartaigh</t>
  </si>
  <si>
    <t xml:space="preserve">ag ceartú</t>
  </si>
  <si>
    <t xml:space="preserve">to correct (correcting)</t>
  </si>
  <si>
    <t xml:space="preserve">V1637</t>
  </si>
  <si>
    <t xml:space="preserve">V1638</t>
  </si>
  <si>
    <t xml:space="preserve">coinnigh istigh (ag coinneáil istigh)</t>
  </si>
  <si>
    <t xml:space="preserve">coinnigh istigh</t>
  </si>
  <si>
    <t xml:space="preserve">ag coinneáil istigh</t>
  </si>
  <si>
    <t xml:space="preserve">to detain</t>
  </si>
  <si>
    <t xml:space="preserve">V1639</t>
  </si>
  <si>
    <t xml:space="preserve">V1640</t>
  </si>
  <si>
    <t xml:space="preserve">cuir ceist ar (ag cur ceiste ar)</t>
  </si>
  <si>
    <t xml:space="preserve">cuir ceist ar</t>
  </si>
  <si>
    <t xml:space="preserve">ag cur ceiste ar</t>
  </si>
  <si>
    <t xml:space="preserve">to ask a question (asking a question)</t>
  </si>
  <si>
    <t xml:space="preserve">V1641</t>
  </si>
  <si>
    <t xml:space="preserve">cuir pionós ar (ag cur pionóis ar)</t>
  </si>
  <si>
    <t xml:space="preserve">ag cur pionóis ar</t>
  </si>
  <si>
    <t xml:space="preserve">to punish (punishing)</t>
  </si>
  <si>
    <t xml:space="preserve">V1642</t>
  </si>
  <si>
    <t xml:space="preserve">cuir scrúdú ar (ag cur scrúdú ar)</t>
  </si>
  <si>
    <t xml:space="preserve">cuir scrúdú ar</t>
  </si>
  <si>
    <t xml:space="preserve">ag cur scrúdú ar</t>
  </si>
  <si>
    <t xml:space="preserve">to examine (examining)</t>
  </si>
  <si>
    <t xml:space="preserve">V1643</t>
  </si>
  <si>
    <t xml:space="preserve">déan an bhliain arís (ag déanamh na bliana arís)</t>
  </si>
  <si>
    <t xml:space="preserve">déan an bhliain arís</t>
  </si>
  <si>
    <t xml:space="preserve">ag déanamh na bliana arís</t>
  </si>
  <si>
    <t xml:space="preserve">to repeat the year (repeating the year)</t>
  </si>
  <si>
    <t xml:space="preserve">V1644</t>
  </si>
  <si>
    <t xml:space="preserve">déan cleachtadh (ag déanamh cleachtaidh ar)</t>
  </si>
  <si>
    <t xml:space="preserve">déan cleachtadh</t>
  </si>
  <si>
    <t xml:space="preserve">ag déanamh cleachtaidh ar</t>
  </si>
  <si>
    <t xml:space="preserve">V1645</t>
  </si>
  <si>
    <t xml:space="preserve">déan cóip de (ag déanamh cóipe de)</t>
  </si>
  <si>
    <t xml:space="preserve">déan cóip de</t>
  </si>
  <si>
    <t xml:space="preserve">ag déanamh cóipe de</t>
  </si>
  <si>
    <t xml:space="preserve">V1646</t>
  </si>
  <si>
    <t xml:space="preserve">déan dearmad ar (ag déanamh dearmaid ar)</t>
  </si>
  <si>
    <t xml:space="preserve">déan dearmad ar</t>
  </si>
  <si>
    <t xml:space="preserve">ag déanamh dearmaid ar</t>
  </si>
  <si>
    <t xml:space="preserve">to forget (forgetting)</t>
  </si>
  <si>
    <t xml:space="preserve">V1647</t>
  </si>
  <si>
    <t xml:space="preserve">déan scrúdú (ag déanamh scrúdaithe)</t>
  </si>
  <si>
    <t xml:space="preserve">déan scrúdú</t>
  </si>
  <si>
    <t xml:space="preserve">ag déanamh scrúdaithe</t>
  </si>
  <si>
    <t xml:space="preserve">to do an exam (doing an exam)</t>
  </si>
  <si>
    <t xml:space="preserve">V1648</t>
  </si>
  <si>
    <t xml:space="preserve">déan staidéar (ag déanamh staidéir)</t>
  </si>
  <si>
    <t xml:space="preserve">déan staidéar</t>
  </si>
  <si>
    <t xml:space="preserve">ag déanamh staidéir</t>
  </si>
  <si>
    <t xml:space="preserve">to study (studying)</t>
  </si>
  <si>
    <t xml:space="preserve">V1649</t>
  </si>
  <si>
    <t xml:space="preserve">eagraigh (ag eagrú)</t>
  </si>
  <si>
    <t xml:space="preserve">eagraigh</t>
  </si>
  <si>
    <t xml:space="preserve">ag eagrú</t>
  </si>
  <si>
    <t xml:space="preserve">to organise (organising)</t>
  </si>
  <si>
    <t xml:space="preserve">V1650</t>
  </si>
  <si>
    <t xml:space="preserve">to drop (dropping) (a subject)</t>
  </si>
  <si>
    <t xml:space="preserve">V1651</t>
  </si>
  <si>
    <t xml:space="preserve">V1652</t>
  </si>
  <si>
    <t xml:space="preserve">éist le (ag éisteacht le)</t>
  </si>
  <si>
    <t xml:space="preserve">éist le</t>
  </si>
  <si>
    <t xml:space="preserve">ag éisteacht le</t>
  </si>
  <si>
    <t xml:space="preserve">to listen to (listening to)</t>
  </si>
  <si>
    <t xml:space="preserve">V1653</t>
  </si>
  <si>
    <t xml:space="preserve">fiafraigh de (ag fiafraí de)</t>
  </si>
  <si>
    <t xml:space="preserve">fiafraigh de</t>
  </si>
  <si>
    <t xml:space="preserve">ag fiafraí de</t>
  </si>
  <si>
    <t xml:space="preserve">V1654</t>
  </si>
  <si>
    <t xml:space="preserve">foghlaim (ag foghlaim)</t>
  </si>
  <si>
    <t xml:space="preserve">foghlaim</t>
  </si>
  <si>
    <t xml:space="preserve">ag foghlaim</t>
  </si>
  <si>
    <t xml:space="preserve">to learn (learning)</t>
  </si>
  <si>
    <t xml:space="preserve">V1655</t>
  </si>
  <si>
    <t xml:space="preserve">freagair (ag freagairt)</t>
  </si>
  <si>
    <t xml:space="preserve">freagair</t>
  </si>
  <si>
    <t xml:space="preserve">ag freagairt</t>
  </si>
  <si>
    <t xml:space="preserve">to answer (answering)</t>
  </si>
  <si>
    <t xml:space="preserve">V1656</t>
  </si>
  <si>
    <t xml:space="preserve">fuaimnigh (ag fuaimniú)</t>
  </si>
  <si>
    <t xml:space="preserve">fuaimnigh</t>
  </si>
  <si>
    <t xml:space="preserve">ag fuaimniú</t>
  </si>
  <si>
    <t xml:space="preserve">to pronounce (pronouncing)</t>
  </si>
  <si>
    <t xml:space="preserve">V1657</t>
  </si>
  <si>
    <t xml:space="preserve">iarr ar (ag iarraidh ar)</t>
  </si>
  <si>
    <t xml:space="preserve">iarr ar</t>
  </si>
  <si>
    <t xml:space="preserve">ag iarraidh ar</t>
  </si>
  <si>
    <t xml:space="preserve">to ask a favour (asking a favour)</t>
  </si>
  <si>
    <t xml:space="preserve">V1658</t>
  </si>
  <si>
    <t xml:space="preserve">inis bréag (ag insint bréige)</t>
  </si>
  <si>
    <t xml:space="preserve">inis bréag</t>
  </si>
  <si>
    <t xml:space="preserve">ag insint bréige</t>
  </si>
  <si>
    <t xml:space="preserve">to lie (telling a lie)</t>
  </si>
  <si>
    <t xml:space="preserve">V1659</t>
  </si>
  <si>
    <t xml:space="preserve">is féidir liom, tig liom</t>
  </si>
  <si>
    <t xml:space="preserve">I can</t>
  </si>
  <si>
    <t xml:space="preserve">V1660</t>
  </si>
  <si>
    <t xml:space="preserve">V1661</t>
  </si>
  <si>
    <t xml:space="preserve">labhair le (ag labhairt le)</t>
  </si>
  <si>
    <t xml:space="preserve">labhair le</t>
  </si>
  <si>
    <t xml:space="preserve">ag labhairt le</t>
  </si>
  <si>
    <t xml:space="preserve">to speak (speaking to)</t>
  </si>
  <si>
    <t xml:space="preserve">V1662</t>
  </si>
  <si>
    <t xml:space="preserve">línigh (ag líniú)</t>
  </si>
  <si>
    <t xml:space="preserve">línigh</t>
  </si>
  <si>
    <t xml:space="preserve">ag líniú</t>
  </si>
  <si>
    <t xml:space="preserve">V1663</t>
  </si>
  <si>
    <t xml:space="preserve">litrigh (ag litriú)</t>
  </si>
  <si>
    <t xml:space="preserve">litrigh</t>
  </si>
  <si>
    <t xml:space="preserve">ag litriú</t>
  </si>
  <si>
    <t xml:space="preserve">to spell (spelling)</t>
  </si>
  <si>
    <t xml:space="preserve">V1664</t>
  </si>
  <si>
    <t xml:space="preserve">oibrigh go dícheallach (ag obair go dícheallach)</t>
  </si>
  <si>
    <t xml:space="preserve">oibrigh go dícheallach</t>
  </si>
  <si>
    <t xml:space="preserve">ag obair go dícheallach</t>
  </si>
  <si>
    <t xml:space="preserve">to work hard (working hard)</t>
  </si>
  <si>
    <t xml:space="preserve">V1665</t>
  </si>
  <si>
    <t xml:space="preserve">oscail leabhar (ag oscailt leabhair)</t>
  </si>
  <si>
    <t xml:space="preserve">oscail leabhar</t>
  </si>
  <si>
    <t xml:space="preserve">ag oscailt leabhair</t>
  </si>
  <si>
    <t xml:space="preserve">open book (opening books)</t>
  </si>
  <si>
    <t xml:space="preserve">V1666</t>
  </si>
  <si>
    <t xml:space="preserve">pléigh (ag plé)</t>
  </si>
  <si>
    <t xml:space="preserve">pléigh</t>
  </si>
  <si>
    <t xml:space="preserve">ag plé</t>
  </si>
  <si>
    <t xml:space="preserve">to discuss (discussing)</t>
  </si>
  <si>
    <t xml:space="preserve">V1667</t>
  </si>
  <si>
    <t xml:space="preserve">scríobh línte (ag scríobh línte)</t>
  </si>
  <si>
    <t xml:space="preserve">scríobh línte</t>
  </si>
  <si>
    <t xml:space="preserve">ag scríobh línte</t>
  </si>
  <si>
    <t xml:space="preserve">to write lines (writing lines)</t>
  </si>
  <si>
    <t xml:space="preserve">V1668</t>
  </si>
  <si>
    <t xml:space="preserve">smaoinigh, síl (ag smaoineamh, ag síleadh) to think (thinking)</t>
  </si>
  <si>
    <t xml:space="preserve">smaoinigh, síl to think (thinking)</t>
  </si>
  <si>
    <t xml:space="preserve">ag smaoineamh, ag síleadh</t>
  </si>
  <si>
    <t xml:space="preserve">V1669</t>
  </si>
  <si>
    <t xml:space="preserve">spreag (ag spreagadh)</t>
  </si>
  <si>
    <t xml:space="preserve">spreag</t>
  </si>
  <si>
    <t xml:space="preserve">ag spreagadh</t>
  </si>
  <si>
    <t xml:space="preserve">to encourage (encouraging)</t>
  </si>
  <si>
    <t xml:space="preserve">V1670</t>
  </si>
  <si>
    <t xml:space="preserve">tabhair aird ar (ag tabhairt airde ar)</t>
  </si>
  <si>
    <t xml:space="preserve">tabhair aird ar</t>
  </si>
  <si>
    <t xml:space="preserve">ag tabhairt airde ar</t>
  </si>
  <si>
    <t xml:space="preserve">to pay attention (paying attention)</t>
  </si>
  <si>
    <t xml:space="preserve">V1671</t>
  </si>
  <si>
    <t xml:space="preserve">tabhair cead do (ag tabhairt cead do)</t>
  </si>
  <si>
    <t xml:space="preserve">tabhair cead do</t>
  </si>
  <si>
    <t xml:space="preserve">ag tabhairt cead do</t>
  </si>
  <si>
    <t xml:space="preserve">to permit (allowing)</t>
  </si>
  <si>
    <t xml:space="preserve">V1672</t>
  </si>
  <si>
    <t xml:space="preserve">tabhair freagra ar (ag tabhairt freagra ar)</t>
  </si>
  <si>
    <t xml:space="preserve">tabhair freagra ar</t>
  </si>
  <si>
    <t xml:space="preserve">ag tabhairt freagra ar</t>
  </si>
  <si>
    <t xml:space="preserve">to reply (replying)</t>
  </si>
  <si>
    <t xml:space="preserve">V1673</t>
  </si>
  <si>
    <t xml:space="preserve">tá eolas agam ar</t>
  </si>
  <si>
    <t xml:space="preserve">I know (facts)</t>
  </si>
  <si>
    <t xml:space="preserve">V1674</t>
  </si>
  <si>
    <t xml:space="preserve">teagasc, múin (ag teagasc, ag múineadh)</t>
  </si>
  <si>
    <t xml:space="preserve">teagasc, múin</t>
  </si>
  <si>
    <t xml:space="preserve">ag teagasc, ag múineadh</t>
  </si>
  <si>
    <t xml:space="preserve">to teach (teaching)</t>
  </si>
  <si>
    <t xml:space="preserve">V1675</t>
  </si>
  <si>
    <t xml:space="preserve">téigh siar ar (ag dul siar ar)</t>
  </si>
  <si>
    <t xml:space="preserve">téigh siar ar</t>
  </si>
  <si>
    <t xml:space="preserve">ag dul siar ar</t>
  </si>
  <si>
    <t xml:space="preserve">to go back over (going back over)</t>
  </si>
  <si>
    <t xml:space="preserve">V1676</t>
  </si>
  <si>
    <t xml:space="preserve">teip ar (ag teip ar)</t>
  </si>
  <si>
    <t xml:space="preserve">teip ar</t>
  </si>
  <si>
    <t xml:space="preserve">ag teip ar</t>
  </si>
  <si>
    <t xml:space="preserve">to do badly, fail (doing badly, failing)</t>
  </si>
  <si>
    <t xml:space="preserve">V1677</t>
  </si>
  <si>
    <t xml:space="preserve">V1678</t>
  </si>
  <si>
    <t xml:space="preserve">tuig (ag tuiscint)</t>
  </si>
  <si>
    <t xml:space="preserve">tuig</t>
  </si>
  <si>
    <t xml:space="preserve">ag tuiscint</t>
  </si>
  <si>
    <t xml:space="preserve">to understand (understanding)</t>
  </si>
  <si>
    <t xml:space="preserve">V1679</t>
  </si>
  <si>
    <t xml:space="preserve">ullmhaigh, déan réidh (ag ullmhú, ag déanamh réidh)</t>
  </si>
  <si>
    <t xml:space="preserve">ullmhaigh, déan réidh</t>
  </si>
  <si>
    <t xml:space="preserve">ag ullmhú, ag déanamh réidh</t>
  </si>
  <si>
    <t xml:space="preserve">to prepare (preparing)</t>
  </si>
  <si>
    <t xml:space="preserve">V1680</t>
  </si>
  <si>
    <t xml:space="preserve">An Cumann Gaelach</t>
  </si>
  <si>
    <t xml:space="preserve">Irish society, Irish club</t>
  </si>
  <si>
    <t xml:space="preserve">Extra-curricular activities</t>
  </si>
  <si>
    <t xml:space="preserve">V1681</t>
  </si>
  <si>
    <t xml:space="preserve">club, clubanna</t>
  </si>
  <si>
    <t xml:space="preserve">club, clubs</t>
  </si>
  <si>
    <t xml:space="preserve">club [m], clubanna</t>
  </si>
  <si>
    <t xml:space="preserve">V1682</t>
  </si>
  <si>
    <t xml:space="preserve">club ceol traidisiúnta</t>
  </si>
  <si>
    <t xml:space="preserve">traditional music club</t>
  </si>
  <si>
    <t xml:space="preserve">V1683</t>
  </si>
  <si>
    <t xml:space="preserve">club díospóireachta</t>
  </si>
  <si>
    <t xml:space="preserve">debating club</t>
  </si>
  <si>
    <t xml:space="preserve">club díospóireachta [m]</t>
  </si>
  <si>
    <t xml:space="preserve">V1684</t>
  </si>
  <si>
    <t xml:space="preserve">club drámaíochta</t>
  </si>
  <si>
    <t xml:space="preserve">drama club</t>
  </si>
  <si>
    <t xml:space="preserve">club drámaíochta [m]</t>
  </si>
  <si>
    <t xml:space="preserve">V1685</t>
  </si>
  <si>
    <t xml:space="preserve">club ealaíne</t>
  </si>
  <si>
    <t xml:space="preserve">art society</t>
  </si>
  <si>
    <t xml:space="preserve">V1686</t>
  </si>
  <si>
    <t xml:space="preserve">club obair bhaile</t>
  </si>
  <si>
    <t xml:space="preserve">homework club</t>
  </si>
  <si>
    <t xml:space="preserve">V1687</t>
  </si>
  <si>
    <t xml:space="preserve">club ríomhaireachta</t>
  </si>
  <si>
    <t xml:space="preserve">computer club</t>
  </si>
  <si>
    <t xml:space="preserve">V1688</t>
  </si>
  <si>
    <t xml:space="preserve">club spóirt</t>
  </si>
  <si>
    <t xml:space="preserve">sports club</t>
  </si>
  <si>
    <t xml:space="preserve">club spóirt [m]</t>
  </si>
  <si>
    <t xml:space="preserve">V1689</t>
  </si>
  <si>
    <t xml:space="preserve">coláiste samhraidh</t>
  </si>
  <si>
    <t xml:space="preserve">summer college</t>
  </si>
  <si>
    <t xml:space="preserve">coláiste samhraidh [m]</t>
  </si>
  <si>
    <t xml:space="preserve">V1690</t>
  </si>
  <si>
    <t xml:space="preserve">V1691</t>
  </si>
  <si>
    <t xml:space="preserve">cúrsa Gaeltachta</t>
  </si>
  <si>
    <t xml:space="preserve">Gaeltacht course</t>
  </si>
  <si>
    <t xml:space="preserve">cúrsa Gaeltachta [m]</t>
  </si>
  <si>
    <t xml:space="preserve">V1692</t>
  </si>
  <si>
    <t xml:space="preserve">díospóireacht</t>
  </si>
  <si>
    <t xml:space="preserve">debate</t>
  </si>
  <si>
    <t xml:space="preserve">V1693</t>
  </si>
  <si>
    <t xml:space="preserve">turas oideachasúil</t>
  </si>
  <si>
    <t xml:space="preserve">educational trip</t>
  </si>
  <si>
    <t xml:space="preserve">V1694</t>
  </si>
  <si>
    <t xml:space="preserve">turas sciála</t>
  </si>
  <si>
    <t xml:space="preserve">ski trip</t>
  </si>
  <si>
    <t xml:space="preserve">V1695</t>
  </si>
  <si>
    <t xml:space="preserve">turas scoile</t>
  </si>
  <si>
    <t xml:space="preserve">school trip</t>
  </si>
  <si>
    <t xml:space="preserve">turas scoile [m]</t>
  </si>
  <si>
    <t xml:space="preserve">V1696</t>
  </si>
  <si>
    <t xml:space="preserve">bheith ina bhall de</t>
  </si>
  <si>
    <t xml:space="preserve">to be a member of</t>
  </si>
  <si>
    <t xml:space="preserve">V1697</t>
  </si>
  <si>
    <t xml:space="preserve">bheith páirteach le</t>
  </si>
  <si>
    <t xml:space="preserve">to be part of (share)</t>
  </si>
  <si>
    <t xml:space="preserve">V1698</t>
  </si>
  <si>
    <t xml:space="preserve">V1699</t>
  </si>
  <si>
    <t xml:space="preserve">airgeadóir</t>
  </si>
  <si>
    <t xml:space="preserve">cashier</t>
  </si>
  <si>
    <t xml:space="preserve">Part-time jobs</t>
  </si>
  <si>
    <t xml:space="preserve">airgeadóir [nm]</t>
  </si>
  <si>
    <t xml:space="preserve">V1700</t>
  </si>
  <si>
    <t xml:space="preserve">aisling, brionglóid</t>
  </si>
  <si>
    <t xml:space="preserve">V1701</t>
  </si>
  <si>
    <t xml:space="preserve">agallamh</t>
  </si>
  <si>
    <t xml:space="preserve">interview</t>
  </si>
  <si>
    <t xml:space="preserve">agallamh [nm]</t>
  </si>
  <si>
    <t xml:space="preserve">V1702</t>
  </si>
  <si>
    <t xml:space="preserve">an todhchaí, an t-am atá le teacht</t>
  </si>
  <si>
    <t xml:space="preserve">future</t>
  </si>
  <si>
    <t xml:space="preserve">an todhchaí, an t-am atá le teacht [m]</t>
  </si>
  <si>
    <t xml:space="preserve">V1703</t>
  </si>
  <si>
    <t xml:space="preserve">cáilíocht, cáilíochtaí</t>
  </si>
  <si>
    <t xml:space="preserve">qualification, qualifications</t>
  </si>
  <si>
    <t xml:space="preserve">V1704</t>
  </si>
  <si>
    <t xml:space="preserve">ceannasaí</t>
  </si>
  <si>
    <t xml:space="preserve">boss</t>
  </si>
  <si>
    <t xml:space="preserve">ceannasaí [m]</t>
  </si>
  <si>
    <t xml:space="preserve">V1705</t>
  </si>
  <si>
    <t xml:space="preserve">coinníollacha oibre</t>
  </si>
  <si>
    <t xml:space="preserve">terms of employment</t>
  </si>
  <si>
    <t xml:space="preserve">coinníollacha oibre [m]</t>
  </si>
  <si>
    <t xml:space="preserve">V1706</t>
  </si>
  <si>
    <t xml:space="preserve">comhairleoir gairme</t>
  </si>
  <si>
    <t xml:space="preserve">careers adviser</t>
  </si>
  <si>
    <t xml:space="preserve">comhairleoir gairme [m]</t>
  </si>
  <si>
    <t xml:space="preserve">V1707</t>
  </si>
  <si>
    <t xml:space="preserve">comhghleacaí</t>
  </si>
  <si>
    <t xml:space="preserve">colleague</t>
  </si>
  <si>
    <t xml:space="preserve">comhghleacaí [m]</t>
  </si>
  <si>
    <t xml:space="preserve">V1708</t>
  </si>
  <si>
    <t xml:space="preserve">drochphá</t>
  </si>
  <si>
    <t xml:space="preserve">bad pay</t>
  </si>
  <si>
    <t xml:space="preserve">drochphá [m]</t>
  </si>
  <si>
    <t xml:space="preserve">V1709</t>
  </si>
  <si>
    <t xml:space="preserve">éagsúlacht</t>
  </si>
  <si>
    <t xml:space="preserve">variety</t>
  </si>
  <si>
    <t xml:space="preserve">V1710</t>
  </si>
  <si>
    <t xml:space="preserve">advertisement</t>
  </si>
  <si>
    <t xml:space="preserve">V1711</t>
  </si>
  <si>
    <t xml:space="preserve">fógraíocht</t>
  </si>
  <si>
    <t xml:space="preserve">advertising</t>
  </si>
  <si>
    <t xml:space="preserve">V1712</t>
  </si>
  <si>
    <t xml:space="preserve">folúntas</t>
  </si>
  <si>
    <t xml:space="preserve">vacancy</t>
  </si>
  <si>
    <t xml:space="preserve">folúntas [m]</t>
  </si>
  <si>
    <t xml:space="preserve">V1713</t>
  </si>
  <si>
    <t xml:space="preserve">gnó</t>
  </si>
  <si>
    <t xml:space="preserve">business</t>
  </si>
  <si>
    <t xml:space="preserve">gnó [nm]</t>
  </si>
  <si>
    <t xml:space="preserve">V1714</t>
  </si>
  <si>
    <t xml:space="preserve">gnóthach</t>
  </si>
  <si>
    <t xml:space="preserve">busy</t>
  </si>
  <si>
    <t xml:space="preserve">V1715</t>
  </si>
  <si>
    <t xml:space="preserve">iarratas</t>
  </si>
  <si>
    <t xml:space="preserve">job application</t>
  </si>
  <si>
    <t xml:space="preserve">iarratas [nm]</t>
  </si>
  <si>
    <t xml:space="preserve">V1716</t>
  </si>
  <si>
    <t xml:space="preserve">ionad oiliúna</t>
  </si>
  <si>
    <t xml:space="preserve">training centre</t>
  </si>
  <si>
    <t xml:space="preserve">ionad oiliúna [m]</t>
  </si>
  <si>
    <t xml:space="preserve">V1717</t>
  </si>
  <si>
    <t xml:space="preserve">litir</t>
  </si>
  <si>
    <t xml:space="preserve">letter</t>
  </si>
  <si>
    <t xml:space="preserve">V1718</t>
  </si>
  <si>
    <t xml:space="preserve">mian</t>
  </si>
  <si>
    <t xml:space="preserve">ambition</t>
  </si>
  <si>
    <t xml:space="preserve">V1719</t>
  </si>
  <si>
    <t xml:space="preserve">níl an pá go maith</t>
  </si>
  <si>
    <t xml:space="preserve">it is badly paid</t>
  </si>
  <si>
    <t xml:space="preserve">V1720</t>
  </si>
  <si>
    <t xml:space="preserve">obair</t>
  </si>
  <si>
    <t xml:space="preserve">work</t>
  </si>
  <si>
    <t xml:space="preserve">V1721</t>
  </si>
  <si>
    <t xml:space="preserve">pá maith, íocaíocht mhaith</t>
  </si>
  <si>
    <t xml:space="preserve">good pay</t>
  </si>
  <si>
    <t xml:space="preserve">pá maith [m], íocaíocht mhaith</t>
  </si>
  <si>
    <t xml:space="preserve">V1722</t>
  </si>
  <si>
    <t xml:space="preserve">post</t>
  </si>
  <si>
    <t xml:space="preserve">job, post</t>
  </si>
  <si>
    <t xml:space="preserve">post [nm]</t>
  </si>
  <si>
    <t xml:space="preserve">V1723</t>
  </si>
  <si>
    <t xml:space="preserve">scil, scileanna</t>
  </si>
  <si>
    <t xml:space="preserve">skill, skills</t>
  </si>
  <si>
    <t xml:space="preserve">V1724</t>
  </si>
  <si>
    <t xml:space="preserve">siopa [nm]</t>
  </si>
  <si>
    <t xml:space="preserve">V1725</t>
  </si>
  <si>
    <t xml:space="preserve">taithí</t>
  </si>
  <si>
    <t xml:space="preserve">experience</t>
  </si>
  <si>
    <t xml:space="preserve">V1726</t>
  </si>
  <si>
    <t xml:space="preserve">taithí oibre</t>
  </si>
  <si>
    <t xml:space="preserve">work experience</t>
  </si>
  <si>
    <t xml:space="preserve">V1727</t>
  </si>
  <si>
    <t xml:space="preserve">tuairim, barúil</t>
  </si>
  <si>
    <t xml:space="preserve">opinion, impression</t>
  </si>
  <si>
    <t xml:space="preserve">V1728</t>
  </si>
  <si>
    <t xml:space="preserve">úinéir</t>
  </si>
  <si>
    <t xml:space="preserve">owner</t>
  </si>
  <si>
    <t xml:space="preserve">úinéir [m]</t>
  </si>
  <si>
    <t xml:space="preserve">V1729</t>
  </si>
  <si>
    <t xml:space="preserve">V1730</t>
  </si>
  <si>
    <t xml:space="preserve">cuir … ar ceal (ag cur … ar ceal)</t>
  </si>
  <si>
    <t xml:space="preserve">cuir … ar ceal</t>
  </si>
  <si>
    <t xml:space="preserve">ag cur … ar ceal</t>
  </si>
  <si>
    <t xml:space="preserve">to cancel (cancelling)</t>
  </si>
  <si>
    <t xml:space="preserve">V1731</t>
  </si>
  <si>
    <t xml:space="preserve">cuir scairt ar (ag scairteadh ar)</t>
  </si>
  <si>
    <t xml:space="preserve">cuir scairt ar</t>
  </si>
  <si>
    <t xml:space="preserve">ag scairteadh ar</t>
  </si>
  <si>
    <t xml:space="preserve">to telephone, to call (telephoning, calling)</t>
  </si>
  <si>
    <t xml:space="preserve">V1732</t>
  </si>
  <si>
    <t xml:space="preserve">déan cúrsa (ag déanamh cúrsa)</t>
  </si>
  <si>
    <t xml:space="preserve">déan cúrsa</t>
  </si>
  <si>
    <t xml:space="preserve">ag déanamh cúrsa</t>
  </si>
  <si>
    <t xml:space="preserve">to do a course (doing a course)</t>
  </si>
  <si>
    <t xml:space="preserve">V1733</t>
  </si>
  <si>
    <t xml:space="preserve">déan teagmháil le (ag déanamh teagmhála le)</t>
  </si>
  <si>
    <t xml:space="preserve">déan teagmháil le</t>
  </si>
  <si>
    <t xml:space="preserve">ag déanamh teagmhála le</t>
  </si>
  <si>
    <t xml:space="preserve">to contact (contacting)</t>
  </si>
  <si>
    <t xml:space="preserve">V1734</t>
  </si>
  <si>
    <t xml:space="preserve">díol (ag díol)</t>
  </si>
  <si>
    <t xml:space="preserve">díol</t>
  </si>
  <si>
    <t xml:space="preserve">ag díol</t>
  </si>
  <si>
    <t xml:space="preserve">to sell (selling)</t>
  </si>
  <si>
    <t xml:space="preserve">V1735</t>
  </si>
  <si>
    <t xml:space="preserve">faigh (ag fail)</t>
  </si>
  <si>
    <t xml:space="preserve">ag fail</t>
  </si>
  <si>
    <t xml:space="preserve">V1736</t>
  </si>
  <si>
    <t xml:space="preserve">fostaigh (ag fostú)</t>
  </si>
  <si>
    <t xml:space="preserve">fostaigh</t>
  </si>
  <si>
    <t xml:space="preserve">ag fostú</t>
  </si>
  <si>
    <t xml:space="preserve">to hire (hiring)</t>
  </si>
  <si>
    <t xml:space="preserve">V1737</t>
  </si>
  <si>
    <t xml:space="preserve">íoc (ag íoc)</t>
  </si>
  <si>
    <t xml:space="preserve">íoc</t>
  </si>
  <si>
    <t xml:space="preserve">ag íoc</t>
  </si>
  <si>
    <t xml:space="preserve">to pay (paying)</t>
  </si>
  <si>
    <t xml:space="preserve">V1738</t>
  </si>
  <si>
    <t xml:space="preserve">líon foirm isteach (ag líonadh foirme isteach)</t>
  </si>
  <si>
    <t xml:space="preserve">líon foirm isteach</t>
  </si>
  <si>
    <t xml:space="preserve">ag líonadh foirme isteach</t>
  </si>
  <si>
    <t xml:space="preserve">to fill in a form (filling in a form)</t>
  </si>
  <si>
    <t xml:space="preserve">V1739</t>
  </si>
  <si>
    <t xml:space="preserve">V1740</t>
  </si>
  <si>
    <t xml:space="preserve">roghnaigh (ag roghnú)</t>
  </si>
  <si>
    <t xml:space="preserve">roghnaigh</t>
  </si>
  <si>
    <t xml:space="preserve">ag roghnú</t>
  </si>
  <si>
    <t xml:space="preserve">to choose (choosing)</t>
  </si>
  <si>
    <t xml:space="preserve">V1741</t>
  </si>
  <si>
    <t xml:space="preserve">saothraigh (ag saothrú)</t>
  </si>
  <si>
    <t xml:space="preserve">saothraigh</t>
  </si>
  <si>
    <t xml:space="preserve">ag saothrú</t>
  </si>
  <si>
    <t xml:space="preserve">to earn (money) (earning)</t>
  </si>
  <si>
    <t xml:space="preserve">V1742</t>
  </si>
  <si>
    <t xml:space="preserve">tar ar (ag teacht ar)</t>
  </si>
  <si>
    <t xml:space="preserve">tar ar</t>
  </si>
  <si>
    <t xml:space="preserve">ag teacht ar</t>
  </si>
  <si>
    <t xml:space="preserve">to find (finding)</t>
  </si>
  <si>
    <t xml:space="preserve">V1743</t>
  </si>
  <si>
    <t xml:space="preserve">téigh go dtí (ag dul go dtí)</t>
  </si>
  <si>
    <t xml:space="preserve">téigh go dtí</t>
  </si>
  <si>
    <t xml:space="preserve">ag dul go dtí</t>
  </si>
  <si>
    <t xml:space="preserve">to go to (going to)</t>
  </si>
  <si>
    <t xml:space="preserve">V1744</t>
  </si>
  <si>
    <t xml:space="preserve">Money management</t>
  </si>
  <si>
    <t xml:space="preserve">V1745</t>
  </si>
  <si>
    <t xml:space="preserve">airgead póca</t>
  </si>
  <si>
    <t xml:space="preserve">pocket money</t>
  </si>
  <si>
    <t xml:space="preserve">V1746</t>
  </si>
  <si>
    <t xml:space="preserve">V1747</t>
  </si>
  <si>
    <t xml:space="preserve">baincéireacht ar líne</t>
  </si>
  <si>
    <t xml:space="preserve">online banking</t>
  </si>
  <si>
    <t xml:space="preserve">V1748</t>
  </si>
  <si>
    <t xml:space="preserve">cuntas bainc</t>
  </si>
  <si>
    <t xml:space="preserve">bank account</t>
  </si>
  <si>
    <t xml:space="preserve">V1749</t>
  </si>
  <si>
    <t xml:space="preserve">cuntas taisce</t>
  </si>
  <si>
    <t xml:space="preserve">savings account</t>
  </si>
  <si>
    <t xml:space="preserve">V1750</t>
  </si>
  <si>
    <t xml:space="preserve">V1751</t>
  </si>
  <si>
    <t xml:space="preserve">foirm iarratais</t>
  </si>
  <si>
    <t xml:space="preserve">application form</t>
  </si>
  <si>
    <t xml:space="preserve">V1752</t>
  </si>
  <si>
    <t xml:space="preserve">pá</t>
  </si>
  <si>
    <t xml:space="preserve">pay, wages</t>
  </si>
  <si>
    <t xml:space="preserve">V1753</t>
  </si>
  <si>
    <t xml:space="preserve">caith airgead ar (ag caitheamh airgid ar)</t>
  </si>
  <si>
    <t xml:space="preserve">caith airgead ar</t>
  </si>
  <si>
    <t xml:space="preserve">ag caitheamh airgid ar</t>
  </si>
  <si>
    <t xml:space="preserve">to spend money on (spending money on)</t>
  </si>
  <si>
    <t xml:space="preserve">V1754</t>
  </si>
  <si>
    <t xml:space="preserve">cuir i dtaisce (ag cur i dtaisce)</t>
  </si>
  <si>
    <t xml:space="preserve">cuir i dtaisce</t>
  </si>
  <si>
    <t xml:space="preserve">ag cur i dtaisce</t>
  </si>
  <si>
    <t xml:space="preserve">to save (saving)</t>
  </si>
  <si>
    <t xml:space="preserve">V1755</t>
  </si>
  <si>
    <t xml:space="preserve">saothraigh airgead (ag saothrú airgid)</t>
  </si>
  <si>
    <t xml:space="preserve">saothraigh airgead</t>
  </si>
  <si>
    <t xml:space="preserve">ag saothrú airgid</t>
  </si>
  <si>
    <t xml:space="preserve">to earn money (earning money)</t>
  </si>
  <si>
    <t xml:space="preserve">V1756</t>
  </si>
  <si>
    <t xml:space="preserve">aisteoir</t>
  </si>
  <si>
    <t xml:space="preserve">actor</t>
  </si>
  <si>
    <t xml:space="preserve">Future plans and career</t>
  </si>
  <si>
    <t xml:space="preserve">aisteoir [m]</t>
  </si>
  <si>
    <t xml:space="preserve">V1757</t>
  </si>
  <si>
    <t xml:space="preserve">aeróstach</t>
  </si>
  <si>
    <t xml:space="preserve">flight attendant</t>
  </si>
  <si>
    <t xml:space="preserve">aeróstach [m]</t>
  </si>
  <si>
    <t xml:space="preserve">V1758</t>
  </si>
  <si>
    <t xml:space="preserve">airgeadóir [m]</t>
  </si>
  <si>
    <t xml:space="preserve">V1759</t>
  </si>
  <si>
    <t xml:space="preserve">altra, altra fir/banaltra</t>
  </si>
  <si>
    <t xml:space="preserve">nurse, male nurse/female nurse</t>
  </si>
  <si>
    <t xml:space="preserve">altra [m], altra fir/banaltra</t>
  </si>
  <si>
    <t xml:space="preserve">V1760</t>
  </si>
  <si>
    <t xml:space="preserve">ba mhaith liom bheith i mo …</t>
  </si>
  <si>
    <t xml:space="preserve">I would like to be a …</t>
  </si>
  <si>
    <t xml:space="preserve">V1761</t>
  </si>
  <si>
    <t xml:space="preserve">báicéir</t>
  </si>
  <si>
    <t xml:space="preserve">baker</t>
  </si>
  <si>
    <t xml:space="preserve">báicéir [m]</t>
  </si>
  <si>
    <t xml:space="preserve">V1762</t>
  </si>
  <si>
    <t xml:space="preserve">blianta scoir</t>
  </si>
  <si>
    <t xml:space="preserve">retirement years</t>
  </si>
  <si>
    <t xml:space="preserve">blianta scoir [fpl]</t>
  </si>
  <si>
    <t xml:space="preserve">V1763</t>
  </si>
  <si>
    <t xml:space="preserve">búistéir</t>
  </si>
  <si>
    <t xml:space="preserve">butcher</t>
  </si>
  <si>
    <t xml:space="preserve">búistéir [m]</t>
  </si>
  <si>
    <t xml:space="preserve">V1764</t>
  </si>
  <si>
    <t xml:space="preserve">cáilíocht</t>
  </si>
  <si>
    <t xml:space="preserve">qualification</t>
  </si>
  <si>
    <t xml:space="preserve">V1765</t>
  </si>
  <si>
    <t xml:space="preserve">céim</t>
  </si>
  <si>
    <t xml:space="preserve">degree</t>
  </si>
  <si>
    <t xml:space="preserve">V1766</t>
  </si>
  <si>
    <t xml:space="preserve">ceimiceoir</t>
  </si>
  <si>
    <t xml:space="preserve">ceimiceoir [nm]</t>
  </si>
  <si>
    <t xml:space="preserve">V1767</t>
  </si>
  <si>
    <t xml:space="preserve">musician</t>
  </si>
  <si>
    <t xml:space="preserve">V1768</t>
  </si>
  <si>
    <t xml:space="preserve">cinnte</t>
  </si>
  <si>
    <t xml:space="preserve">certainly</t>
  </si>
  <si>
    <t xml:space="preserve">V1769</t>
  </si>
  <si>
    <t xml:space="preserve">comhdháil</t>
  </si>
  <si>
    <t xml:space="preserve">conference</t>
  </si>
  <si>
    <t xml:space="preserve">V1770</t>
  </si>
  <si>
    <t xml:space="preserve">cuntasóir</t>
  </si>
  <si>
    <t xml:space="preserve">accountant</t>
  </si>
  <si>
    <t xml:space="preserve">cuntasóir [nm]</t>
  </si>
  <si>
    <t xml:space="preserve">V1771</t>
  </si>
  <si>
    <t xml:space="preserve">díoltóir</t>
  </si>
  <si>
    <t xml:space="preserve">salesperson</t>
  </si>
  <si>
    <t xml:space="preserve">díoltóir [m]</t>
  </si>
  <si>
    <t xml:space="preserve">V1772</t>
  </si>
  <si>
    <t xml:space="preserve">dioplóma</t>
  </si>
  <si>
    <t xml:space="preserve">diploma</t>
  </si>
  <si>
    <t xml:space="preserve">dioplóma [m]</t>
  </si>
  <si>
    <t xml:space="preserve">V1773</t>
  </si>
  <si>
    <t xml:space="preserve">dlíodóir</t>
  </si>
  <si>
    <t xml:space="preserve">lawyer</t>
  </si>
  <si>
    <t xml:space="preserve">dlíodóir [nm]</t>
  </si>
  <si>
    <t xml:space="preserve">V1774</t>
  </si>
  <si>
    <t xml:space="preserve">dochtúir</t>
  </si>
  <si>
    <t xml:space="preserve">doctor</t>
  </si>
  <si>
    <t xml:space="preserve">dochtúir [m]</t>
  </si>
  <si>
    <t xml:space="preserve">V1775</t>
  </si>
  <si>
    <t xml:space="preserve">drochbhéasach, mímhúinte, dímhúinte, borb</t>
  </si>
  <si>
    <t xml:space="preserve">rude</t>
  </si>
  <si>
    <t xml:space="preserve">V1776</t>
  </si>
  <si>
    <t xml:space="preserve">ealaíontóir</t>
  </si>
  <si>
    <t xml:space="preserve">artist</t>
  </si>
  <si>
    <t xml:space="preserve">ealaíontóir [m]</t>
  </si>
  <si>
    <t xml:space="preserve">V1777</t>
  </si>
  <si>
    <t xml:space="preserve">knowledge</t>
  </si>
  <si>
    <t xml:space="preserve">V1778</t>
  </si>
  <si>
    <t xml:space="preserve">fiaclóir</t>
  </si>
  <si>
    <t xml:space="preserve">dentist</t>
  </si>
  <si>
    <t xml:space="preserve">fiaclóir [m]</t>
  </si>
  <si>
    <t xml:space="preserve">V1779</t>
  </si>
  <si>
    <t xml:space="preserve">fear/bean dóiteáin</t>
  </si>
  <si>
    <t xml:space="preserve">firefighter</t>
  </si>
  <si>
    <t xml:space="preserve">fear [m]/bean dóiteáin</t>
  </si>
  <si>
    <t xml:space="preserve">V1780</t>
  </si>
  <si>
    <t xml:space="preserve">fear poist, bean poist</t>
  </si>
  <si>
    <t xml:space="preserve">postman</t>
  </si>
  <si>
    <t xml:space="preserve">fear poist [m], bean poist</t>
  </si>
  <si>
    <t xml:space="preserve">V1781</t>
  </si>
  <si>
    <t xml:space="preserve">féinmhuinín</t>
  </si>
  <si>
    <t xml:space="preserve">self-confidence</t>
  </si>
  <si>
    <t xml:space="preserve">V1782</t>
  </si>
  <si>
    <t xml:space="preserve">feirmeoir</t>
  </si>
  <si>
    <t xml:space="preserve">farmer</t>
  </si>
  <si>
    <t xml:space="preserve">feirmeoir [m]</t>
  </si>
  <si>
    <t xml:space="preserve">V1783</t>
  </si>
  <si>
    <t xml:space="preserve">V1784</t>
  </si>
  <si>
    <t xml:space="preserve">go líofa</t>
  </si>
  <si>
    <t xml:space="preserve">fluently</t>
  </si>
  <si>
    <t xml:space="preserve">V1785</t>
  </si>
  <si>
    <t xml:space="preserve">grósaeir</t>
  </si>
  <si>
    <t xml:space="preserve">grocer</t>
  </si>
  <si>
    <t xml:space="preserve">grósaeir [m]</t>
  </si>
  <si>
    <t xml:space="preserve">V1786</t>
  </si>
  <si>
    <t xml:space="preserve">V1787</t>
  </si>
  <si>
    <t xml:space="preserve">tá imní orm</t>
  </si>
  <si>
    <t xml:space="preserve">I am worried</t>
  </si>
  <si>
    <t xml:space="preserve">V1788</t>
  </si>
  <si>
    <t xml:space="preserve">innealtóir</t>
  </si>
  <si>
    <t xml:space="preserve">engineer</t>
  </si>
  <si>
    <t xml:space="preserve">innealtóir [m]</t>
  </si>
  <si>
    <t xml:space="preserve">V1789</t>
  </si>
  <si>
    <t xml:space="preserve">léacht</t>
  </si>
  <si>
    <t xml:space="preserve">lecture</t>
  </si>
  <si>
    <t xml:space="preserve">V1790</t>
  </si>
  <si>
    <t xml:space="preserve">leadrán, leadránach</t>
  </si>
  <si>
    <t xml:space="preserve">boredom, boring</t>
  </si>
  <si>
    <t xml:space="preserve">leadrán [m], leadránach</t>
  </si>
  <si>
    <t xml:space="preserve">V1791</t>
  </si>
  <si>
    <t xml:space="preserve">leictreoir</t>
  </si>
  <si>
    <t xml:space="preserve">electrician</t>
  </si>
  <si>
    <t xml:space="preserve">leictreoir [m]</t>
  </si>
  <si>
    <t xml:space="preserve">V1792</t>
  </si>
  <si>
    <t xml:space="preserve">meicneoir</t>
  </si>
  <si>
    <t xml:space="preserve">mechanic</t>
  </si>
  <si>
    <t xml:space="preserve">meicneoir [nm]</t>
  </si>
  <si>
    <t xml:space="preserve">V1793</t>
  </si>
  <si>
    <t xml:space="preserve">míniú</t>
  </si>
  <si>
    <t xml:space="preserve">explanation</t>
  </si>
  <si>
    <t xml:space="preserve">míniú [m]</t>
  </si>
  <si>
    <t xml:space="preserve">V1794</t>
  </si>
  <si>
    <t xml:space="preserve">muinín</t>
  </si>
  <si>
    <t xml:space="preserve">trust, confidence</t>
  </si>
  <si>
    <t xml:space="preserve">V1795</t>
  </si>
  <si>
    <t xml:space="preserve">níl na háiseanna go maith ann</t>
  </si>
  <si>
    <t xml:space="preserve">it is badly equipped</t>
  </si>
  <si>
    <t xml:space="preserve">V1796</t>
  </si>
  <si>
    <t xml:space="preserve">V1797</t>
  </si>
  <si>
    <t xml:space="preserve">obair i mbanc</t>
  </si>
  <si>
    <t xml:space="preserve">work in a bank</t>
  </si>
  <si>
    <t xml:space="preserve">V1798</t>
  </si>
  <si>
    <t xml:space="preserve">pluiméir</t>
  </si>
  <si>
    <t xml:space="preserve">plumber</t>
  </si>
  <si>
    <t xml:space="preserve">pluiméir [m]</t>
  </si>
  <si>
    <t xml:space="preserve">V1799</t>
  </si>
  <si>
    <t xml:space="preserve">póilín, garda</t>
  </si>
  <si>
    <t xml:space="preserve">policeman</t>
  </si>
  <si>
    <t xml:space="preserve">póilín [m], garda [m]</t>
  </si>
  <si>
    <t xml:space="preserve">V1800</t>
  </si>
  <si>
    <t xml:space="preserve">poitigéir</t>
  </si>
  <si>
    <t xml:space="preserve">pharmacist</t>
  </si>
  <si>
    <t xml:space="preserve">poitigéir [nm]</t>
  </si>
  <si>
    <t xml:space="preserve">V1801</t>
  </si>
  <si>
    <t xml:space="preserve">printíseach</t>
  </si>
  <si>
    <t xml:space="preserve">apprentice</t>
  </si>
  <si>
    <t xml:space="preserve">V1802</t>
  </si>
  <si>
    <t xml:space="preserve">printíseacht</t>
  </si>
  <si>
    <t xml:space="preserve">apprenticeship</t>
  </si>
  <si>
    <t xml:space="preserve">V1803</t>
  </si>
  <si>
    <t xml:space="preserve">rinne sé le fonn é</t>
  </si>
  <si>
    <t xml:space="preserve">he did it with enthusiasm</t>
  </si>
  <si>
    <t xml:space="preserve">V1804</t>
  </si>
  <si>
    <t xml:space="preserve">ríomhaireacht [m]</t>
  </si>
  <si>
    <t xml:space="preserve">V1805</t>
  </si>
  <si>
    <t xml:space="preserve">ríomhchláraitheoir</t>
  </si>
  <si>
    <t xml:space="preserve">programmer</t>
  </si>
  <si>
    <t xml:space="preserve">ríomhchláraitheoir [m]</t>
  </si>
  <si>
    <t xml:space="preserve">V1806</t>
  </si>
  <si>
    <t xml:space="preserve">faculty, department</t>
  </si>
  <si>
    <t xml:space="preserve">V1807</t>
  </si>
  <si>
    <t xml:space="preserve">rúnaí</t>
  </si>
  <si>
    <t xml:space="preserve">secretary</t>
  </si>
  <si>
    <t xml:space="preserve">rúnaí [m]</t>
  </si>
  <si>
    <t xml:space="preserve">V1808</t>
  </si>
  <si>
    <t xml:space="preserve">tá áiseanna maithe ann</t>
  </si>
  <si>
    <t xml:space="preserve">it is well equipped</t>
  </si>
  <si>
    <t xml:space="preserve">V1809</t>
  </si>
  <si>
    <t xml:space="preserve">tá barraíocht ann</t>
  </si>
  <si>
    <t xml:space="preserve">it is overloaded</t>
  </si>
  <si>
    <t xml:space="preserve">V1810</t>
  </si>
  <si>
    <t xml:space="preserve">tá mo dheartháir ina ...</t>
  </si>
  <si>
    <t xml:space="preserve">my brother is a …</t>
  </si>
  <si>
    <t xml:space="preserve">V1811</t>
  </si>
  <si>
    <t xml:space="preserve">tasc</t>
  </si>
  <si>
    <t xml:space="preserve">task</t>
  </si>
  <si>
    <t xml:space="preserve">tasc [m]</t>
  </si>
  <si>
    <t xml:space="preserve">V1812</t>
  </si>
  <si>
    <t xml:space="preserve">téama</t>
  </si>
  <si>
    <t xml:space="preserve">theme</t>
  </si>
  <si>
    <t xml:space="preserve">téama [m]</t>
  </si>
  <si>
    <t xml:space="preserve">V1813</t>
  </si>
  <si>
    <t xml:space="preserve">teastas</t>
  </si>
  <si>
    <t xml:space="preserve">certificate</t>
  </si>
  <si>
    <t xml:space="preserve">teastas [m]</t>
  </si>
  <si>
    <t xml:space="preserve">V1814</t>
  </si>
  <si>
    <t xml:space="preserve">teicneoir</t>
  </si>
  <si>
    <t xml:space="preserve">technician</t>
  </si>
  <si>
    <t xml:space="preserve">teicneoir [m]</t>
  </si>
  <si>
    <t xml:space="preserve">V1815</t>
  </si>
  <si>
    <t xml:space="preserve">driver</t>
  </si>
  <si>
    <t xml:space="preserve">tiománaí [nm]</t>
  </si>
  <si>
    <t xml:space="preserve">V1816</t>
  </si>
  <si>
    <t xml:space="preserve">torthaí scrúduithe</t>
  </si>
  <si>
    <t xml:space="preserve">exam results</t>
  </si>
  <si>
    <t xml:space="preserve">V1817</t>
  </si>
  <si>
    <t xml:space="preserve">tréitheach</t>
  </si>
  <si>
    <t xml:space="preserve">gifted</t>
  </si>
  <si>
    <t xml:space="preserve">V1818</t>
  </si>
  <si>
    <t xml:space="preserve">tuarastal</t>
  </si>
  <si>
    <t xml:space="preserve">salary</t>
  </si>
  <si>
    <t xml:space="preserve">tuarastal [m]</t>
  </si>
  <si>
    <t xml:space="preserve">V1819</t>
  </si>
  <si>
    <t xml:space="preserve">bain amach (ag baint amach)</t>
  </si>
  <si>
    <t xml:space="preserve">bain amach</t>
  </si>
  <si>
    <t xml:space="preserve">ag baint amach</t>
  </si>
  <si>
    <t xml:space="preserve">to arrive (arriving)</t>
  </si>
  <si>
    <t xml:space="preserve">V1820</t>
  </si>
  <si>
    <t xml:space="preserve">beir ar (ag breith ar)</t>
  </si>
  <si>
    <t xml:space="preserve">beir ar</t>
  </si>
  <si>
    <t xml:space="preserve">ag breith ar</t>
  </si>
  <si>
    <t xml:space="preserve">to catch (catching)</t>
  </si>
  <si>
    <t xml:space="preserve">V1821</t>
  </si>
  <si>
    <t xml:space="preserve">ceangail le (ag ceangal le)</t>
  </si>
  <si>
    <t xml:space="preserve">ceangail le</t>
  </si>
  <si>
    <t xml:space="preserve">ag ceangal le</t>
  </si>
  <si>
    <t xml:space="preserve">to attach (attaching)</t>
  </si>
  <si>
    <t xml:space="preserve">V1822</t>
  </si>
  <si>
    <t xml:space="preserve">cuir ar fáil (ag cur ar fáil)</t>
  </si>
  <si>
    <t xml:space="preserve">cuir ar fáil</t>
  </si>
  <si>
    <t xml:space="preserve">ag cur ar fáil</t>
  </si>
  <si>
    <t xml:space="preserve">to make available (making available)</t>
  </si>
  <si>
    <t xml:space="preserve">V1823</t>
  </si>
  <si>
    <t xml:space="preserve">cuir bac ar (ag cur baic ar)</t>
  </si>
  <si>
    <t xml:space="preserve">cuir bac ar</t>
  </si>
  <si>
    <t xml:space="preserve">ag cur baic ar</t>
  </si>
  <si>
    <t xml:space="preserve">to prevent (preventing)</t>
  </si>
  <si>
    <t xml:space="preserve">V1824</t>
  </si>
  <si>
    <t xml:space="preserve">cuir iarratas isteach ar (ag cur iarratais isteach ar)</t>
  </si>
  <si>
    <t xml:space="preserve">cuir iarratas isteach ar</t>
  </si>
  <si>
    <t xml:space="preserve">ag cur iarratais isteach ar</t>
  </si>
  <si>
    <t xml:space="preserve">to submit an application for (submitting an application for)</t>
  </si>
  <si>
    <t xml:space="preserve">V1825</t>
  </si>
  <si>
    <t xml:space="preserve">cuir i gcuimhne (ag cur i gcuimhne)</t>
  </si>
  <si>
    <t xml:space="preserve">cuir i gcuimhne</t>
  </si>
  <si>
    <t xml:space="preserve">ag cur i gcuimhne</t>
  </si>
  <si>
    <t xml:space="preserve">to remind (reminding)</t>
  </si>
  <si>
    <t xml:space="preserve">V1826</t>
  </si>
  <si>
    <t xml:space="preserve">dáil (ag dáileadh), roinn (ag roinnt)</t>
  </si>
  <si>
    <t xml:space="preserve">dáil , roinn (ag roinnt)</t>
  </si>
  <si>
    <t xml:space="preserve">ag dáileadh</t>
  </si>
  <si>
    <t xml:space="preserve">to distribute (distributing)</t>
  </si>
  <si>
    <t xml:space="preserve">V1827</t>
  </si>
  <si>
    <t xml:space="preserve">to become (becoming)</t>
  </si>
  <si>
    <t xml:space="preserve">V1828</t>
  </si>
  <si>
    <t xml:space="preserve">soláthair (ag soláthar)</t>
  </si>
  <si>
    <t xml:space="preserve">soláthair</t>
  </si>
  <si>
    <t xml:space="preserve">ag soláthar</t>
  </si>
  <si>
    <t xml:space="preserve">to deliver (delivering)</t>
  </si>
  <si>
    <t xml:space="preserve">V1829</t>
  </si>
  <si>
    <t xml:space="preserve">to arrange (arranging)</t>
  </si>
  <si>
    <t xml:space="preserve">V1830</t>
  </si>
  <si>
    <t xml:space="preserve">socraigh ar (ag socrú ar)</t>
  </si>
  <si>
    <t xml:space="preserve">socraigh ar</t>
  </si>
  <si>
    <t xml:space="preserve">ag socrú ar</t>
  </si>
  <si>
    <t xml:space="preserve">to decide (deciding)</t>
  </si>
  <si>
    <t xml:space="preserve">V1831</t>
  </si>
  <si>
    <t xml:space="preserve">amaideach</t>
  </si>
  <si>
    <t xml:space="preserve">silly</t>
  </si>
  <si>
    <t xml:space="preserve">Adjectives (common)</t>
  </si>
  <si>
    <t xml:space="preserve">V1832</t>
  </si>
  <si>
    <t xml:space="preserve">amaideach, seafóideach</t>
  </si>
  <si>
    <t xml:space="preserve">ridiculous</t>
  </si>
  <si>
    <t xml:space="preserve">V1833</t>
  </si>
  <si>
    <t xml:space="preserve">great</t>
  </si>
  <si>
    <t xml:space="preserve">V1834</t>
  </si>
  <si>
    <t xml:space="preserve">casta</t>
  </si>
  <si>
    <t xml:space="preserve">complicated</t>
  </si>
  <si>
    <t xml:space="preserve">V1835</t>
  </si>
  <si>
    <t xml:space="preserve">ciapach</t>
  </si>
  <si>
    <t xml:space="preserve">annoying</t>
  </si>
  <si>
    <t xml:space="preserve">V1836</t>
  </si>
  <si>
    <t xml:space="preserve">cliste</t>
  </si>
  <si>
    <t xml:space="preserve">V1837</t>
  </si>
  <si>
    <t xml:space="preserve">corraitheach</t>
  </si>
  <si>
    <t xml:space="preserve">exciting</t>
  </si>
  <si>
    <t xml:space="preserve">V1838</t>
  </si>
  <si>
    <t xml:space="preserve">dáiríre</t>
  </si>
  <si>
    <t xml:space="preserve">serious</t>
  </si>
  <si>
    <t xml:space="preserve">V1839</t>
  </si>
  <si>
    <t xml:space="preserve">V1840</t>
  </si>
  <si>
    <t xml:space="preserve">deas</t>
  </si>
  <si>
    <t xml:space="preserve">nice</t>
  </si>
  <si>
    <t xml:space="preserve">V1841</t>
  </si>
  <si>
    <t xml:space="preserve">dochreidte</t>
  </si>
  <si>
    <t xml:space="preserve">incredible</t>
  </si>
  <si>
    <t xml:space="preserve">V1842</t>
  </si>
  <si>
    <t xml:space="preserve">foirfe</t>
  </si>
  <si>
    <t xml:space="preserve">perfect</t>
  </si>
  <si>
    <t xml:space="preserve">V1843</t>
  </si>
  <si>
    <t xml:space="preserve">furasta</t>
  </si>
  <si>
    <t xml:space="preserve">easy</t>
  </si>
  <si>
    <t xml:space="preserve">V1844</t>
  </si>
  <si>
    <t xml:space="preserve">gleoite</t>
  </si>
  <si>
    <t xml:space="preserve">pretty</t>
  </si>
  <si>
    <t xml:space="preserve">V1845</t>
  </si>
  <si>
    <t xml:space="preserve">V1846</t>
  </si>
  <si>
    <t xml:space="preserve">V1847</t>
  </si>
  <si>
    <t xml:space="preserve">lag</t>
  </si>
  <si>
    <t xml:space="preserve">weak</t>
  </si>
  <si>
    <t xml:space="preserve">V1848</t>
  </si>
  <si>
    <t xml:space="preserve">V1849</t>
  </si>
  <si>
    <t xml:space="preserve">tá mé dubh dóite</t>
  </si>
  <si>
    <t xml:space="preserve">I am fed up</t>
  </si>
  <si>
    <t xml:space="preserve">V1850</t>
  </si>
  <si>
    <t xml:space="preserve">lúcháireach</t>
  </si>
  <si>
    <t xml:space="preserve">delighted</t>
  </si>
  <si>
    <t xml:space="preserve">V1851</t>
  </si>
  <si>
    <t xml:space="preserve">tá lúcháir an domhain orm</t>
  </si>
  <si>
    <t xml:space="preserve">I am delighted</t>
  </si>
  <si>
    <t xml:space="preserve">V1852</t>
  </si>
  <si>
    <t xml:space="preserve">mí-éifeachtach, gan mhaith</t>
  </si>
  <si>
    <t xml:space="preserve">useless</t>
  </si>
  <si>
    <t xml:space="preserve">V1853</t>
  </si>
  <si>
    <t xml:space="preserve">millteanach, uafásach</t>
  </si>
  <si>
    <t xml:space="preserve">awful</t>
  </si>
  <si>
    <t xml:space="preserve">V1854</t>
  </si>
  <si>
    <t xml:space="preserve">míthaitneamhach</t>
  </si>
  <si>
    <t xml:space="preserve">unpleasant</t>
  </si>
  <si>
    <t xml:space="preserve">V1855</t>
  </si>
  <si>
    <t xml:space="preserve">múinte</t>
  </si>
  <si>
    <t xml:space="preserve">well-behaved</t>
  </si>
  <si>
    <t xml:space="preserve">V1856</t>
  </si>
  <si>
    <t xml:space="preserve">new</t>
  </si>
  <si>
    <t xml:space="preserve">V1857</t>
  </si>
  <si>
    <t xml:space="preserve">olc, droch-</t>
  </si>
  <si>
    <t xml:space="preserve">bad</t>
  </si>
  <si>
    <t xml:space="preserve">V1858</t>
  </si>
  <si>
    <t xml:space="preserve">pléisiúrtha</t>
  </si>
  <si>
    <t xml:space="preserve">pleasant</t>
  </si>
  <si>
    <t xml:space="preserve">V1859</t>
  </si>
  <si>
    <t xml:space="preserve">praiticiúil</t>
  </si>
  <si>
    <t xml:space="preserve">practical</t>
  </si>
  <si>
    <t xml:space="preserve">V1860</t>
  </si>
  <si>
    <t xml:space="preserve">suimiúil</t>
  </si>
  <si>
    <t xml:space="preserve">V1861</t>
  </si>
  <si>
    <t xml:space="preserve">tá iontas orm</t>
  </si>
  <si>
    <t xml:space="preserve">I am amazed, I am astonished</t>
  </si>
  <si>
    <t xml:space="preserve">V1862</t>
  </si>
  <si>
    <t xml:space="preserve">thar barr, ar fheabhas</t>
  </si>
  <si>
    <t xml:space="preserve">marvellous, sensational</t>
  </si>
  <si>
    <t xml:space="preserve">V1863</t>
  </si>
  <si>
    <t xml:space="preserve">úsáideach</t>
  </si>
  <si>
    <t xml:space="preserve">useful</t>
  </si>
  <si>
    <t xml:space="preserve">V1864</t>
  </si>
  <si>
    <t xml:space="preserve">a lán, cuid mhaith</t>
  </si>
  <si>
    <t xml:space="preserve">lots</t>
  </si>
  <si>
    <t xml:space="preserve">Comparatives</t>
  </si>
  <si>
    <t xml:space="preserve">V1865</t>
  </si>
  <si>
    <t xml:space="preserve">an chuid is fearr</t>
  </si>
  <si>
    <t xml:space="preserve">best</t>
  </si>
  <si>
    <t xml:space="preserve">V1866</t>
  </si>
  <si>
    <t xml:space="preserve">an … is fearr</t>
  </si>
  <si>
    <t xml:space="preserve">the best …</t>
  </si>
  <si>
    <t xml:space="preserve">V1867</t>
  </si>
  <si>
    <t xml:space="preserve">an chuid is mó</t>
  </si>
  <si>
    <t xml:space="preserve">the most</t>
  </si>
  <si>
    <t xml:space="preserve">V1868</t>
  </si>
  <si>
    <t xml:space="preserve">an … is lú</t>
  </si>
  <si>
    <t xml:space="preserve">the least …</t>
  </si>
  <si>
    <t xml:space="preserve">V1869</t>
  </si>
  <si>
    <t xml:space="preserve">an … is measa</t>
  </si>
  <si>
    <t xml:space="preserve">the worst …</t>
  </si>
  <si>
    <t xml:space="preserve">V1870</t>
  </si>
  <si>
    <t xml:space="preserve">go breá</t>
  </si>
  <si>
    <t xml:space="preserve">V1871</t>
  </si>
  <si>
    <t xml:space="preserve">(go h)olc</t>
  </si>
  <si>
    <t xml:space="preserve">bad(ly)</t>
  </si>
  <si>
    <t xml:space="preserve">V1872</t>
  </si>
  <si>
    <t xml:space="preserve">go maith</t>
  </si>
  <si>
    <t xml:space="preserve">good, well</t>
  </si>
  <si>
    <t xml:space="preserve">V1873</t>
  </si>
  <si>
    <t xml:space="preserve">is lú</t>
  </si>
  <si>
    <t xml:space="preserve">less</t>
  </si>
  <si>
    <t xml:space="preserve">V1874</t>
  </si>
  <si>
    <t xml:space="preserve">níos fearr</t>
  </si>
  <si>
    <t xml:space="preserve">better</t>
  </si>
  <si>
    <t xml:space="preserve">V1875</t>
  </si>
  <si>
    <t xml:space="preserve">níos lú ná</t>
  </si>
  <si>
    <t xml:space="preserve">less than</t>
  </si>
  <si>
    <t xml:space="preserve">V1876</t>
  </si>
  <si>
    <t xml:space="preserve">níos measa</t>
  </si>
  <si>
    <t xml:space="preserve">worse</t>
  </si>
  <si>
    <t xml:space="preserve">V1877</t>
  </si>
  <si>
    <t xml:space="preserve">níos mó</t>
  </si>
  <si>
    <t xml:space="preserve">more</t>
  </si>
  <si>
    <t xml:space="preserve">V1878</t>
  </si>
  <si>
    <t xml:space="preserve">níos mó ná</t>
  </si>
  <si>
    <t xml:space="preserve">more than</t>
  </si>
  <si>
    <t xml:space="preserve">V1879</t>
  </si>
  <si>
    <t xml:space="preserve">Conjunctions and connectives</t>
  </si>
  <si>
    <t xml:space="preserve">V1880</t>
  </si>
  <si>
    <t xml:space="preserve">V1881</t>
  </si>
  <si>
    <t xml:space="preserve">V1882</t>
  </si>
  <si>
    <t xml:space="preserve">an chéad … eile</t>
  </si>
  <si>
    <t xml:space="preserve">the next …</t>
  </si>
  <si>
    <t xml:space="preserve">V1883</t>
  </si>
  <si>
    <t xml:space="preserve">then</t>
  </si>
  <si>
    <t xml:space="preserve">V1884</t>
  </si>
  <si>
    <t xml:space="preserve">ar an dóigh seo</t>
  </si>
  <si>
    <t xml:space="preserve">thus</t>
  </si>
  <si>
    <t xml:space="preserve">V1885</t>
  </si>
  <si>
    <t xml:space="preserve">ar an taobh eile den scéal</t>
  </si>
  <si>
    <t xml:space="preserve">on the other hand</t>
  </si>
  <si>
    <t xml:space="preserve">V1886</t>
  </si>
  <si>
    <t xml:space="preserve">ar scor ar bith, ar chor ar bith</t>
  </si>
  <si>
    <t xml:space="preserve">V1887</t>
  </si>
  <si>
    <t xml:space="preserve">ar son</t>
  </si>
  <si>
    <t xml:space="preserve">on behalf of</t>
  </si>
  <si>
    <t xml:space="preserve">V1888</t>
  </si>
  <si>
    <t xml:space="preserve">ar thaobh amháin</t>
  </si>
  <si>
    <t xml:space="preserve">on the one hand</t>
  </si>
  <si>
    <t xml:space="preserve">V1889</t>
  </si>
  <si>
    <t xml:space="preserve">dá bhrí sin</t>
  </si>
  <si>
    <t xml:space="preserve">therefore</t>
  </si>
  <si>
    <t xml:space="preserve">V1890</t>
  </si>
  <si>
    <t xml:space="preserve">do</t>
  </si>
  <si>
    <t xml:space="preserve">for</t>
  </si>
  <si>
    <t xml:space="preserve">V1891</t>
  </si>
  <si>
    <t xml:space="preserve">fiú</t>
  </si>
  <si>
    <t xml:space="preserve">even if</t>
  </si>
  <si>
    <t xml:space="preserve">V1892</t>
  </si>
  <si>
    <t xml:space="preserve">fiú ansin</t>
  </si>
  <si>
    <t xml:space="preserve">even then</t>
  </si>
  <si>
    <t xml:space="preserve">V1893</t>
  </si>
  <si>
    <t xml:space="preserve">fosta, chomh maith leis sin</t>
  </si>
  <si>
    <t xml:space="preserve">also</t>
  </si>
  <si>
    <t xml:space="preserve">V1894</t>
  </si>
  <si>
    <t xml:space="preserve">gan amhras</t>
  </si>
  <si>
    <t xml:space="preserve">without doubt</t>
  </si>
  <si>
    <t xml:space="preserve">V1895</t>
  </si>
  <si>
    <t xml:space="preserve">ina dhiaidh sin</t>
  </si>
  <si>
    <t xml:space="preserve">V1896</t>
  </si>
  <si>
    <t xml:space="preserve">is léir</t>
  </si>
  <si>
    <t xml:space="preserve">obviously</t>
  </si>
  <si>
    <t xml:space="preserve">V1897</t>
  </si>
  <si>
    <t xml:space="preserve">má</t>
  </si>
  <si>
    <t xml:space="preserve">if</t>
  </si>
  <si>
    <t xml:space="preserve">V1898</t>
  </si>
  <si>
    <t xml:space="preserve">mar</t>
  </si>
  <si>
    <t xml:space="preserve">as</t>
  </si>
  <si>
    <t xml:space="preserve">V1899</t>
  </si>
  <si>
    <t xml:space="preserve">mar gheall ar</t>
  </si>
  <si>
    <t xml:space="preserve">because of</t>
  </si>
  <si>
    <t xml:space="preserve">V1900</t>
  </si>
  <si>
    <t xml:space="preserve">mar shampla</t>
  </si>
  <si>
    <t xml:space="preserve">for example</t>
  </si>
  <si>
    <t xml:space="preserve">V1901</t>
  </si>
  <si>
    <t xml:space="preserve">mar sin de</t>
  </si>
  <si>
    <t xml:space="preserve">so</t>
  </si>
  <si>
    <t xml:space="preserve">V1902</t>
  </si>
  <si>
    <t xml:space="preserve">nó</t>
  </si>
  <si>
    <t xml:space="preserve">or</t>
  </si>
  <si>
    <t xml:space="preserve">V1903</t>
  </si>
  <si>
    <t xml:space="preserve">nuair a</t>
  </si>
  <si>
    <t xml:space="preserve">when</t>
  </si>
  <si>
    <t xml:space="preserve">V1904</t>
  </si>
  <si>
    <t xml:space="preserve">nuair a, fad a</t>
  </si>
  <si>
    <t xml:space="preserve">while</t>
  </si>
  <si>
    <t xml:space="preserve">V1905</t>
  </si>
  <si>
    <t xml:space="preserve">ó</t>
  </si>
  <si>
    <t xml:space="preserve">since</t>
  </si>
  <si>
    <t xml:space="preserve">V1906</t>
  </si>
  <si>
    <t xml:space="preserve">san áireamh</t>
  </si>
  <si>
    <t xml:space="preserve">including</t>
  </si>
  <si>
    <t xml:space="preserve">V1907</t>
  </si>
  <si>
    <t xml:space="preserve">sin</t>
  </si>
  <si>
    <t xml:space="preserve">that</t>
  </si>
  <si>
    <t xml:space="preserve">V1908</t>
  </si>
  <si>
    <t xml:space="preserve">sin ráite</t>
  </si>
  <si>
    <t xml:space="preserve">having said that</t>
  </si>
  <si>
    <t xml:space="preserve">V1909</t>
  </si>
  <si>
    <t xml:space="preserve">Days, months, seasons</t>
  </si>
  <si>
    <t xml:space="preserve">Days</t>
  </si>
  <si>
    <t xml:space="preserve">V1910</t>
  </si>
  <si>
    <t xml:space="preserve">V1911</t>
  </si>
  <si>
    <t xml:space="preserve">V1912</t>
  </si>
  <si>
    <t xml:space="preserve">V1913</t>
  </si>
  <si>
    <t xml:space="preserve">V1914</t>
  </si>
  <si>
    <t xml:space="preserve">V1915</t>
  </si>
  <si>
    <t xml:space="preserve">V1916</t>
  </si>
  <si>
    <t xml:space="preserve">V1917</t>
  </si>
  <si>
    <t xml:space="preserve">an Déardaoin</t>
  </si>
  <si>
    <t xml:space="preserve">V1918</t>
  </si>
  <si>
    <t xml:space="preserve">on Thursday</t>
  </si>
  <si>
    <t xml:space="preserve">V1919</t>
  </si>
  <si>
    <t xml:space="preserve">V1920</t>
  </si>
  <si>
    <t xml:space="preserve">V1921</t>
  </si>
  <si>
    <t xml:space="preserve">V1922</t>
  </si>
  <si>
    <t xml:space="preserve">V1923</t>
  </si>
  <si>
    <t xml:space="preserve">Eanáir</t>
  </si>
  <si>
    <t xml:space="preserve">Months</t>
  </si>
  <si>
    <t xml:space="preserve">Eanáir [m]</t>
  </si>
  <si>
    <t xml:space="preserve">V1924</t>
  </si>
  <si>
    <t xml:space="preserve">mí Eanáir</t>
  </si>
  <si>
    <t xml:space="preserve">the month of January</t>
  </si>
  <si>
    <t xml:space="preserve">V1925</t>
  </si>
  <si>
    <t xml:space="preserve">Feabhra</t>
  </si>
  <si>
    <t xml:space="preserve">V1926</t>
  </si>
  <si>
    <t xml:space="preserve">mí Feabhra</t>
  </si>
  <si>
    <t xml:space="preserve">the month of February</t>
  </si>
  <si>
    <t xml:space="preserve">V1927</t>
  </si>
  <si>
    <t xml:space="preserve">V1928</t>
  </si>
  <si>
    <t xml:space="preserve">mí an Mhárta</t>
  </si>
  <si>
    <t xml:space="preserve">the month of March</t>
  </si>
  <si>
    <t xml:space="preserve">V1929</t>
  </si>
  <si>
    <t xml:space="preserve">Aibreán</t>
  </si>
  <si>
    <t xml:space="preserve">Aibreán [m]</t>
  </si>
  <si>
    <t xml:space="preserve">V1930</t>
  </si>
  <si>
    <t xml:space="preserve">mí Aibreáin</t>
  </si>
  <si>
    <t xml:space="preserve">the month of April</t>
  </si>
  <si>
    <t xml:space="preserve">V1931</t>
  </si>
  <si>
    <t xml:space="preserve">Bealtaine</t>
  </si>
  <si>
    <t xml:space="preserve">V1932</t>
  </si>
  <si>
    <t xml:space="preserve">mí na Bealtaine</t>
  </si>
  <si>
    <t xml:space="preserve">the month of May</t>
  </si>
  <si>
    <t xml:space="preserve">V1933</t>
  </si>
  <si>
    <t xml:space="preserve">Meitheamh</t>
  </si>
  <si>
    <t xml:space="preserve">Meitheamh [m]</t>
  </si>
  <si>
    <t xml:space="preserve">V1934</t>
  </si>
  <si>
    <t xml:space="preserve">mí an Mheithimh</t>
  </si>
  <si>
    <t xml:space="preserve">the month of June</t>
  </si>
  <si>
    <t xml:space="preserve">V1935</t>
  </si>
  <si>
    <t xml:space="preserve">Iúil</t>
  </si>
  <si>
    <t xml:space="preserve">Iúil [m]</t>
  </si>
  <si>
    <t xml:space="preserve">V1936</t>
  </si>
  <si>
    <t xml:space="preserve">mí Iúil</t>
  </si>
  <si>
    <t xml:space="preserve">the month of July</t>
  </si>
  <si>
    <t xml:space="preserve">V1937</t>
  </si>
  <si>
    <t xml:space="preserve">Lúnasa</t>
  </si>
  <si>
    <t xml:space="preserve">Lúnasa [m]</t>
  </si>
  <si>
    <t xml:space="preserve">V1938</t>
  </si>
  <si>
    <t xml:space="preserve">mí Lúnasa</t>
  </si>
  <si>
    <t xml:space="preserve">the month of August</t>
  </si>
  <si>
    <t xml:space="preserve">V1939</t>
  </si>
  <si>
    <t xml:space="preserve">Meán Fómhair</t>
  </si>
  <si>
    <t xml:space="preserve">Meán Fómhair [m]</t>
  </si>
  <si>
    <t xml:space="preserve">V1940</t>
  </si>
  <si>
    <t xml:space="preserve">mí Mheán Fómhair</t>
  </si>
  <si>
    <t xml:space="preserve">the month of September</t>
  </si>
  <si>
    <t xml:space="preserve">V1941</t>
  </si>
  <si>
    <t xml:space="preserve">Deireadh Fómhair</t>
  </si>
  <si>
    <t xml:space="preserve">Deireadh Fómhair [m]</t>
  </si>
  <si>
    <t xml:space="preserve">V1942</t>
  </si>
  <si>
    <t xml:space="preserve">mí Dheireadh Fómhair</t>
  </si>
  <si>
    <t xml:space="preserve">the month of October</t>
  </si>
  <si>
    <t xml:space="preserve">V1943</t>
  </si>
  <si>
    <t xml:space="preserve">V1944</t>
  </si>
  <si>
    <t xml:space="preserve">mí na Samhna</t>
  </si>
  <si>
    <t xml:space="preserve">the month of November</t>
  </si>
  <si>
    <t xml:space="preserve">V1945</t>
  </si>
  <si>
    <t xml:space="preserve">Nollaig</t>
  </si>
  <si>
    <t xml:space="preserve">December</t>
  </si>
  <si>
    <t xml:space="preserve">V1946</t>
  </si>
  <si>
    <t xml:space="preserve">mí na Nollag</t>
  </si>
  <si>
    <t xml:space="preserve">the month of December</t>
  </si>
  <si>
    <t xml:space="preserve">V1947</t>
  </si>
  <si>
    <t xml:space="preserve">Seasons</t>
  </si>
  <si>
    <t xml:space="preserve">V1948</t>
  </si>
  <si>
    <t xml:space="preserve">V1949</t>
  </si>
  <si>
    <t xml:space="preserve">V1950</t>
  </si>
  <si>
    <t xml:space="preserve">V1951</t>
  </si>
  <si>
    <t xml:space="preserve">bán</t>
  </si>
  <si>
    <t xml:space="preserve">white</t>
  </si>
  <si>
    <t xml:space="preserve">Simile</t>
  </si>
  <si>
    <t xml:space="preserve">V1952</t>
  </si>
  <si>
    <t xml:space="preserve">bándearg</t>
  </si>
  <si>
    <t xml:space="preserve">pink</t>
  </si>
  <si>
    <t xml:space="preserve">V1953</t>
  </si>
  <si>
    <t xml:space="preserve">buí</t>
  </si>
  <si>
    <t xml:space="preserve">yellow</t>
  </si>
  <si>
    <t xml:space="preserve">V1954</t>
  </si>
  <si>
    <t xml:space="preserve">V1955</t>
  </si>
  <si>
    <t xml:space="preserve">ciorcal</t>
  </si>
  <si>
    <t xml:space="preserve">circle</t>
  </si>
  <si>
    <t xml:space="preserve">ciorcal [m]</t>
  </si>
  <si>
    <t xml:space="preserve">V1956</t>
  </si>
  <si>
    <t xml:space="preserve">cnódhonn, donnrua</t>
  </si>
  <si>
    <t xml:space="preserve">chestnut (hair)</t>
  </si>
  <si>
    <t xml:space="preserve">V1957</t>
  </si>
  <si>
    <t xml:space="preserve">corcra</t>
  </si>
  <si>
    <t xml:space="preserve">purple</t>
  </si>
  <si>
    <t xml:space="preserve">V1958</t>
  </si>
  <si>
    <t xml:space="preserve">cruinn</t>
  </si>
  <si>
    <t xml:space="preserve">round</t>
  </si>
  <si>
    <t xml:space="preserve">V1959</t>
  </si>
  <si>
    <t xml:space="preserve">cruth</t>
  </si>
  <si>
    <t xml:space="preserve">shape</t>
  </si>
  <si>
    <t xml:space="preserve">V1960</t>
  </si>
  <si>
    <t xml:space="preserve">cruthanna</t>
  </si>
  <si>
    <t xml:space="preserve">shapes</t>
  </si>
  <si>
    <t xml:space="preserve">V1961</t>
  </si>
  <si>
    <t xml:space="preserve">dearg</t>
  </si>
  <si>
    <t xml:space="preserve">red</t>
  </si>
  <si>
    <t xml:space="preserve">V1962</t>
  </si>
  <si>
    <t xml:space="preserve">donn</t>
  </si>
  <si>
    <t xml:space="preserve">brown</t>
  </si>
  <si>
    <t xml:space="preserve">V1963</t>
  </si>
  <si>
    <t xml:space="preserve">donnfhionn</t>
  </si>
  <si>
    <t xml:space="preserve">light brown</t>
  </si>
  <si>
    <t xml:space="preserve">V1964</t>
  </si>
  <si>
    <t xml:space="preserve">dark</t>
  </si>
  <si>
    <t xml:space="preserve">V1965</t>
  </si>
  <si>
    <t xml:space="preserve">dubh</t>
  </si>
  <si>
    <t xml:space="preserve">black</t>
  </si>
  <si>
    <t xml:space="preserve">V1966</t>
  </si>
  <si>
    <t xml:space="preserve">blond</t>
  </si>
  <si>
    <t xml:space="preserve">V1967</t>
  </si>
  <si>
    <t xml:space="preserve">V1968</t>
  </si>
  <si>
    <t xml:space="preserve">V1969</t>
  </si>
  <si>
    <t xml:space="preserve">leamh, leadránach</t>
  </si>
  <si>
    <t xml:space="preserve">dull, boring</t>
  </si>
  <si>
    <t xml:space="preserve">V1970</t>
  </si>
  <si>
    <t xml:space="preserve">V1971</t>
  </si>
  <si>
    <t xml:space="preserve">V1972</t>
  </si>
  <si>
    <t xml:space="preserve">ginger, red-haired</t>
  </si>
  <si>
    <t xml:space="preserve">V1973</t>
  </si>
  <si>
    <t xml:space="preserve">ar ndóigh</t>
  </si>
  <si>
    <t xml:space="preserve">of course</t>
  </si>
  <si>
    <t xml:space="preserve">Greetings</t>
  </si>
  <si>
    <t xml:space="preserve">V1974</t>
  </si>
  <si>
    <t xml:space="preserve">bain sult as do bhéile</t>
  </si>
  <si>
    <t xml:space="preserve">enjoy your meal</t>
  </si>
  <si>
    <t xml:space="preserve">V1975</t>
  </si>
  <si>
    <t xml:space="preserve">Breithlá sona duit!</t>
  </si>
  <si>
    <t xml:space="preserve">V1976</t>
  </si>
  <si>
    <t xml:space="preserve">ceart go leor</t>
  </si>
  <si>
    <t xml:space="preserve">okay</t>
  </si>
  <si>
    <t xml:space="preserve">V1977</t>
  </si>
  <si>
    <t xml:space="preserve">sure</t>
  </si>
  <si>
    <t xml:space="preserve">V1978</t>
  </si>
  <si>
    <t xml:space="preserve">cuidigh liom</t>
  </si>
  <si>
    <t xml:space="preserve">help</t>
  </si>
  <si>
    <t xml:space="preserve">V1979</t>
  </si>
  <si>
    <t xml:space="preserve">Dia daoibh</t>
  </si>
  <si>
    <t xml:space="preserve">hello (plural)</t>
  </si>
  <si>
    <t xml:space="preserve">V1980</t>
  </si>
  <si>
    <t xml:space="preserve">Dia duit</t>
  </si>
  <si>
    <t xml:space="preserve">hello</t>
  </si>
  <si>
    <t xml:space="preserve">V1981</t>
  </si>
  <si>
    <t xml:space="preserve">Dia’s Muire daoibh</t>
  </si>
  <si>
    <t xml:space="preserve">V1982</t>
  </si>
  <si>
    <t xml:space="preserve">Dia’s Muire duit</t>
  </si>
  <si>
    <t xml:space="preserve">V1983</t>
  </si>
  <si>
    <t xml:space="preserve">fáilte romhaibh</t>
  </si>
  <si>
    <t xml:space="preserve">welcome (plural)</t>
  </si>
  <si>
    <t xml:space="preserve">V1984</t>
  </si>
  <si>
    <t xml:space="preserve">fáilte romhat</t>
  </si>
  <si>
    <t xml:space="preserve">V1985</t>
  </si>
  <si>
    <t xml:space="preserve">feicfidh mé amárach thú</t>
  </si>
  <si>
    <t xml:space="preserve">see you tomorrow</t>
  </si>
  <si>
    <t xml:space="preserve">V1986</t>
  </si>
  <si>
    <t xml:space="preserve">feicfidh mé thú ar ball beag</t>
  </si>
  <si>
    <t xml:space="preserve">see you soon</t>
  </si>
  <si>
    <t xml:space="preserve">V1987</t>
  </si>
  <si>
    <t xml:space="preserve">feicfidh mé thú níos moille</t>
  </si>
  <si>
    <t xml:space="preserve">see you later</t>
  </si>
  <si>
    <t xml:space="preserve">V1988</t>
  </si>
  <si>
    <t xml:space="preserve">is mór an trua sin</t>
  </si>
  <si>
    <t xml:space="preserve">that is a pity</t>
  </si>
  <si>
    <t xml:space="preserve">V1989</t>
  </si>
  <si>
    <t xml:space="preserve">le bhur dtoil</t>
  </si>
  <si>
    <t xml:space="preserve">please (plural)</t>
  </si>
  <si>
    <t xml:space="preserve">V1990</t>
  </si>
  <si>
    <t xml:space="preserve">le do thoil</t>
  </si>
  <si>
    <t xml:space="preserve">please</t>
  </si>
  <si>
    <t xml:space="preserve">V1991</t>
  </si>
  <si>
    <t xml:space="preserve">Nollaig Shona duit!</t>
  </si>
  <si>
    <t xml:space="preserve">Happy Christmas!</t>
  </si>
  <si>
    <t xml:space="preserve">V1992</t>
  </si>
  <si>
    <t xml:space="preserve">slán</t>
  </si>
  <si>
    <t xml:space="preserve">goodbye</t>
  </si>
  <si>
    <t xml:space="preserve">V1993</t>
  </si>
  <si>
    <t xml:space="preserve">slán abhaile</t>
  </si>
  <si>
    <t xml:space="preserve">safe home</t>
  </si>
  <si>
    <t xml:space="preserve">V1994</t>
  </si>
  <si>
    <t xml:space="preserve">tá brón orm, tá mé buartha</t>
  </si>
  <si>
    <t xml:space="preserve">sorry</t>
  </si>
  <si>
    <t xml:space="preserve">V1995</t>
  </si>
  <si>
    <t xml:space="preserve">very</t>
  </si>
  <si>
    <t xml:space="preserve">Intensifiers</t>
  </si>
  <si>
    <t xml:space="preserve">V1996</t>
  </si>
  <si>
    <t xml:space="preserve">a lán</t>
  </si>
  <si>
    <t xml:space="preserve">a lot</t>
  </si>
  <si>
    <t xml:space="preserve">V1997</t>
  </si>
  <si>
    <t xml:space="preserve">barraíocht</t>
  </si>
  <si>
    <t xml:space="preserve">too (much)</t>
  </si>
  <si>
    <t xml:space="preserve">V1998</t>
  </si>
  <si>
    <t xml:space="preserve">fíor-</t>
  </si>
  <si>
    <t xml:space="preserve">extremely</t>
  </si>
  <si>
    <t xml:space="preserve">V1999</t>
  </si>
  <si>
    <t xml:space="preserve">go mór</t>
  </si>
  <si>
    <t xml:space="preserve">enormously</t>
  </si>
  <si>
    <t xml:space="preserve">V2000</t>
  </si>
  <si>
    <t xml:space="preserve">i ndáiríre</t>
  </si>
  <si>
    <t xml:space="preserve">really</t>
  </si>
  <si>
    <t xml:space="preserve">V2001</t>
  </si>
  <si>
    <t xml:space="preserve">iontach</t>
  </si>
  <si>
    <t xml:space="preserve">V2002</t>
  </si>
  <si>
    <t xml:space="preserve">V2003</t>
  </si>
  <si>
    <t xml:space="preserve">measartha</t>
  </si>
  <si>
    <t xml:space="preserve">quite</t>
  </si>
  <si>
    <t xml:space="preserve">V2004</t>
  </si>
  <si>
    <t xml:space="preserve">rud beag</t>
  </si>
  <si>
    <t xml:space="preserve">a bit</t>
  </si>
  <si>
    <t xml:space="preserve">V2005</t>
  </si>
  <si>
    <t xml:space="preserve">ach, ach amháin</t>
  </si>
  <si>
    <t xml:space="preserve">only</t>
  </si>
  <si>
    <t xml:space="preserve">Negatives</t>
  </si>
  <si>
    <t xml:space="preserve">V2006</t>
  </si>
  <si>
    <t xml:space="preserve">chan go fóill</t>
  </si>
  <si>
    <t xml:space="preserve">not yet (Ulster)</t>
  </si>
  <si>
    <t xml:space="preserve">V2007</t>
  </si>
  <si>
    <t xml:space="preserve">choíche go deo</t>
  </si>
  <si>
    <t xml:space="preserve">never</t>
  </si>
  <si>
    <t xml:space="preserve">V2008</t>
  </si>
  <si>
    <t xml:space="preserve">duine ar bith</t>
  </si>
  <si>
    <t xml:space="preserve">no one, nobody</t>
  </si>
  <si>
    <t xml:space="preserve">V2009</t>
  </si>
  <si>
    <t xml:space="preserve">no longer, no more</t>
  </si>
  <si>
    <t xml:space="preserve">V2010</t>
  </si>
  <si>
    <t xml:space="preserve">ní (present, future), níor (past)</t>
  </si>
  <si>
    <t xml:space="preserve">not</t>
  </si>
  <si>
    <t xml:space="preserve">V2011</t>
  </si>
  <si>
    <t xml:space="preserve">rud ar bith</t>
  </si>
  <si>
    <t xml:space="preserve">nothing</t>
  </si>
  <si>
    <t xml:space="preserve">V2012</t>
  </si>
  <si>
    <t xml:space="preserve">náid</t>
  </si>
  <si>
    <t xml:space="preserve">zero</t>
  </si>
  <si>
    <t xml:space="preserve">Numbers – ordinal and cardinal</t>
  </si>
  <si>
    <t xml:space="preserve">V2013</t>
  </si>
  <si>
    <t xml:space="preserve">a haon</t>
  </si>
  <si>
    <t xml:space="preserve">one</t>
  </si>
  <si>
    <t xml:space="preserve">V2014</t>
  </si>
  <si>
    <t xml:space="preserve">a dó</t>
  </si>
  <si>
    <t xml:space="preserve">two</t>
  </si>
  <si>
    <t xml:space="preserve">V2015</t>
  </si>
  <si>
    <t xml:space="preserve">a trí</t>
  </si>
  <si>
    <t xml:space="preserve">three</t>
  </si>
  <si>
    <t xml:space="preserve">V2016</t>
  </si>
  <si>
    <t xml:space="preserve">a ceathair</t>
  </si>
  <si>
    <t xml:space="preserve">four</t>
  </si>
  <si>
    <t xml:space="preserve">V2017</t>
  </si>
  <si>
    <t xml:space="preserve">a cúig</t>
  </si>
  <si>
    <t xml:space="preserve">five</t>
  </si>
  <si>
    <t xml:space="preserve">V2018</t>
  </si>
  <si>
    <t xml:space="preserve">a sé</t>
  </si>
  <si>
    <t xml:space="preserve">six</t>
  </si>
  <si>
    <t xml:space="preserve">V2019</t>
  </si>
  <si>
    <t xml:space="preserve">a seacht</t>
  </si>
  <si>
    <t xml:space="preserve">seven</t>
  </si>
  <si>
    <t xml:space="preserve">V2020</t>
  </si>
  <si>
    <t xml:space="preserve">a hocht</t>
  </si>
  <si>
    <t xml:space="preserve">eight</t>
  </si>
  <si>
    <t xml:space="preserve">V2021</t>
  </si>
  <si>
    <t xml:space="preserve">a naoi</t>
  </si>
  <si>
    <t xml:space="preserve">nine</t>
  </si>
  <si>
    <t xml:space="preserve">V2022</t>
  </si>
  <si>
    <t xml:space="preserve">a deich</t>
  </si>
  <si>
    <t xml:space="preserve">ten</t>
  </si>
  <si>
    <t xml:space="preserve">V2023</t>
  </si>
  <si>
    <t xml:space="preserve">a haon déag</t>
  </si>
  <si>
    <t xml:space="preserve">eleven</t>
  </si>
  <si>
    <t xml:space="preserve">V2024</t>
  </si>
  <si>
    <t xml:space="preserve">a dó dhéag</t>
  </si>
  <si>
    <t xml:space="preserve">twelve</t>
  </si>
  <si>
    <t xml:space="preserve">V2025</t>
  </si>
  <si>
    <t xml:space="preserve">a trí déag</t>
  </si>
  <si>
    <t xml:space="preserve">thirteen</t>
  </si>
  <si>
    <t xml:space="preserve">V2026</t>
  </si>
  <si>
    <t xml:space="preserve">a ceathair déag</t>
  </si>
  <si>
    <t xml:space="preserve">fourteen</t>
  </si>
  <si>
    <t xml:space="preserve">V2027</t>
  </si>
  <si>
    <t xml:space="preserve">a cúig déag</t>
  </si>
  <si>
    <t xml:space="preserve">fifteen</t>
  </si>
  <si>
    <t xml:space="preserve">V2028</t>
  </si>
  <si>
    <t xml:space="preserve">a sé déag</t>
  </si>
  <si>
    <t xml:space="preserve">sixteen</t>
  </si>
  <si>
    <t xml:space="preserve">V2029</t>
  </si>
  <si>
    <t xml:space="preserve">a seacht déag</t>
  </si>
  <si>
    <t xml:space="preserve">seventeen</t>
  </si>
  <si>
    <t xml:space="preserve">V2030</t>
  </si>
  <si>
    <t xml:space="preserve">a hocht déag</t>
  </si>
  <si>
    <t xml:space="preserve">eighteen</t>
  </si>
  <si>
    <t xml:space="preserve">V2031</t>
  </si>
  <si>
    <t xml:space="preserve">a naoi déag</t>
  </si>
  <si>
    <t xml:space="preserve">nineteen</t>
  </si>
  <si>
    <t xml:space="preserve">V2032</t>
  </si>
  <si>
    <t xml:space="preserve">fiche</t>
  </si>
  <si>
    <t xml:space="preserve">twenty</t>
  </si>
  <si>
    <t xml:space="preserve">V2033</t>
  </si>
  <si>
    <t xml:space="preserve">fiche a haon</t>
  </si>
  <si>
    <t xml:space="preserve">twenty-one</t>
  </si>
  <si>
    <t xml:space="preserve">V2034</t>
  </si>
  <si>
    <t xml:space="preserve">fiche a dó</t>
  </si>
  <si>
    <t xml:space="preserve">twenty-two</t>
  </si>
  <si>
    <t xml:space="preserve">V2035</t>
  </si>
  <si>
    <t xml:space="preserve">fiche a trí</t>
  </si>
  <si>
    <t xml:space="preserve">twenty-three</t>
  </si>
  <si>
    <t xml:space="preserve">V2036</t>
  </si>
  <si>
    <t xml:space="preserve">tríocha</t>
  </si>
  <si>
    <t xml:space="preserve">thirty</t>
  </si>
  <si>
    <t xml:space="preserve">V2037</t>
  </si>
  <si>
    <t xml:space="preserve">tríocha a haon</t>
  </si>
  <si>
    <t xml:space="preserve">thirty-one</t>
  </si>
  <si>
    <t xml:space="preserve">V2038</t>
  </si>
  <si>
    <t xml:space="preserve">tríocha a dó</t>
  </si>
  <si>
    <t xml:space="preserve">thirty-two</t>
  </si>
  <si>
    <t xml:space="preserve">V2039</t>
  </si>
  <si>
    <t xml:space="preserve">daichead</t>
  </si>
  <si>
    <t xml:space="preserve">forty</t>
  </si>
  <si>
    <t xml:space="preserve">V2040</t>
  </si>
  <si>
    <t xml:space="preserve">daichead a haon</t>
  </si>
  <si>
    <t xml:space="preserve">forty-one</t>
  </si>
  <si>
    <t xml:space="preserve">V2041</t>
  </si>
  <si>
    <t xml:space="preserve">caoga</t>
  </si>
  <si>
    <t xml:space="preserve">fifty</t>
  </si>
  <si>
    <t xml:space="preserve">V2042</t>
  </si>
  <si>
    <t xml:space="preserve">caoga a haon</t>
  </si>
  <si>
    <t xml:space="preserve">fifty-one</t>
  </si>
  <si>
    <t xml:space="preserve">V2043</t>
  </si>
  <si>
    <t xml:space="preserve">seasca</t>
  </si>
  <si>
    <t xml:space="preserve">sixty</t>
  </si>
  <si>
    <t xml:space="preserve">V2044</t>
  </si>
  <si>
    <t xml:space="preserve">seasca a haon</t>
  </si>
  <si>
    <t xml:space="preserve">sixty-one</t>
  </si>
  <si>
    <t xml:space="preserve">V2045</t>
  </si>
  <si>
    <t xml:space="preserve">seachtó</t>
  </si>
  <si>
    <t xml:space="preserve">seventy</t>
  </si>
  <si>
    <t xml:space="preserve">V2046</t>
  </si>
  <si>
    <t xml:space="preserve">seachtó a haon</t>
  </si>
  <si>
    <t xml:space="preserve">seventy-one</t>
  </si>
  <si>
    <t xml:space="preserve">V2047</t>
  </si>
  <si>
    <t xml:space="preserve">ochtó</t>
  </si>
  <si>
    <t xml:space="preserve">eighty</t>
  </si>
  <si>
    <t xml:space="preserve">V2048</t>
  </si>
  <si>
    <t xml:space="preserve">ochtó a haon</t>
  </si>
  <si>
    <t xml:space="preserve">eighty-one</t>
  </si>
  <si>
    <t xml:space="preserve">V2049</t>
  </si>
  <si>
    <t xml:space="preserve">nócha</t>
  </si>
  <si>
    <t xml:space="preserve">ninety</t>
  </si>
  <si>
    <t xml:space="preserve">V2050</t>
  </si>
  <si>
    <t xml:space="preserve">nócha a haon</t>
  </si>
  <si>
    <t xml:space="preserve">ninety-one</t>
  </si>
  <si>
    <t xml:space="preserve">V2051</t>
  </si>
  <si>
    <t xml:space="preserve">one hundred</t>
  </si>
  <si>
    <t xml:space="preserve">V2052</t>
  </si>
  <si>
    <t xml:space="preserve">cúig chéad</t>
  </si>
  <si>
    <t xml:space="preserve">five hundred</t>
  </si>
  <si>
    <t xml:space="preserve">V2053</t>
  </si>
  <si>
    <t xml:space="preserve">míle</t>
  </si>
  <si>
    <t xml:space="preserve">one thousand</t>
  </si>
  <si>
    <t xml:space="preserve">V2054</t>
  </si>
  <si>
    <t xml:space="preserve">an chéad</t>
  </si>
  <si>
    <t xml:space="preserve">first</t>
  </si>
  <si>
    <t xml:space="preserve">V2055</t>
  </si>
  <si>
    <t xml:space="preserve">an dara</t>
  </si>
  <si>
    <t xml:space="preserve">second</t>
  </si>
  <si>
    <t xml:space="preserve">V2056</t>
  </si>
  <si>
    <t xml:space="preserve">an tríú</t>
  </si>
  <si>
    <t xml:space="preserve">third</t>
  </si>
  <si>
    <t xml:space="preserve">V2057</t>
  </si>
  <si>
    <t xml:space="preserve">an ceathrú</t>
  </si>
  <si>
    <t xml:space="preserve">fourth</t>
  </si>
  <si>
    <t xml:space="preserve">V2058</t>
  </si>
  <si>
    <t xml:space="preserve">an cúigiú</t>
  </si>
  <si>
    <t xml:space="preserve">fifth</t>
  </si>
  <si>
    <t xml:space="preserve">V2059</t>
  </si>
  <si>
    <t xml:space="preserve">an séú</t>
  </si>
  <si>
    <t xml:space="preserve">sixth</t>
  </si>
  <si>
    <t xml:space="preserve">V2060</t>
  </si>
  <si>
    <t xml:space="preserve">an seachtú</t>
  </si>
  <si>
    <t xml:space="preserve">seventh</t>
  </si>
  <si>
    <t xml:space="preserve">V2061</t>
  </si>
  <si>
    <t xml:space="preserve">an t-ochtú</t>
  </si>
  <si>
    <t xml:space="preserve">eighth</t>
  </si>
  <si>
    <t xml:space="preserve">V2062</t>
  </si>
  <si>
    <t xml:space="preserve">an naoú</t>
  </si>
  <si>
    <t xml:space="preserve">ninth</t>
  </si>
  <si>
    <t xml:space="preserve">V2063</t>
  </si>
  <si>
    <t xml:space="preserve">an deichiú</t>
  </si>
  <si>
    <t xml:space="preserve">tenth</t>
  </si>
  <si>
    <t xml:space="preserve">V2064</t>
  </si>
  <si>
    <t xml:space="preserve">an t-aonú lá déag</t>
  </si>
  <si>
    <t xml:space="preserve">eleventh</t>
  </si>
  <si>
    <t xml:space="preserve">V2065</t>
  </si>
  <si>
    <t xml:space="preserve">an fichiú</t>
  </si>
  <si>
    <t xml:space="preserve">twentieth</t>
  </si>
  <si>
    <t xml:space="preserve">V2066</t>
  </si>
  <si>
    <t xml:space="preserve">an t-aonú … is fiche</t>
  </si>
  <si>
    <t xml:space="preserve">twenty-first</t>
  </si>
  <si>
    <t xml:space="preserve">V2067</t>
  </si>
  <si>
    <t xml:space="preserve">Opinions – positive/negative, justifications</t>
  </si>
  <si>
    <t xml:space="preserve">V2068</t>
  </si>
  <si>
    <t xml:space="preserve">ar an lámh eile, ar an taobh eile den scéal</t>
  </si>
  <si>
    <t xml:space="preserve">V2069</t>
  </si>
  <si>
    <t xml:space="preserve">b’fhéidir</t>
  </si>
  <si>
    <t xml:space="preserve">maybe</t>
  </si>
  <si>
    <t xml:space="preserve">V2070</t>
  </si>
  <si>
    <t xml:space="preserve">cuireann sé ag gáire mé</t>
  </si>
  <si>
    <t xml:space="preserve">it makes me laugh</t>
  </si>
  <si>
    <t xml:space="preserve">V2071</t>
  </si>
  <si>
    <t xml:space="preserve">cuireann sé isteach orm</t>
  </si>
  <si>
    <t xml:space="preserve">it annoys me</t>
  </si>
  <si>
    <t xml:space="preserve">V2072</t>
  </si>
  <si>
    <t xml:space="preserve">dom</t>
  </si>
  <si>
    <t xml:space="preserve">for me</t>
  </si>
  <si>
    <t xml:space="preserve">V2073</t>
  </si>
  <si>
    <t xml:space="preserve">go pearsanta, maidir liom féin</t>
  </si>
  <si>
    <t xml:space="preserve">personally</t>
  </si>
  <si>
    <t xml:space="preserve">V2074</t>
  </si>
  <si>
    <t xml:space="preserve">ina áit sin</t>
  </si>
  <si>
    <t xml:space="preserve">on the contrary</t>
  </si>
  <si>
    <t xml:space="preserve">V2075</t>
  </si>
  <si>
    <t xml:space="preserve">V2076</t>
  </si>
  <si>
    <t xml:space="preserve">is breá liom</t>
  </si>
  <si>
    <t xml:space="preserve">V2077</t>
  </si>
  <si>
    <t xml:space="preserve">V2078</t>
  </si>
  <si>
    <t xml:space="preserve">V2079</t>
  </si>
  <si>
    <t xml:space="preserve">is é mo bharúil go/gur</t>
  </si>
  <si>
    <t xml:space="preserve">in my opinion</t>
  </si>
  <si>
    <t xml:space="preserve">V2080</t>
  </si>
  <si>
    <t xml:space="preserve">V2081</t>
  </si>
  <si>
    <t xml:space="preserve">V2082</t>
  </si>
  <si>
    <t xml:space="preserve">V2083</t>
  </si>
  <si>
    <t xml:space="preserve">V2084</t>
  </si>
  <si>
    <t xml:space="preserve">because</t>
  </si>
  <si>
    <t xml:space="preserve">V2085</t>
  </si>
  <si>
    <t xml:space="preserve">V2086</t>
  </si>
  <si>
    <t xml:space="preserve">mise ach oiread</t>
  </si>
  <si>
    <t xml:space="preserve">me neither</t>
  </si>
  <si>
    <t xml:space="preserve">V2087</t>
  </si>
  <si>
    <t xml:space="preserve">ní dhéanann sé difear ar bith dom</t>
  </si>
  <si>
    <t xml:space="preserve">it’s all the same to me</t>
  </si>
  <si>
    <t xml:space="preserve">V2088</t>
  </si>
  <si>
    <t xml:space="preserve">níl suim dá laghad agam ann</t>
  </si>
  <si>
    <t xml:space="preserve">that doesn’t interest/appeal to me</t>
  </si>
  <si>
    <t xml:space="preserve">V2089</t>
  </si>
  <si>
    <t xml:space="preserve">ní maith liom</t>
  </si>
  <si>
    <t xml:space="preserve">I don’t like</t>
  </si>
  <si>
    <t xml:space="preserve">V2090</t>
  </si>
  <si>
    <t xml:space="preserve">os a choinne sin</t>
  </si>
  <si>
    <t xml:space="preserve">V2091</t>
  </si>
  <si>
    <t xml:space="preserve">sílim go/gur</t>
  </si>
  <si>
    <t xml:space="preserve">V2092</t>
  </si>
  <si>
    <t xml:space="preserve">tá dúil agam i</t>
  </si>
  <si>
    <t xml:space="preserve">V2093</t>
  </si>
  <si>
    <t xml:space="preserve">tá dúil mhór agam i</t>
  </si>
  <si>
    <t xml:space="preserve">I really like</t>
  </si>
  <si>
    <t xml:space="preserve">V2094</t>
  </si>
  <si>
    <t xml:space="preserve">Prepositions</t>
  </si>
  <si>
    <t xml:space="preserve">V2095</t>
  </si>
  <si>
    <t xml:space="preserve">on</t>
  </si>
  <si>
    <t xml:space="preserve">V2096</t>
  </si>
  <si>
    <t xml:space="preserve">ar chúl</t>
  </si>
  <si>
    <t xml:space="preserve">at the back of, behind</t>
  </si>
  <si>
    <t xml:space="preserve">V2097</t>
  </si>
  <si>
    <t xml:space="preserve">ar feadh, i rith</t>
  </si>
  <si>
    <t xml:space="preserve">V2098</t>
  </si>
  <si>
    <t xml:space="preserve">chuig</t>
  </si>
  <si>
    <t xml:space="preserve">to, towards</t>
  </si>
  <si>
    <t xml:space="preserve">V2099</t>
  </si>
  <si>
    <t xml:space="preserve">cóngarach do</t>
  </si>
  <si>
    <t xml:space="preserve">V2100</t>
  </si>
  <si>
    <t xml:space="preserve">d’ainneoin</t>
  </si>
  <si>
    <t xml:space="preserve">in spite of</t>
  </si>
  <si>
    <t xml:space="preserve">V2101</t>
  </si>
  <si>
    <t xml:space="preserve">de</t>
  </si>
  <si>
    <t xml:space="preserve">off</t>
  </si>
  <si>
    <t xml:space="preserve">V2102</t>
  </si>
  <si>
    <t xml:space="preserve">de réir</t>
  </si>
  <si>
    <t xml:space="preserve">according</t>
  </si>
  <si>
    <t xml:space="preserve">V2103</t>
  </si>
  <si>
    <t xml:space="preserve">V2104</t>
  </si>
  <si>
    <t xml:space="preserve">faoi</t>
  </si>
  <si>
    <t xml:space="preserve">beneath, under</t>
  </si>
  <si>
    <t xml:space="preserve">V2105</t>
  </si>
  <si>
    <t xml:space="preserve">gan</t>
  </si>
  <si>
    <t xml:space="preserve">without</t>
  </si>
  <si>
    <t xml:space="preserve">V2106</t>
  </si>
  <si>
    <t xml:space="preserve">go dtí</t>
  </si>
  <si>
    <t xml:space="preserve">until, up to</t>
  </si>
  <si>
    <t xml:space="preserve">V2107</t>
  </si>
  <si>
    <t xml:space="preserve">i</t>
  </si>
  <si>
    <t xml:space="preserve">in</t>
  </si>
  <si>
    <t xml:space="preserve">V2108</t>
  </si>
  <si>
    <t xml:space="preserve">idir</t>
  </si>
  <si>
    <t xml:space="preserve">between</t>
  </si>
  <si>
    <t xml:space="preserve">V2109</t>
  </si>
  <si>
    <t xml:space="preserve">in the middle</t>
  </si>
  <si>
    <t xml:space="preserve">V2110</t>
  </si>
  <si>
    <t xml:space="preserve">ina dhiaidh</t>
  </si>
  <si>
    <t xml:space="preserve">after</t>
  </si>
  <si>
    <t xml:space="preserve">V2111</t>
  </si>
  <si>
    <t xml:space="preserve">beside</t>
  </si>
  <si>
    <t xml:space="preserve">V2112</t>
  </si>
  <si>
    <t xml:space="preserve">in ainneoin</t>
  </si>
  <si>
    <t xml:space="preserve">despite</t>
  </si>
  <si>
    <t xml:space="preserve">V2113</t>
  </si>
  <si>
    <t xml:space="preserve">in áit</t>
  </si>
  <si>
    <t xml:space="preserve">instead of</t>
  </si>
  <si>
    <t xml:space="preserve">V2114</t>
  </si>
  <si>
    <t xml:space="preserve">in éadan</t>
  </si>
  <si>
    <t xml:space="preserve">against</t>
  </si>
  <si>
    <t xml:space="preserve">V2115</t>
  </si>
  <si>
    <t xml:space="preserve">V2116</t>
  </si>
  <si>
    <t xml:space="preserve">with</t>
  </si>
  <si>
    <t xml:space="preserve">V2117</t>
  </si>
  <si>
    <t xml:space="preserve">from</t>
  </si>
  <si>
    <t xml:space="preserve">V2118</t>
  </si>
  <si>
    <t xml:space="preserve">ón</t>
  </si>
  <si>
    <t xml:space="preserve">from the</t>
  </si>
  <si>
    <t xml:space="preserve">V2119</t>
  </si>
  <si>
    <t xml:space="preserve">os cionn</t>
  </si>
  <si>
    <t xml:space="preserve">above</t>
  </si>
  <si>
    <t xml:space="preserve">V2120</t>
  </si>
  <si>
    <t xml:space="preserve">opposite, in front of</t>
  </si>
  <si>
    <t xml:space="preserve">V2121</t>
  </si>
  <si>
    <t xml:space="preserve">roimh</t>
  </si>
  <si>
    <t xml:space="preserve">before</t>
  </si>
  <si>
    <t xml:space="preserve">V2122</t>
  </si>
  <si>
    <t xml:space="preserve">sa dóigh is</t>
  </si>
  <si>
    <t xml:space="preserve">in order to</t>
  </si>
  <si>
    <t xml:space="preserve">V2123</t>
  </si>
  <si>
    <t xml:space="preserve">sa/san</t>
  </si>
  <si>
    <t xml:space="preserve">in the</t>
  </si>
  <si>
    <t xml:space="preserve">V2124</t>
  </si>
  <si>
    <t xml:space="preserve">taobh amuigh de</t>
  </si>
  <si>
    <t xml:space="preserve">outside of</t>
  </si>
  <si>
    <t xml:space="preserve">V2125</t>
  </si>
  <si>
    <t xml:space="preserve">taobh leis</t>
  </si>
  <si>
    <t xml:space="preserve">at the edge of, at the side of</t>
  </si>
  <si>
    <t xml:space="preserve">V2126</t>
  </si>
  <si>
    <t xml:space="preserve">thar, os cionn</t>
  </si>
  <si>
    <t xml:space="preserve">over, above</t>
  </si>
  <si>
    <t xml:space="preserve">V2127</t>
  </si>
  <si>
    <t xml:space="preserve">thart ar</t>
  </si>
  <si>
    <t xml:space="preserve">around</t>
  </si>
  <si>
    <t xml:space="preserve">V2128</t>
  </si>
  <si>
    <t xml:space="preserve">trasna</t>
  </si>
  <si>
    <t xml:space="preserve">across</t>
  </si>
  <si>
    <t xml:space="preserve">V2129</t>
  </si>
  <si>
    <t xml:space="preserve">mé</t>
  </si>
  <si>
    <t xml:space="preserve">I/me</t>
  </si>
  <si>
    <t xml:space="preserve">Pronouns</t>
  </si>
  <si>
    <t xml:space="preserve">V2130</t>
  </si>
  <si>
    <t xml:space="preserve">tú</t>
  </si>
  <si>
    <t xml:space="preserve">you</t>
  </si>
  <si>
    <t xml:space="preserve">V2131</t>
  </si>
  <si>
    <t xml:space="preserve">sé</t>
  </si>
  <si>
    <t xml:space="preserve">he</t>
  </si>
  <si>
    <t xml:space="preserve">V2132</t>
  </si>
  <si>
    <t xml:space="preserve">sí</t>
  </si>
  <si>
    <t xml:space="preserve">she</t>
  </si>
  <si>
    <t xml:space="preserve">V2133</t>
  </si>
  <si>
    <t xml:space="preserve">muid</t>
  </si>
  <si>
    <t xml:space="preserve">us</t>
  </si>
  <si>
    <t xml:space="preserve">V2134</t>
  </si>
  <si>
    <t xml:space="preserve">sibh</t>
  </si>
  <si>
    <t xml:space="preserve">you (plural)</t>
  </si>
  <si>
    <t xml:space="preserve">V2135</t>
  </si>
  <si>
    <t xml:space="preserve">siad</t>
  </si>
  <si>
    <t xml:space="preserve">them</t>
  </si>
  <si>
    <t xml:space="preserve">V2136</t>
  </si>
  <si>
    <t xml:space="preserve">An … é?</t>
  </si>
  <si>
    <t xml:space="preserve">Is it … ?</t>
  </si>
  <si>
    <t xml:space="preserve">Questions</t>
  </si>
  <si>
    <t xml:space="preserve">V2137</t>
  </si>
  <si>
    <t xml:space="preserve">Cad chuige?, Cén fáth?</t>
  </si>
  <si>
    <t xml:space="preserve">Why?</t>
  </si>
  <si>
    <t xml:space="preserve">V2138</t>
  </si>
  <si>
    <t xml:space="preserve">Cad é?</t>
  </si>
  <si>
    <t xml:space="preserve">What?</t>
  </si>
  <si>
    <t xml:space="preserve">V2139</t>
  </si>
  <si>
    <t xml:space="preserve">Cad é an dáta?</t>
  </si>
  <si>
    <t xml:space="preserve">What is the date?</t>
  </si>
  <si>
    <t xml:space="preserve">V2140</t>
  </si>
  <si>
    <t xml:space="preserve">Cad é an dath atá ar …?</t>
  </si>
  <si>
    <t xml:space="preserve">What colour is …?</t>
  </si>
  <si>
    <t xml:space="preserve">V2141</t>
  </si>
  <si>
    <t xml:space="preserve">Cad é an lá é?</t>
  </si>
  <si>
    <t xml:space="preserve">What day is it?</t>
  </si>
  <si>
    <t xml:space="preserve">V2142</t>
  </si>
  <si>
    <t xml:space="preserve">Cad é an t-am é?</t>
  </si>
  <si>
    <t xml:space="preserve">What time is it?</t>
  </si>
  <si>
    <t xml:space="preserve">V2143</t>
  </si>
  <si>
    <t xml:space="preserve">Cad é mar?</t>
  </si>
  <si>
    <t xml:space="preserve">How?</t>
  </si>
  <si>
    <t xml:space="preserve">V2144</t>
  </si>
  <si>
    <t xml:space="preserve">Cad é mar a litrítear sin?</t>
  </si>
  <si>
    <t xml:space="preserve">How is that written?</t>
  </si>
  <si>
    <t xml:space="preserve">V2145</t>
  </si>
  <si>
    <t xml:space="preserve">Cad é sin?</t>
  </si>
  <si>
    <t xml:space="preserve">What is that?</t>
  </si>
  <si>
    <t xml:space="preserve">V2146</t>
  </si>
  <si>
    <t xml:space="preserve">Cá fhad?</t>
  </si>
  <si>
    <t xml:space="preserve">For how long?</t>
  </si>
  <si>
    <t xml:space="preserve">V2147</t>
  </si>
  <si>
    <t xml:space="preserve">Cá háit?</t>
  </si>
  <si>
    <t xml:space="preserve">Where?</t>
  </si>
  <si>
    <t xml:space="preserve">V2148</t>
  </si>
  <si>
    <t xml:space="preserve">Cá mhéad?</t>
  </si>
  <si>
    <t xml:space="preserve">How many, much?</t>
  </si>
  <si>
    <t xml:space="preserve">V2149</t>
  </si>
  <si>
    <t xml:space="preserve">Cá mhéad atá air sin?</t>
  </si>
  <si>
    <t xml:space="preserve">How much is that?</t>
  </si>
  <si>
    <t xml:space="preserve">V2150</t>
  </si>
  <si>
    <t xml:space="preserve">Carb as?</t>
  </si>
  <si>
    <t xml:space="preserve">From where?</t>
  </si>
  <si>
    <t xml:space="preserve">V2151</t>
  </si>
  <si>
    <t xml:space="preserve">Cén t-am?</t>
  </si>
  <si>
    <t xml:space="preserve">At what time?</t>
  </si>
  <si>
    <t xml:space="preserve">V2152</t>
  </si>
  <si>
    <t xml:space="preserve">Cén uair?</t>
  </si>
  <si>
    <t xml:space="preserve">When?</t>
  </si>
  <si>
    <t xml:space="preserve">V2153</t>
  </si>
  <si>
    <t xml:space="preserve">Cé?</t>
  </si>
  <si>
    <t xml:space="preserve">Who?</t>
  </si>
  <si>
    <t xml:space="preserve">V2154</t>
  </si>
  <si>
    <t xml:space="preserve">Cé acu?</t>
  </si>
  <si>
    <t xml:space="preserve">Which?</t>
  </si>
  <si>
    <t xml:space="preserve">V2155</t>
  </si>
  <si>
    <t xml:space="preserve">tá sé a haon a chlog</t>
  </si>
  <si>
    <t xml:space="preserve">it is one o’clock</t>
  </si>
  <si>
    <t xml:space="preserve">Time – telling the time, expressions of time</t>
  </si>
  <si>
    <t xml:space="preserve">V2156</t>
  </si>
  <si>
    <t xml:space="preserve">tá sé cúig i ndiaidh a haon</t>
  </si>
  <si>
    <t xml:space="preserve">it is five past one</t>
  </si>
  <si>
    <t xml:space="preserve">V2157</t>
  </si>
  <si>
    <t xml:space="preserve">tá sé deich i ndiaidh a haon</t>
  </si>
  <si>
    <t xml:space="preserve">it is ten past one</t>
  </si>
  <si>
    <t xml:space="preserve">V2158</t>
  </si>
  <si>
    <t xml:space="preserve">tá sé ceathrú i ndiaidh a haon</t>
  </si>
  <si>
    <t xml:space="preserve">it is a quarter past one</t>
  </si>
  <si>
    <t xml:space="preserve">V2159</t>
  </si>
  <si>
    <t xml:space="preserve">tá sé fiche i ndiaidh a haon</t>
  </si>
  <si>
    <t xml:space="preserve">it is twenty past one</t>
  </si>
  <si>
    <t xml:space="preserve">V2160</t>
  </si>
  <si>
    <t xml:space="preserve">tá sé fiche a cúig i ndiaidh a haon</t>
  </si>
  <si>
    <t xml:space="preserve">it is twenty-five past one</t>
  </si>
  <si>
    <t xml:space="preserve">V2161</t>
  </si>
  <si>
    <t xml:space="preserve">tá sé leath i ndiaidh a haon</t>
  </si>
  <si>
    <t xml:space="preserve">it is one thirty</t>
  </si>
  <si>
    <t xml:space="preserve">V2162</t>
  </si>
  <si>
    <t xml:space="preserve">tá sé fiche a cúig go dtí a dó</t>
  </si>
  <si>
    <t xml:space="preserve">it is one thirty-five</t>
  </si>
  <si>
    <t xml:space="preserve">V2163</t>
  </si>
  <si>
    <t xml:space="preserve">tá sé fiche go dtí a dó</t>
  </si>
  <si>
    <t xml:space="preserve">it is one forty</t>
  </si>
  <si>
    <t xml:space="preserve">V2164</t>
  </si>
  <si>
    <t xml:space="preserve">tá sé ceathrú go dtí a dó</t>
  </si>
  <si>
    <t xml:space="preserve">it is a quarter to two</t>
  </si>
  <si>
    <t xml:space="preserve">V2165</t>
  </si>
  <si>
    <t xml:space="preserve">tá sé deich go dtí a dó</t>
  </si>
  <si>
    <t xml:space="preserve">it is ten minutes to two</t>
  </si>
  <si>
    <t xml:space="preserve">V2166</t>
  </si>
  <si>
    <t xml:space="preserve">tá sé cúig go dtí a dó</t>
  </si>
  <si>
    <t xml:space="preserve">it is five minutes to two</t>
  </si>
  <si>
    <t xml:space="preserve">V2167</t>
  </si>
  <si>
    <t xml:space="preserve">tá sé a dó a chlog</t>
  </si>
  <si>
    <t xml:space="preserve">it is two o’clock</t>
  </si>
  <si>
    <t xml:space="preserve">V2168</t>
  </si>
  <si>
    <t xml:space="preserve">iarnóin</t>
  </si>
  <si>
    <t xml:space="preserve">afternoon, evening</t>
  </si>
  <si>
    <t xml:space="preserve">V2169</t>
  </si>
  <si>
    <t xml:space="preserve">maidin</t>
  </si>
  <si>
    <t xml:space="preserve">morning</t>
  </si>
  <si>
    <t xml:space="preserve">V2170</t>
  </si>
  <si>
    <t xml:space="preserve">meánlae</t>
  </si>
  <si>
    <t xml:space="preserve">meánlae [m]</t>
  </si>
  <si>
    <t xml:space="preserve">V2171</t>
  </si>
  <si>
    <t xml:space="preserve">(meán)oíche</t>
  </si>
  <si>
    <t xml:space="preserve">(mid)night</t>
  </si>
  <si>
    <t xml:space="preserve">V2172</t>
  </si>
  <si>
    <t xml:space="preserve">V2173</t>
  </si>
  <si>
    <t xml:space="preserve">a bheith ar intinn agat</t>
  </si>
  <si>
    <t xml:space="preserve">to have in mind</t>
  </si>
  <si>
    <t xml:space="preserve">Other common verbs</t>
  </si>
  <si>
    <t xml:space="preserve">V2174</t>
  </si>
  <si>
    <t xml:space="preserve">a bheith beo (ag maireachtáil)</t>
  </si>
  <si>
    <t xml:space="preserve">a bheith beo</t>
  </si>
  <si>
    <t xml:space="preserve">ag maireachtáil</t>
  </si>
  <si>
    <t xml:space="preserve">to be alive (living)</t>
  </si>
  <si>
    <t xml:space="preserve">V2175</t>
  </si>
  <si>
    <t xml:space="preserve">a bheith tinn</t>
  </si>
  <si>
    <t xml:space="preserve">to be sick</t>
  </si>
  <si>
    <t xml:space="preserve">V2176</t>
  </si>
  <si>
    <t xml:space="preserve">análaigh (ag análú)</t>
  </si>
  <si>
    <t xml:space="preserve">análaigh</t>
  </si>
  <si>
    <t xml:space="preserve">ag análú</t>
  </si>
  <si>
    <t xml:space="preserve">to breathe (breathing)</t>
  </si>
  <si>
    <t xml:space="preserve">V2177</t>
  </si>
  <si>
    <t xml:space="preserve">V2178</t>
  </si>
  <si>
    <t xml:space="preserve">bí ag súil le (ag súil le)</t>
  </si>
  <si>
    <t xml:space="preserve">bí ag súil le</t>
  </si>
  <si>
    <t xml:space="preserve">ag súil le</t>
  </si>
  <si>
    <t xml:space="preserve">to hope (hoping)</t>
  </si>
  <si>
    <t xml:space="preserve">V2179</t>
  </si>
  <si>
    <t xml:space="preserve">blais (ag blaiseadh)</t>
  </si>
  <si>
    <t xml:space="preserve">blais</t>
  </si>
  <si>
    <t xml:space="preserve">ag blaiseadh</t>
  </si>
  <si>
    <t xml:space="preserve">to taste (tasting)</t>
  </si>
  <si>
    <t xml:space="preserve">V2180</t>
  </si>
  <si>
    <t xml:space="preserve">bog (ag bogadh)</t>
  </si>
  <si>
    <t xml:space="preserve">bog</t>
  </si>
  <si>
    <t xml:space="preserve">ag bogadh</t>
  </si>
  <si>
    <t xml:space="preserve">to move (moving)</t>
  </si>
  <si>
    <t xml:space="preserve">V2181</t>
  </si>
  <si>
    <t xml:space="preserve">bris (ag briseadh)</t>
  </si>
  <si>
    <t xml:space="preserve">bris</t>
  </si>
  <si>
    <t xml:space="preserve">ag briseadh</t>
  </si>
  <si>
    <t xml:space="preserve">to break (breaking)</t>
  </si>
  <si>
    <t xml:space="preserve">V2182</t>
  </si>
  <si>
    <t xml:space="preserve">to throw (throwing)</t>
  </si>
  <si>
    <t xml:space="preserve">V2183</t>
  </si>
  <si>
    <t xml:space="preserve">V2184</t>
  </si>
  <si>
    <t xml:space="preserve">caith am (ag caitheamh ama)</t>
  </si>
  <si>
    <t xml:space="preserve">caith am</t>
  </si>
  <si>
    <t xml:space="preserve">ag caitheamh ama</t>
  </si>
  <si>
    <t xml:space="preserve">to spend time (spending time)</t>
  </si>
  <si>
    <t xml:space="preserve">V2185</t>
  </si>
  <si>
    <t xml:space="preserve">caith le (ag caitheamh le)</t>
  </si>
  <si>
    <t xml:space="preserve">caith le</t>
  </si>
  <si>
    <t xml:space="preserve">ag caitheamh le</t>
  </si>
  <si>
    <t xml:space="preserve">to treat (treating) (behave towards)</t>
  </si>
  <si>
    <t xml:space="preserve">V2186</t>
  </si>
  <si>
    <t xml:space="preserve">caith tobac (ag caitheamh tobac)</t>
  </si>
  <si>
    <t xml:space="preserve">caith tobac</t>
  </si>
  <si>
    <t xml:space="preserve">ag caitheamh tobac</t>
  </si>
  <si>
    <t xml:space="preserve">to smoke (smoking)</t>
  </si>
  <si>
    <t xml:space="preserve">V2187</t>
  </si>
  <si>
    <t xml:space="preserve">campáil (ag campáil)</t>
  </si>
  <si>
    <t xml:space="preserve">campáil</t>
  </si>
  <si>
    <t xml:space="preserve">ag campáil</t>
  </si>
  <si>
    <t xml:space="preserve">to camp (camping)</t>
  </si>
  <si>
    <t xml:space="preserve">V2188</t>
  </si>
  <si>
    <t xml:space="preserve">V2189</t>
  </si>
  <si>
    <t xml:space="preserve">coinnigh (ag coinneáil)</t>
  </si>
  <si>
    <t xml:space="preserve">coinnigh</t>
  </si>
  <si>
    <t xml:space="preserve">ag coinneáil</t>
  </si>
  <si>
    <t xml:space="preserve">to keep (keeping)</t>
  </si>
  <si>
    <t xml:space="preserve">V2190</t>
  </si>
  <si>
    <t xml:space="preserve">coinnigh siar (ag coinneáil siar)</t>
  </si>
  <si>
    <t xml:space="preserve">coinnigh siar</t>
  </si>
  <si>
    <t xml:space="preserve">ag coinneáil siar</t>
  </si>
  <si>
    <t xml:space="preserve">to hold back (holding back)</t>
  </si>
  <si>
    <t xml:space="preserve">V2191</t>
  </si>
  <si>
    <t xml:space="preserve">comhlíon (ag comhlíonadh)</t>
  </si>
  <si>
    <t xml:space="preserve">comhlíon</t>
  </si>
  <si>
    <t xml:space="preserve">ag comhlíonadh</t>
  </si>
  <si>
    <t xml:space="preserve">to complete (completing)</t>
  </si>
  <si>
    <t xml:space="preserve">V2192</t>
  </si>
  <si>
    <t xml:space="preserve">cónaigh (ag cónaí)</t>
  </si>
  <si>
    <t xml:space="preserve">cónaigh</t>
  </si>
  <si>
    <t xml:space="preserve">ag cónaí</t>
  </si>
  <si>
    <t xml:space="preserve">to live (living), to dwell (dwelling)</t>
  </si>
  <si>
    <t xml:space="preserve">V2193</t>
  </si>
  <si>
    <t xml:space="preserve">to cost (costing)</t>
  </si>
  <si>
    <t xml:space="preserve">V2194</t>
  </si>
  <si>
    <t xml:space="preserve">cuidigh le (ag cuidiú le)</t>
  </si>
  <si>
    <t xml:space="preserve">cuidigh le</t>
  </si>
  <si>
    <t xml:space="preserve">ag cuidiú le</t>
  </si>
  <si>
    <t xml:space="preserve">V2195</t>
  </si>
  <si>
    <t xml:space="preserve">to reserve (reserving)</t>
  </si>
  <si>
    <t xml:space="preserve">V2196</t>
  </si>
  <si>
    <t xml:space="preserve">cuir in eagar (ag cur in eagar)</t>
  </si>
  <si>
    <t xml:space="preserve">cuir in eagar</t>
  </si>
  <si>
    <t xml:space="preserve">ag cur in eagar</t>
  </si>
  <si>
    <t xml:space="preserve">to arrange in order (arranging in order)</t>
  </si>
  <si>
    <t xml:space="preserve">V2197</t>
  </si>
  <si>
    <t xml:space="preserve">V2198</t>
  </si>
  <si>
    <t xml:space="preserve">V2199</t>
  </si>
  <si>
    <t xml:space="preserve">cuir téacs chuig (ag cur téacs chuig)</t>
  </si>
  <si>
    <t xml:space="preserve">cuir téacs chuig</t>
  </si>
  <si>
    <t xml:space="preserve">ag cur téacs chuig</t>
  </si>
  <si>
    <t xml:space="preserve">to text (texting)</t>
  </si>
  <si>
    <t xml:space="preserve">V2200</t>
  </si>
  <si>
    <t xml:space="preserve">cum (ag cumadh)</t>
  </si>
  <si>
    <t xml:space="preserve">cum</t>
  </si>
  <si>
    <t xml:space="preserve">ag cumadh</t>
  </si>
  <si>
    <t xml:space="preserve">to create (creating)</t>
  </si>
  <si>
    <t xml:space="preserve">V2201</t>
  </si>
  <si>
    <t xml:space="preserve">déan comhrá (ag déanamh comhrá)</t>
  </si>
  <si>
    <t xml:space="preserve">déan comhrá</t>
  </si>
  <si>
    <t xml:space="preserve">ag déanamh comhrá</t>
  </si>
  <si>
    <t xml:space="preserve">to chatter (chatting)</t>
  </si>
  <si>
    <t xml:space="preserve">V2202</t>
  </si>
  <si>
    <t xml:space="preserve">déan eagraíocht ar (ag déanamh eagraíochta ar)</t>
  </si>
  <si>
    <t xml:space="preserve">déan eagraíocht ar</t>
  </si>
  <si>
    <t xml:space="preserve">ag déanamh eagraíochta ar</t>
  </si>
  <si>
    <t xml:space="preserve">to edit (editing)</t>
  </si>
  <si>
    <t xml:space="preserve">V2203</t>
  </si>
  <si>
    <t xml:space="preserve">V2204</t>
  </si>
  <si>
    <t xml:space="preserve">druid (ag druidim)</t>
  </si>
  <si>
    <t xml:space="preserve">druid</t>
  </si>
  <si>
    <t xml:space="preserve">V2205</t>
  </si>
  <si>
    <t xml:space="preserve">to repair (repairing)</t>
  </si>
  <si>
    <t xml:space="preserve">V2206</t>
  </si>
  <si>
    <t xml:space="preserve">eitil (ag eitilt)</t>
  </si>
  <si>
    <t xml:space="preserve">eitil</t>
  </si>
  <si>
    <t xml:space="preserve">ag eitilt</t>
  </si>
  <si>
    <t xml:space="preserve">to fly (flying)</t>
  </si>
  <si>
    <t xml:space="preserve">V2207</t>
  </si>
  <si>
    <t xml:space="preserve">V2208</t>
  </si>
  <si>
    <t xml:space="preserve">fág lorg ar (ag fágáil loirg ar)</t>
  </si>
  <si>
    <t xml:space="preserve">fág lorg ar</t>
  </si>
  <si>
    <t xml:space="preserve">ag fágáil loirg ar</t>
  </si>
  <si>
    <t xml:space="preserve">to leave your mark on (leaving your mark on)</t>
  </si>
  <si>
    <t xml:space="preserve">V2209</t>
  </si>
  <si>
    <t xml:space="preserve">faigh ar iasacht (ag fáil ar iasacht)</t>
  </si>
  <si>
    <t xml:space="preserve">faigh ar iasacht</t>
  </si>
  <si>
    <t xml:space="preserve">ag fáil ar iasacht</t>
  </si>
  <si>
    <t xml:space="preserve">to borrow (borrowing)</t>
  </si>
  <si>
    <t xml:space="preserve">V2210</t>
  </si>
  <si>
    <t xml:space="preserve">V2211</t>
  </si>
  <si>
    <t xml:space="preserve">fill (ag filleadh)</t>
  </si>
  <si>
    <t xml:space="preserve">fill</t>
  </si>
  <si>
    <t xml:space="preserve">ag filleadh</t>
  </si>
  <si>
    <t xml:space="preserve">to return (returning)</t>
  </si>
  <si>
    <t xml:space="preserve">V2212</t>
  </si>
  <si>
    <t xml:space="preserve">fógair (ag fógairt)</t>
  </si>
  <si>
    <t xml:space="preserve">fógair</t>
  </si>
  <si>
    <t xml:space="preserve">ag fógairt</t>
  </si>
  <si>
    <t xml:space="preserve">to declare (declaring)</t>
  </si>
  <si>
    <t xml:space="preserve">V2213</t>
  </si>
  <si>
    <t xml:space="preserve">fóir do (ag fóirstean do)</t>
  </si>
  <si>
    <t xml:space="preserve">fóir do</t>
  </si>
  <si>
    <t xml:space="preserve">ag fóirstean do</t>
  </si>
  <si>
    <t xml:space="preserve">to suit (suiting)</t>
  </si>
  <si>
    <t xml:space="preserve">V2214</t>
  </si>
  <si>
    <t xml:space="preserve">frioch (ag friochadh)</t>
  </si>
  <si>
    <t xml:space="preserve">frioch</t>
  </si>
  <si>
    <t xml:space="preserve">ag friochadh</t>
  </si>
  <si>
    <t xml:space="preserve">to fry (frying)</t>
  </si>
  <si>
    <t xml:space="preserve">V2215</t>
  </si>
  <si>
    <t xml:space="preserve">fulaing (ag fulaingt)</t>
  </si>
  <si>
    <t xml:space="preserve">fulaing</t>
  </si>
  <si>
    <t xml:space="preserve">ag fulaingt</t>
  </si>
  <si>
    <t xml:space="preserve">to suffer (suffering)</t>
  </si>
  <si>
    <t xml:space="preserve">V2216</t>
  </si>
  <si>
    <t xml:space="preserve">to hurt (hurting)</t>
  </si>
  <si>
    <t xml:space="preserve">V2217</t>
  </si>
  <si>
    <t xml:space="preserve">glac páirt i (ag glacadh páirt i)</t>
  </si>
  <si>
    <t xml:space="preserve">glac páirt i</t>
  </si>
  <si>
    <t xml:space="preserve">ag glacadh páirt i</t>
  </si>
  <si>
    <t xml:space="preserve">to take part in (taking part in)</t>
  </si>
  <si>
    <t xml:space="preserve">V2218</t>
  </si>
  <si>
    <t xml:space="preserve">glac scíste (ag glacadh scíste)</t>
  </si>
  <si>
    <t xml:space="preserve">glac scíste</t>
  </si>
  <si>
    <t xml:space="preserve">ag glacadh scíste</t>
  </si>
  <si>
    <t xml:space="preserve">V2219</t>
  </si>
  <si>
    <t xml:space="preserve">imigh (ag imeacht)</t>
  </si>
  <si>
    <t xml:space="preserve">imigh</t>
  </si>
  <si>
    <t xml:space="preserve">ag imeacht</t>
  </si>
  <si>
    <t xml:space="preserve">to leave, depart (leaving, departing)</t>
  </si>
  <si>
    <t xml:space="preserve">V2220</t>
  </si>
  <si>
    <t xml:space="preserve">inis do (ag insint do)</t>
  </si>
  <si>
    <t xml:space="preserve">inis do</t>
  </si>
  <si>
    <t xml:space="preserve">ag insint do</t>
  </si>
  <si>
    <t xml:space="preserve">to tell a story (telling a story)</t>
  </si>
  <si>
    <t xml:space="preserve">V2221</t>
  </si>
  <si>
    <t xml:space="preserve">iompair (ag iompar)</t>
  </si>
  <si>
    <t xml:space="preserve">iompair</t>
  </si>
  <si>
    <t xml:space="preserve">ag iompar</t>
  </si>
  <si>
    <t xml:space="preserve">to carry (carrying)</t>
  </si>
  <si>
    <t xml:space="preserve">V2222</t>
  </si>
  <si>
    <t xml:space="preserve">laghdaigh (ag laghdú)</t>
  </si>
  <si>
    <t xml:space="preserve">laghdaigh</t>
  </si>
  <si>
    <t xml:space="preserve">ag laghdú</t>
  </si>
  <si>
    <t xml:space="preserve">to reduce (reducing)</t>
  </si>
  <si>
    <t xml:space="preserve">V2223</t>
  </si>
  <si>
    <t xml:space="preserve">V2224</t>
  </si>
  <si>
    <t xml:space="preserve">mair (ag maireachtáil)</t>
  </si>
  <si>
    <t xml:space="preserve">mair</t>
  </si>
  <si>
    <t xml:space="preserve">to last (lasting)</t>
  </si>
  <si>
    <t xml:space="preserve">V2225</t>
  </si>
  <si>
    <t xml:space="preserve">ordaigh (ag ordú)</t>
  </si>
  <si>
    <t xml:space="preserve">ordaigh</t>
  </si>
  <si>
    <t xml:space="preserve">ag ordú</t>
  </si>
  <si>
    <t xml:space="preserve">to order (ordering)</t>
  </si>
  <si>
    <t xml:space="preserve">V2226</t>
  </si>
  <si>
    <t xml:space="preserve">to separate (separating)</t>
  </si>
  <si>
    <t xml:space="preserve">V2227</t>
  </si>
  <si>
    <t xml:space="preserve">to select (selecting)</t>
  </si>
  <si>
    <t xml:space="preserve">V2228</t>
  </si>
  <si>
    <t xml:space="preserve">sábháil (ag sábháil)</t>
  </si>
  <si>
    <t xml:space="preserve">sábháil</t>
  </si>
  <si>
    <t xml:space="preserve">ag sábháil</t>
  </si>
  <si>
    <t xml:space="preserve">V2229</t>
  </si>
  <si>
    <t xml:space="preserve">salaigh (ag salú)</t>
  </si>
  <si>
    <t xml:space="preserve">salaigh</t>
  </si>
  <si>
    <t xml:space="preserve">ag salú</t>
  </si>
  <si>
    <t xml:space="preserve">mark (marking) (stain)</t>
  </si>
  <si>
    <t xml:space="preserve">V2230</t>
  </si>
  <si>
    <t xml:space="preserve">to earn (earning)</t>
  </si>
  <si>
    <t xml:space="preserve">V2231</t>
  </si>
  <si>
    <t xml:space="preserve">sásaigh (ag sású)</t>
  </si>
  <si>
    <t xml:space="preserve">sásaigh</t>
  </si>
  <si>
    <t xml:space="preserve">ag sású</t>
  </si>
  <si>
    <t xml:space="preserve">to please (pleasing)</t>
  </si>
  <si>
    <t xml:space="preserve">V2232</t>
  </si>
  <si>
    <t xml:space="preserve">scimeáil (ag scimeáil)</t>
  </si>
  <si>
    <t xml:space="preserve">scimeáil</t>
  </si>
  <si>
    <t xml:space="preserve">ag scimeáil</t>
  </si>
  <si>
    <t xml:space="preserve">to surf (surfing) (the web)</t>
  </si>
  <si>
    <t xml:space="preserve">V2233</t>
  </si>
  <si>
    <t xml:space="preserve">to delete (deleting)</t>
  </si>
  <si>
    <t xml:space="preserve">V2234</t>
  </si>
  <si>
    <t xml:space="preserve">seachain (ag seachaint)</t>
  </si>
  <si>
    <t xml:space="preserve">seachain</t>
  </si>
  <si>
    <t xml:space="preserve">ag seachaint</t>
  </si>
  <si>
    <t xml:space="preserve">to avoid (avoiding)</t>
  </si>
  <si>
    <t xml:space="preserve">V2235</t>
  </si>
  <si>
    <t xml:space="preserve">seiceáil (ag seiceáil)</t>
  </si>
  <si>
    <t xml:space="preserve">seiceáil</t>
  </si>
  <si>
    <t xml:space="preserve">ag seiceáil</t>
  </si>
  <si>
    <t xml:space="preserve">to check (checking)</t>
  </si>
  <si>
    <t xml:space="preserve">V2236</t>
  </si>
  <si>
    <t xml:space="preserve">V2237</t>
  </si>
  <si>
    <t xml:space="preserve">stad (ag stadadh)</t>
  </si>
  <si>
    <t xml:space="preserve">stad</t>
  </si>
  <si>
    <t xml:space="preserve">ag stadadh</t>
  </si>
  <si>
    <t xml:space="preserve">V2238</t>
  </si>
  <si>
    <t xml:space="preserve">surfáil (ag surfáil)</t>
  </si>
  <si>
    <t xml:space="preserve">surfáil</t>
  </si>
  <si>
    <t xml:space="preserve">ag surfáil</t>
  </si>
  <si>
    <t xml:space="preserve">to surf (surfing) (watersport)</t>
  </si>
  <si>
    <t xml:space="preserve">V2239</t>
  </si>
  <si>
    <t xml:space="preserve">tabhair ar iasacht (ag tabhairt ar iasacht)</t>
  </si>
  <si>
    <t xml:space="preserve">tabhair ar iasacht</t>
  </si>
  <si>
    <t xml:space="preserve">ag tabhairt ar iasacht</t>
  </si>
  <si>
    <t xml:space="preserve">to lend (lending)</t>
  </si>
  <si>
    <t xml:space="preserve">V2240</t>
  </si>
  <si>
    <t xml:space="preserve">to allow (allowing)</t>
  </si>
  <si>
    <t xml:space="preserve">V2241</t>
  </si>
  <si>
    <t xml:space="preserve">tar ar ais (ag teacht ar ais)</t>
  </si>
  <si>
    <t xml:space="preserve">tar ar ais</t>
  </si>
  <si>
    <t xml:space="preserve">ag teacht ar ais</t>
  </si>
  <si>
    <t xml:space="preserve">V2242</t>
  </si>
  <si>
    <t xml:space="preserve">tarlaigh (ag tarlú)</t>
  </si>
  <si>
    <t xml:space="preserve">tarlaigh</t>
  </si>
  <si>
    <t xml:space="preserve">ag tarlú</t>
  </si>
  <si>
    <t xml:space="preserve">to take place (taking place)</t>
  </si>
  <si>
    <t xml:space="preserve">V2243</t>
  </si>
  <si>
    <t xml:space="preserve">tar le chéile (ag teacht le chéile)</t>
  </si>
  <si>
    <t xml:space="preserve">tar le chéile</t>
  </si>
  <si>
    <t xml:space="preserve">ag teacht le chéile</t>
  </si>
  <si>
    <t xml:space="preserve">to match (matching)</t>
  </si>
  <si>
    <t xml:space="preserve">V2244</t>
  </si>
  <si>
    <t xml:space="preserve">téigh isteach (ag dul isteach)</t>
  </si>
  <si>
    <t xml:space="preserve">téigh isteach</t>
  </si>
  <si>
    <t xml:space="preserve">ag dul isteach</t>
  </si>
  <si>
    <t xml:space="preserve">to enter (entering)</t>
  </si>
  <si>
    <t xml:space="preserve">V2245</t>
  </si>
  <si>
    <t xml:space="preserve">tit (ag titim)</t>
  </si>
  <si>
    <t xml:space="preserve">tit</t>
  </si>
  <si>
    <t xml:space="preserve">ag titim</t>
  </si>
  <si>
    <t xml:space="preserve">to fall (falling)</t>
  </si>
  <si>
    <t xml:space="preserve">V2246</t>
  </si>
  <si>
    <t xml:space="preserve">V2247</t>
  </si>
  <si>
    <t xml:space="preserve">trasnaigh (ag trasnú)</t>
  </si>
  <si>
    <t xml:space="preserve">trasnaigh</t>
  </si>
  <si>
    <t xml:space="preserve">ag trasnú</t>
  </si>
  <si>
    <t xml:space="preserve">to cross (crossing)</t>
  </si>
  <si>
    <t xml:space="preserve">Question (Irish)</t>
  </si>
  <si>
    <t xml:space="preserve">Question (English)</t>
  </si>
  <si>
    <t xml:space="preserve">Model answer (Foundation)</t>
  </si>
  <si>
    <t xml:space="preserve">Model answer (Higher)</t>
  </si>
  <si>
    <t xml:space="preserve">Q001</t>
  </si>
  <si>
    <t xml:space="preserve">Cad é an t-ainm atá ort?</t>
  </si>
  <si>
    <t xml:space="preserve">Q002</t>
  </si>
  <si>
    <t xml:space="preserve">Cá bhfuil tú i do chónaí?</t>
  </si>
  <si>
    <t xml:space="preserve">Q003</t>
  </si>
  <si>
    <t xml:space="preserve">Cá mhéad duine atá sa teaghlach?</t>
  </si>
  <si>
    <t xml:space="preserve">Q004</t>
  </si>
  <si>
    <t xml:space="preserve">Cá mhéad deartháir atá agat?</t>
  </si>
  <si>
    <t xml:space="preserve">Q005</t>
  </si>
  <si>
    <t xml:space="preserve">Cá mhéad deirfiúr atá agat?</t>
  </si>
  <si>
    <t xml:space="preserve">Q006</t>
  </si>
  <si>
    <t xml:space="preserve">Cá bhfuil tú ar scoil?</t>
  </si>
  <si>
    <t xml:space="preserve">Q007</t>
  </si>
  <si>
    <t xml:space="preserve">Cad é an rang ina bhfuil tú?</t>
  </si>
  <si>
    <t xml:space="preserve">Q008</t>
  </si>
  <si>
    <t xml:space="preserve">Déan cur síos ort féin.</t>
  </si>
  <si>
    <t xml:space="preserve">Q009</t>
  </si>
  <si>
    <t xml:space="preserve">Cad é an aois thú?</t>
  </si>
  <si>
    <t xml:space="preserve">Q010</t>
  </si>
  <si>
    <t xml:space="preserve">Cad é dáta do lá breithe?</t>
  </si>
  <si>
    <t xml:space="preserve">Q011</t>
  </si>
  <si>
    <t xml:space="preserve">Cé hé an duine is sine/is óige sa teaghlach?</t>
  </si>
  <si>
    <t xml:space="preserve">Q012</t>
  </si>
  <si>
    <t xml:space="preserve">Cá mhéad atá níos sine/óige ná tú?</t>
  </si>
  <si>
    <t xml:space="preserve">Q013</t>
  </si>
  <si>
    <t xml:space="preserve">Déan cur síos ar do dheartháir/dheirfiúr.</t>
  </si>
  <si>
    <t xml:space="preserve">Q014</t>
  </si>
  <si>
    <t xml:space="preserve">Cad é a dhéanann do dheartháir/dheirfiúr?</t>
  </si>
  <si>
    <t xml:space="preserve">Q015</t>
  </si>
  <si>
    <t xml:space="preserve">Cad é mar a réitíonn tú le do chlann?</t>
  </si>
  <si>
    <t xml:space="preserve">Q016</t>
  </si>
  <si>
    <t xml:space="preserve">Inis dom fút féin.</t>
  </si>
  <si>
    <t xml:space="preserve">Q017</t>
  </si>
  <si>
    <t xml:space="preserve">Déan cur síos ar do chara is fearr.</t>
  </si>
  <si>
    <t xml:space="preserve">Q018</t>
  </si>
  <si>
    <t xml:space="preserve">Déan cur síos ar an phopcheoltóir is fearr.</t>
  </si>
  <si>
    <t xml:space="preserve">Q019</t>
  </si>
  <si>
    <t xml:space="preserve">Déan cur síos ar dhuine a bhfuil meas agat air/uirthi.</t>
  </si>
  <si>
    <t xml:space="preserve">Q020</t>
  </si>
  <si>
    <t xml:space="preserve">Cad é a dhéanann tú féin agus do chairde le chéile?</t>
  </si>
  <si>
    <t xml:space="preserve">Q021</t>
  </si>
  <si>
    <t xml:space="preserve">Cad chuige a bhfuil sé tábhachtach cara maith a bheith agat?</t>
  </si>
  <si>
    <t xml:space="preserve">Q022</t>
  </si>
  <si>
    <t xml:space="preserve">An bhfuil ríomhaire agat?</t>
  </si>
  <si>
    <t xml:space="preserve">Social media and new technology</t>
  </si>
  <si>
    <t xml:space="preserve">Q023</t>
  </si>
  <si>
    <t xml:space="preserve">An imríonn tú cluichí ar do ríomhaire?</t>
  </si>
  <si>
    <t xml:space="preserve">Q024</t>
  </si>
  <si>
    <t xml:space="preserve">Cad iad na cluichí a imríonn tú ar do ríomhaire?</t>
  </si>
  <si>
    <t xml:space="preserve">Q025</t>
  </si>
  <si>
    <t xml:space="preserve">An íoslódálann tú ceol ar do ríomhaire?</t>
  </si>
  <si>
    <t xml:space="preserve">Q026</t>
  </si>
  <si>
    <t xml:space="preserve">An ndéanann tú comhrá le do chairde ar líne?</t>
  </si>
  <si>
    <t xml:space="preserve">Q027</t>
  </si>
  <si>
    <t xml:space="preserve">An dtéann tú ar shuíomhanna meáin shóisialta?</t>
  </si>
  <si>
    <t xml:space="preserve">Q028</t>
  </si>
  <si>
    <t xml:space="preserve">An labhraíonn tú le do chairde ar líne?</t>
  </si>
  <si>
    <t xml:space="preserve">Q029</t>
  </si>
  <si>
    <t xml:space="preserve">Cén cineál rudaí a dhéanann tú ar líne?</t>
  </si>
  <si>
    <t xml:space="preserve">Q030</t>
  </si>
  <si>
    <t xml:space="preserve">An bhfuil na meáin shóisialta tábhachtach i do shaol?</t>
  </si>
  <si>
    <t xml:space="preserve">Q031</t>
  </si>
  <si>
    <t xml:space="preserve">Cad iad na buntáistí/míbhuntáistí a bhaineann leis na meáin shóisialta?</t>
  </si>
  <si>
    <t xml:space="preserve">Q032</t>
  </si>
  <si>
    <t xml:space="preserve">An bhfuil go leor oideachais sna scoileanna faoi na meáin shóisialta?</t>
  </si>
  <si>
    <t xml:space="preserve">Q033</t>
  </si>
  <si>
    <t xml:space="preserve">An mbraitheann an t-aos óg barraíocht ar na meáin shóisialta?</t>
  </si>
  <si>
    <t xml:space="preserve">Q034</t>
  </si>
  <si>
    <t xml:space="preserve">Cad é an cineál teicneolaíochta a úsáideann tú?</t>
  </si>
  <si>
    <t xml:space="preserve">Q035</t>
  </si>
  <si>
    <t xml:space="preserve">An bhfuil fón cliste/táibléad agat?</t>
  </si>
  <si>
    <t xml:space="preserve">Q036</t>
  </si>
  <si>
    <t xml:space="preserve">Cad iad an cineál rudaí a thig leat a dhéanamh ar do ghuthán cliste?</t>
  </si>
  <si>
    <t xml:space="preserve">Q037</t>
  </si>
  <si>
    <t xml:space="preserve">Cad iad na buntáistí/míbhuntáistí a bhaineann leis an teicneolaíocht chliste?</t>
  </si>
  <si>
    <t xml:space="preserve">Q038</t>
  </si>
  <si>
    <t xml:space="preserve">An mbraitheann an t-aos óg barraíocht ar theicneolaíocht chliste?</t>
  </si>
  <si>
    <t xml:space="preserve">Q039</t>
  </si>
  <si>
    <t xml:space="preserve">Cad é an caitheamh aimsire is fearr leat?</t>
  </si>
  <si>
    <t xml:space="preserve">Free time, leisure and daily routine</t>
  </si>
  <si>
    <t xml:space="preserve">Q040</t>
  </si>
  <si>
    <t xml:space="preserve">An maith leat an teilifís/spórt?</t>
  </si>
  <si>
    <t xml:space="preserve">Q041</t>
  </si>
  <si>
    <t xml:space="preserve">Cad é an clár teilifíse is fearr leat?</t>
  </si>
  <si>
    <t xml:space="preserve">Q042</t>
  </si>
  <si>
    <t xml:space="preserve">An imríonn tú spórt ar bith?</t>
  </si>
  <si>
    <t xml:space="preserve">Q043</t>
  </si>
  <si>
    <t xml:space="preserve">An amharcann tú ar an teilifís?</t>
  </si>
  <si>
    <t xml:space="preserve">Q044</t>
  </si>
  <si>
    <t xml:space="preserve">Cé hé/hí an popcheoltóir/an t-imreoir is fearr leat?</t>
  </si>
  <si>
    <t xml:space="preserve">Q045</t>
  </si>
  <si>
    <t xml:space="preserve">Inis dom trí rud a dhéanann tú ag deireadh na seachtaine.</t>
  </si>
  <si>
    <t xml:space="preserve">Q046</t>
  </si>
  <si>
    <t xml:space="preserve">An imríonn tú cluichí ar an ríomhaire/ar líne?</t>
  </si>
  <si>
    <t xml:space="preserve">Q047</t>
  </si>
  <si>
    <t xml:space="preserve">An bhfuil consól cluichí agat?</t>
  </si>
  <si>
    <t xml:space="preserve">Q048</t>
  </si>
  <si>
    <t xml:space="preserve">An dtéann tú chuig an phictiúrlann?</t>
  </si>
  <si>
    <t xml:space="preserve">Q049</t>
  </si>
  <si>
    <t xml:space="preserve">Cad é a dhéanann tú le do chairde?</t>
  </si>
  <si>
    <t xml:space="preserve">Q050</t>
  </si>
  <si>
    <t xml:space="preserve">Cad é mar a chaitheann tú d’am saor?</t>
  </si>
  <si>
    <t xml:space="preserve">Q051</t>
  </si>
  <si>
    <t xml:space="preserve">Cad é a rinne/dhéanann/dhéanfaidh tú ag deireadh na seachtaine?</t>
  </si>
  <si>
    <t xml:space="preserve">Q052</t>
  </si>
  <si>
    <t xml:space="preserve">Déan cur síos ar dheireadh na seachtaine dom.</t>
  </si>
  <si>
    <t xml:space="preserve">Q053</t>
  </si>
  <si>
    <t xml:space="preserve">Cad é a dhéanann tú faoi choinne saol sóisialta?</t>
  </si>
  <si>
    <t xml:space="preserve">Q054</t>
  </si>
  <si>
    <t xml:space="preserve">Inis dom faoin scannán is fearr dá bhfaca tú riamh.</t>
  </si>
  <si>
    <t xml:space="preserve">Q055</t>
  </si>
  <si>
    <t xml:space="preserve">An fearr dul chuig an phictiúrlann nó scannán a íoslódáil ar do ríomhaire?</t>
  </si>
  <si>
    <t xml:space="preserve">Q056</t>
  </si>
  <si>
    <t xml:space="preserve">Cad é a rinne/dhéanann/dhéanfaidh tú i ndiaidh na scoile/ag an deireadh seachtaine?</t>
  </si>
  <si>
    <t xml:space="preserve">Q057</t>
  </si>
  <si>
    <t xml:space="preserve">Cad iad na háiseanna sóisialta atá anseo?</t>
  </si>
  <si>
    <t xml:space="preserve">Q058</t>
  </si>
  <si>
    <t xml:space="preserve">An bhfuil dúil agat sa spórt?</t>
  </si>
  <si>
    <t xml:space="preserve">Q059</t>
  </si>
  <si>
    <t xml:space="preserve">Cad chuige a bhfuil rudaí cosúil le spórt tábhachtach?</t>
  </si>
  <si>
    <t xml:space="preserve">Q060</t>
  </si>
  <si>
    <t xml:space="preserve">Cad chuige a bhfuil sé tábhachtach caitheamh aimsire a bheith agat?</t>
  </si>
  <si>
    <t xml:space="preserve">Q061</t>
  </si>
  <si>
    <t xml:space="preserve">An mbaineann tú úsáid as an teicneolaíocht mar chaitheamh aimsire?</t>
  </si>
  <si>
    <t xml:space="preserve">Q062</t>
  </si>
  <si>
    <t xml:space="preserve">An mbraitheann an t-aos óg barraíocht ar an teicneolaíocht mar chaitheamh aimsire?</t>
  </si>
  <si>
    <t xml:space="preserve">Q063</t>
  </si>
  <si>
    <t xml:space="preserve">Cad é an t-am ar éirigh/a n-éiríonn tú/a n-éireoidh tú/gach lá/Dé Sathairn?</t>
  </si>
  <si>
    <t xml:space="preserve">Q064</t>
  </si>
  <si>
    <t xml:space="preserve">Cé a dhéanann an bricfeasta/dinnéar réidh?</t>
  </si>
  <si>
    <t xml:space="preserve">Q065</t>
  </si>
  <si>
    <t xml:space="preserve">Cad é a itheann tú don bhricfeasta/lón?</t>
  </si>
  <si>
    <t xml:space="preserve">Q066</t>
  </si>
  <si>
    <t xml:space="preserve">Cad é mar a chuaigh tú/théann tú ar scoil?</t>
  </si>
  <si>
    <t xml:space="preserve">Q067</t>
  </si>
  <si>
    <t xml:space="preserve">Cad é an t-am a dtosaíonn/a gcríochnaíonn an scoil?</t>
  </si>
  <si>
    <t xml:space="preserve">Q068</t>
  </si>
  <si>
    <t xml:space="preserve">Cad é a dhéanann tú i ndiaidh na scoile?</t>
  </si>
  <si>
    <t xml:space="preserve">Q069</t>
  </si>
  <si>
    <t xml:space="preserve">Cad é an t-am a n-éiríonn tú ag an deireadh seachtaine?</t>
  </si>
  <si>
    <t xml:space="preserve">Q070</t>
  </si>
  <si>
    <t xml:space="preserve">Déan cur síos ar ghnáthlá scoile dom.</t>
  </si>
  <si>
    <t xml:space="preserve">Q071</t>
  </si>
  <si>
    <t xml:space="preserve">Inis dom cad é a rinne/a dhéanann/a dhéanfaidh tú Dé Sathairn.</t>
  </si>
  <si>
    <t xml:space="preserve">Q072</t>
  </si>
  <si>
    <t xml:space="preserve">Cad é mar a chuidíonn tú sa teach?</t>
  </si>
  <si>
    <t xml:space="preserve">Q073</t>
  </si>
  <si>
    <t xml:space="preserve">Inis dom cad é a dhéanfaidh tú inniu nuair a bheidh an scoil thart.</t>
  </si>
  <si>
    <t xml:space="preserve">Q074</t>
  </si>
  <si>
    <t xml:space="preserve">Inis dom cad é a rinne tú inné.</t>
  </si>
  <si>
    <t xml:space="preserve">Q075</t>
  </si>
  <si>
    <t xml:space="preserve">Inis dom cad é a dhéanfaidh tú amárach.</t>
  </si>
  <si>
    <t xml:space="preserve">Q076</t>
  </si>
  <si>
    <t xml:space="preserve">Inis dom cad é a dhéanann tú lá ar bith i do laethanta saoire.</t>
  </si>
  <si>
    <t xml:space="preserve">Q077</t>
  </si>
  <si>
    <t xml:space="preserve">Cad é mar a chaith/chaitheann/chaithfidh tú d’am ag deireadh na seachtaine?</t>
  </si>
  <si>
    <t xml:space="preserve">Q078</t>
  </si>
  <si>
    <t xml:space="preserve">Cad é an mhí ina mbíonn do lá breithe/an Samhain/an Cháisc/an Nollaig?</t>
  </si>
  <si>
    <t xml:space="preserve">Culture, customs, festivals and celebrations</t>
  </si>
  <si>
    <t xml:space="preserve">Q079</t>
  </si>
  <si>
    <t xml:space="preserve">Cad é a dhéanann tú ag an Nollaig?</t>
  </si>
  <si>
    <t xml:space="preserve">Q080</t>
  </si>
  <si>
    <t xml:space="preserve">Cé acu is fearr leat – do lá breithe nó an Nollaig?</t>
  </si>
  <si>
    <t xml:space="preserve">Q081</t>
  </si>
  <si>
    <t xml:space="preserve">Cén cineál bronntanais is fearr leat a fháil?</t>
  </si>
  <si>
    <t xml:space="preserve">Q082</t>
  </si>
  <si>
    <t xml:space="preserve">Inis dom cad é a dhéanann tú ar do lá breithe/ag an Samhain/ag an Nollaig.</t>
  </si>
  <si>
    <t xml:space="preserve">Q083</t>
  </si>
  <si>
    <t xml:space="preserve">Cé acu an t-am den bhliain is fearr leat agus cad chuige?</t>
  </si>
  <si>
    <t xml:space="preserve">Q084</t>
  </si>
  <si>
    <t xml:space="preserve">An síleann tú go bhfuil barraíocht béime ar bhronntanais anois?</t>
  </si>
  <si>
    <t xml:space="preserve">Q085</t>
  </si>
  <si>
    <t xml:space="preserve">An bhfuil suim agat i gcultúir eile?</t>
  </si>
  <si>
    <t xml:space="preserve">Q086</t>
  </si>
  <si>
    <t xml:space="preserve">Cad é mar a fhoghlaimíonn tú faoi chultúir eile?</t>
  </si>
  <si>
    <t xml:space="preserve">Q087</t>
  </si>
  <si>
    <t xml:space="preserve">My local area and the wider environment</t>
  </si>
  <si>
    <t xml:space="preserve">Q088</t>
  </si>
  <si>
    <t xml:space="preserve">Cad é an cineál tí atá agat?</t>
  </si>
  <si>
    <t xml:space="preserve">Q089</t>
  </si>
  <si>
    <t xml:space="preserve">Cá mhéad seomra atá sa teach?</t>
  </si>
  <si>
    <t xml:space="preserve">Q090</t>
  </si>
  <si>
    <t xml:space="preserve">Cá mhéad seomra atá thuas staighre?</t>
  </si>
  <si>
    <t xml:space="preserve">Q091</t>
  </si>
  <si>
    <t xml:space="preserve">Cá mhéad seomra atá thíos staighre?</t>
  </si>
  <si>
    <t xml:space="preserve">Q092</t>
  </si>
  <si>
    <t xml:space="preserve">Déan cur síos ar do sheomra leapa.</t>
  </si>
  <si>
    <t xml:space="preserve">Q093</t>
  </si>
  <si>
    <t xml:space="preserve">Cad é an seomra sa teach ina bhfaigheann tú __________?</t>
  </si>
  <si>
    <t xml:space="preserve">Q094</t>
  </si>
  <si>
    <t xml:space="preserve">An maith leat __________?</t>
  </si>
  <si>
    <t xml:space="preserve">Q095</t>
  </si>
  <si>
    <t xml:space="preserve">An maith leat do cheantar?</t>
  </si>
  <si>
    <t xml:space="preserve">Q096</t>
  </si>
  <si>
    <t xml:space="preserve">Inis dom rud amháin nach maith leat i do cheantar.</t>
  </si>
  <si>
    <t xml:space="preserve">Q097</t>
  </si>
  <si>
    <t xml:space="preserve">Cá háit go díreach a bhfuil do theach suite?</t>
  </si>
  <si>
    <t xml:space="preserve">Q098</t>
  </si>
  <si>
    <t xml:space="preserve">Cad iad na háiseanna atá cóngarach don teach?</t>
  </si>
  <si>
    <t xml:space="preserve">Q099</t>
  </si>
  <si>
    <t xml:space="preserve">Déan cur síos iomlán ar an teach.</t>
  </si>
  <si>
    <t xml:space="preserve">Q100</t>
  </si>
  <si>
    <t xml:space="preserve">An maith leat an áit ina bhfuil tú i do chónaí?</t>
  </si>
  <si>
    <t xml:space="preserve">Q101</t>
  </si>
  <si>
    <t xml:space="preserve">Cad é an sórt áite í __________?</t>
  </si>
  <si>
    <t xml:space="preserve">Q102</t>
  </si>
  <si>
    <t xml:space="preserve">Déan cur síos ar __________.</t>
  </si>
  <si>
    <t xml:space="preserve">Q103</t>
  </si>
  <si>
    <t xml:space="preserve">Cad iad na buntáistí/míbhuntáistí a bhaineann le __________?</t>
  </si>
  <si>
    <t xml:space="preserve">Q104</t>
  </si>
  <si>
    <t xml:space="preserve">Cad é mar atá an saol sóisialta i(n) __________?</t>
  </si>
  <si>
    <t xml:space="preserve">Q105</t>
  </si>
  <si>
    <t xml:space="preserve">An bhfuil fadhbanna sóisialta ar bith i(n) __________?</t>
  </si>
  <si>
    <t xml:space="preserve">Q106</t>
  </si>
  <si>
    <t xml:space="preserve">Cad é an rud is mó/is lú a thaitníonn leat faoi __________?</t>
  </si>
  <si>
    <t xml:space="preserve">Q107</t>
  </si>
  <si>
    <t xml:space="preserve">An bhfuil mórán ann le déanamh ag an aos óg?</t>
  </si>
  <si>
    <t xml:space="preserve">Q108</t>
  </si>
  <si>
    <t xml:space="preserve">Cad iad na háiseanna atá ar fáil i do cheantar dúchais?</t>
  </si>
  <si>
    <t xml:space="preserve">Q109</t>
  </si>
  <si>
    <t xml:space="preserve">Ar mhaith leat a bheith i do chónaí in áit ar bith eile? Cad chuige?</t>
  </si>
  <si>
    <t xml:space="preserve">Q110</t>
  </si>
  <si>
    <t xml:space="preserve">Cad é an difear idir bheith i do chónaí sa chathair nó faoin tuath?</t>
  </si>
  <si>
    <t xml:space="preserve">Q111</t>
  </si>
  <si>
    <t xml:space="preserve">Cé acu ab’fhearr leat agus cad chuige?</t>
  </si>
  <si>
    <t xml:space="preserve">Q112</t>
  </si>
  <si>
    <t xml:space="preserve">An maith leat a bheith i do chónaí in Éirinn/i dTuaisceart na hÉireann?</t>
  </si>
  <si>
    <t xml:space="preserve">Q113</t>
  </si>
  <si>
    <t xml:space="preserve">Cad é atá deas faoi Éirinn/Thuaisceart na hÉireann?</t>
  </si>
  <si>
    <t xml:space="preserve">Q114</t>
  </si>
  <si>
    <t xml:space="preserve">Cad é nach maith leat faoi Éirinn/Thuaisceart na hÉireann?</t>
  </si>
  <si>
    <t xml:space="preserve">Q115</t>
  </si>
  <si>
    <t xml:space="preserve">An raibh tú riamh sa Ghaeltacht?</t>
  </si>
  <si>
    <t xml:space="preserve">Q116</t>
  </si>
  <si>
    <t xml:space="preserve">Cad é an teanga a labhraíonn daoine sa Ghaeltacht?</t>
  </si>
  <si>
    <t xml:space="preserve">Q117</t>
  </si>
  <si>
    <t xml:space="preserve">An raibh tú riamh ar choláiste samhraidh?</t>
  </si>
  <si>
    <t xml:space="preserve">Q118</t>
  </si>
  <si>
    <t xml:space="preserve">Cad é an rud is mó a thaitníonn/nach dtaitníonn leat faoi do shaol in Éirinn/ i dTuaisceart na hÉireann?</t>
  </si>
  <si>
    <t xml:space="preserve">Q119</t>
  </si>
  <si>
    <t xml:space="preserve">Cad é mar atá muintir na hÉireann?</t>
  </si>
  <si>
    <t xml:space="preserve">Q120</t>
  </si>
  <si>
    <t xml:space="preserve">Cad é atá speisialta faoi cheantar Gaeltachta?</t>
  </si>
  <si>
    <t xml:space="preserve">Q121</t>
  </si>
  <si>
    <t xml:space="preserve">Inis dom cad é a tharlaíonn i gcoláiste samhraidh/Cuir síos ar lá i gcoláiste samhraidh.</t>
  </si>
  <si>
    <t xml:space="preserve">Q122</t>
  </si>
  <si>
    <t xml:space="preserve">An é do bharúil go gcuidíonn coláiste samhraidh le do chuid Gaeilge? Cad chuige?</t>
  </si>
  <si>
    <t xml:space="preserve">Q123</t>
  </si>
  <si>
    <t xml:space="preserve">Cad é a dhéanann grúpa cosúil le Trócaire/Concern/Oxfam?</t>
  </si>
  <si>
    <t xml:space="preserve">Q124</t>
  </si>
  <si>
    <t xml:space="preserve">An ndearna tú obair ar bith do ghrúpa cosúil le Trócaire/Concern/Oxfam?</t>
  </si>
  <si>
    <t xml:space="preserve">Q125</t>
  </si>
  <si>
    <t xml:space="preserve">Ar bhailigh tú airgead riamh do ghrúpa cosúil leis na Samaritans?</t>
  </si>
  <si>
    <t xml:space="preserve">Q126</t>
  </si>
  <si>
    <t xml:space="preserve">An bhfuil grúpa deonach sa scoil s’agatsa?</t>
  </si>
  <si>
    <t xml:space="preserve">Q127</t>
  </si>
  <si>
    <t xml:space="preserve">Cad é an cineál obair dheonach a tharlaíonn sa scoil s’agatsa?</t>
  </si>
  <si>
    <t xml:space="preserve">Q128</t>
  </si>
  <si>
    <t xml:space="preserve">Cad é an cineál rudaí a dhéantar sa scoil s’agatsa le cuidiú le daoine bochta?</t>
  </si>
  <si>
    <t xml:space="preserve">Q129</t>
  </si>
  <si>
    <t xml:space="preserve">An bhfuil baint agat le grúpa deonach ar bith sa scoil nó sa phobal?</t>
  </si>
  <si>
    <t xml:space="preserve">Q130</t>
  </si>
  <si>
    <t xml:space="preserve">Cad é a dhéanann an grúpa?</t>
  </si>
  <si>
    <t xml:space="preserve">Q131</t>
  </si>
  <si>
    <t xml:space="preserve">Ar reáchtáil tú imeacht riamh le cuidiú le daoine bochta? Cad é a rinne tú? Cé a tháinig chuige?</t>
  </si>
  <si>
    <t xml:space="preserve">Q132</t>
  </si>
  <si>
    <t xml:space="preserve">Cá mhéad airgid a bhailigh tú?</t>
  </si>
  <si>
    <t xml:space="preserve">Q133</t>
  </si>
  <si>
    <t xml:space="preserve">An síleann tú go gcuidíonn obair dheonach leat le scileanna idirphearsanta a fhoghlaim?</t>
  </si>
  <si>
    <t xml:space="preserve">Q134</t>
  </si>
  <si>
    <t xml:space="preserve">Cad iad na scileanna sin?</t>
  </si>
  <si>
    <t xml:space="preserve">Q135</t>
  </si>
  <si>
    <t xml:space="preserve">Cad é an cineál bia a itheann tú le tú féin a choinneáil sláintiúil?</t>
  </si>
  <si>
    <t xml:space="preserve">Social and global issues</t>
  </si>
  <si>
    <t xml:space="preserve">Q136</t>
  </si>
  <si>
    <t xml:space="preserve">Cad é an bia nár chóir duit a ithe?</t>
  </si>
  <si>
    <t xml:space="preserve">Q137</t>
  </si>
  <si>
    <t xml:space="preserve">Cad é a dhéanann tú le coinneáil sláintiúil?</t>
  </si>
  <si>
    <t xml:space="preserve">Q138</t>
  </si>
  <si>
    <t xml:space="preserve">An dtéann tú chuig an spórtlann go minic?</t>
  </si>
  <si>
    <t xml:space="preserve">Q139</t>
  </si>
  <si>
    <t xml:space="preserve">Cad iad na háiseanna sa cheantar s’agatsa atá maith le cuidiú leat a bheith sláintiúil?</t>
  </si>
  <si>
    <t xml:space="preserve">Q140</t>
  </si>
  <si>
    <t xml:space="preserve">An bhfuil an bia i gceaintín na scoile sláintiúil?</t>
  </si>
  <si>
    <t xml:space="preserve">Q141</t>
  </si>
  <si>
    <t xml:space="preserve">Cad é an cineál fadhbanna sóisialta atá sa cheantar s’agatsa?</t>
  </si>
  <si>
    <t xml:space="preserve">Q142</t>
  </si>
  <si>
    <t xml:space="preserve">An mbíonn fadhbanna sóisialta i do cheantar?</t>
  </si>
  <si>
    <t xml:space="preserve">Q143</t>
  </si>
  <si>
    <t xml:space="preserve">Cad é is cúis leis na fadhbanna sóisialta?</t>
  </si>
  <si>
    <t xml:space="preserve">Q144</t>
  </si>
  <si>
    <t xml:space="preserve">An mbíonn fadhb leo seo i do cheantar: drugaí, alcól, spraoithiomáint nó iompar míshóisialta?</t>
  </si>
  <si>
    <t xml:space="preserve">Q145</t>
  </si>
  <si>
    <t xml:space="preserve">An ndéanann an scoil go leor le heolas a thabhairt do na scoláirí faoi na contúirtí atá ann?</t>
  </si>
  <si>
    <t xml:space="preserve">Q146</t>
  </si>
  <si>
    <t xml:space="preserve">Cad é a dhéanann an scoil?</t>
  </si>
  <si>
    <t xml:space="preserve">Q147</t>
  </si>
  <si>
    <t xml:space="preserve">Cad iad na rudaí a thig leat a dhéanamh le tú féin a choinneáil sláintiúil?</t>
  </si>
  <si>
    <t xml:space="preserve">Q148</t>
  </si>
  <si>
    <t xml:space="preserve">An gcuireann an scoil béim ar bhia sláintiúil?</t>
  </si>
  <si>
    <t xml:space="preserve">Q149</t>
  </si>
  <si>
    <t xml:space="preserve">Cad é faoin bhia i gceaintín na scoile – cad é atá ann atá sláintiúil?</t>
  </si>
  <si>
    <t xml:space="preserve">Q150</t>
  </si>
  <si>
    <t xml:space="preserve">An bhfuil suim agat sa domhan mór?</t>
  </si>
  <si>
    <t xml:space="preserve">Q151</t>
  </si>
  <si>
    <t xml:space="preserve">Cad é an cineál ruda a bhfuil suim agat ann?</t>
  </si>
  <si>
    <t xml:space="preserve">Q152</t>
  </si>
  <si>
    <t xml:space="preserve">An gcuidíonn tú le carthanacht ar bith?</t>
  </si>
  <si>
    <t xml:space="preserve">Q153</t>
  </si>
  <si>
    <t xml:space="preserve">An ndéanann an scoil rudaí le cuidiú le daoine bochta?</t>
  </si>
  <si>
    <t xml:space="preserve">Q154</t>
  </si>
  <si>
    <t xml:space="preserve">Cad é mar a thig linn cuidiú leis an domhan mór?</t>
  </si>
  <si>
    <t xml:space="preserve">Q155</t>
  </si>
  <si>
    <t xml:space="preserve">Cad é mar a thig linn cuidiú le daoine bochta?</t>
  </si>
  <si>
    <t xml:space="preserve">Q156</t>
  </si>
  <si>
    <t xml:space="preserve">An ndéanann an scoil go leor le heolas a thabhairt do na scoláirí faoin domhan mór/faoi dhaoine bochta sa tríú domhan/faoi dhaoine bochta inár dtír féin?</t>
  </si>
  <si>
    <t xml:space="preserve">Q157</t>
  </si>
  <si>
    <t xml:space="preserve">Cad é mar a thig linn cuidiú leis an timpeallacht dhomhanda?</t>
  </si>
  <si>
    <t xml:space="preserve">Q158</t>
  </si>
  <si>
    <t xml:space="preserve">Cá háit a ndeachaigh tú ar do laethanta saoire anuraidh?</t>
  </si>
  <si>
    <t xml:space="preserve">Q159</t>
  </si>
  <si>
    <t xml:space="preserve">Cé a bhí leat?</t>
  </si>
  <si>
    <t xml:space="preserve">Q160</t>
  </si>
  <si>
    <t xml:space="preserve">Cad é mar a chuaigh tú ann?</t>
  </si>
  <si>
    <t xml:space="preserve">Q161</t>
  </si>
  <si>
    <t xml:space="preserve">Cá háit ar stop tú?</t>
  </si>
  <si>
    <t xml:space="preserve">Q162</t>
  </si>
  <si>
    <t xml:space="preserve">Cá fhad a d’fhan tú?</t>
  </si>
  <si>
    <t xml:space="preserve">Q163</t>
  </si>
  <si>
    <t xml:space="preserve">Cad é mar a bhí an aimsir?</t>
  </si>
  <si>
    <t xml:space="preserve">Q164</t>
  </si>
  <si>
    <t xml:space="preserve">Cad é a rinne tú nuair a bhí tú ar laethanta saoire?</t>
  </si>
  <si>
    <t xml:space="preserve">Q165</t>
  </si>
  <si>
    <t xml:space="preserve">Cad é mar a bhí an lóistín?</t>
  </si>
  <si>
    <t xml:space="preserve">Q166</t>
  </si>
  <si>
    <t xml:space="preserve">Cad é mar a bhí an bia?</t>
  </si>
  <si>
    <t xml:space="preserve">Q167</t>
  </si>
  <si>
    <t xml:space="preserve">Cad é a thaitin/nár thaitin leat?</t>
  </si>
  <si>
    <t xml:space="preserve">Q168</t>
  </si>
  <si>
    <t xml:space="preserve">Inis dom faoi do laethanta saoire anuraidh.</t>
  </si>
  <si>
    <t xml:space="preserve">Q169</t>
  </si>
  <si>
    <t xml:space="preserve">Cé acu is fearr leat – laethanta saoire le do chairde nó laethanta saoire le do theaghlach? Cad chuige?</t>
  </si>
  <si>
    <t xml:space="preserve">Q170</t>
  </si>
  <si>
    <t xml:space="preserve">Déan cur síos ar an áit a raibh tú ar do laethanta saoire anuraidh.</t>
  </si>
  <si>
    <t xml:space="preserve">Q171</t>
  </si>
  <si>
    <t xml:space="preserve">Cad é an rud is mó a thaitin leat/nár thaitin leat faoin áit?</t>
  </si>
  <si>
    <t xml:space="preserve">Q172</t>
  </si>
  <si>
    <t xml:space="preserve">Inis dom na rudaí a rinne tú nuair a bhí tú ar laethanta saoire.</t>
  </si>
  <si>
    <t xml:space="preserve">Q173</t>
  </si>
  <si>
    <t xml:space="preserve">Cá háit a rachaidh tú ar do laethanta saoire i mbliana?</t>
  </si>
  <si>
    <t xml:space="preserve">Q174</t>
  </si>
  <si>
    <t xml:space="preserve">Cad iad na cineálacha rudaí a ba mhaith leat a dhéanamh/a fheiceáil?</t>
  </si>
  <si>
    <t xml:space="preserve">Q175</t>
  </si>
  <si>
    <t xml:space="preserve">Déan cur síos ar an áit is deise dá raibh tú riamh ann.</t>
  </si>
  <si>
    <t xml:space="preserve">Q176</t>
  </si>
  <si>
    <t xml:space="preserve">Cé acu is fearr leat – laethanta saoire thar sáile nó laethanta saoire in Éirinn? Cad chuige?</t>
  </si>
  <si>
    <t xml:space="preserve">Q177</t>
  </si>
  <si>
    <t xml:space="preserve">An síleann tú go bhfuil taisteal tábhachtach?</t>
  </si>
  <si>
    <t xml:space="preserve">Q178</t>
  </si>
  <si>
    <t xml:space="preserve">An maith leat a bheith ag taisteal? Cad chuige?</t>
  </si>
  <si>
    <t xml:space="preserve">Q179</t>
  </si>
  <si>
    <t xml:space="preserve">Cad iad na rudaí a fhoghlaimíonn tú agus tú ag taisteal?</t>
  </si>
  <si>
    <t xml:space="preserve">Q180</t>
  </si>
  <si>
    <t xml:space="preserve">Cá mhéad ábhar a dhéanann tú don TGMO?</t>
  </si>
  <si>
    <t xml:space="preserve">My studies and school life</t>
  </si>
  <si>
    <t xml:space="preserve">Q181</t>
  </si>
  <si>
    <t xml:space="preserve">Cad iad na hábhair a dhéanann tú ar scoil?</t>
  </si>
  <si>
    <t xml:space="preserve">Q182</t>
  </si>
  <si>
    <t xml:space="preserve">Cad é an t-ábhar is fearr leat?</t>
  </si>
  <si>
    <t xml:space="preserve">Q183</t>
  </si>
  <si>
    <t xml:space="preserve">Cad chuige ar maith leat an t-ábhar sin?</t>
  </si>
  <si>
    <t xml:space="preserve">Q184</t>
  </si>
  <si>
    <t xml:space="preserve">Cad é an t-ábhar nach maith leat?</t>
  </si>
  <si>
    <t xml:space="preserve">Q185</t>
  </si>
  <si>
    <t xml:space="preserve">Cad chuige nach maith leat an t-ábhar sin?</t>
  </si>
  <si>
    <t xml:space="preserve">Q186</t>
  </si>
  <si>
    <t xml:space="preserve">Inis dom faoi na hábhair a dhéanann tú ar scoil.</t>
  </si>
  <si>
    <t xml:space="preserve">Q187</t>
  </si>
  <si>
    <t xml:space="preserve">Cad é a dhéanann ábhar ar bith suimiúil?</t>
  </si>
  <si>
    <t xml:space="preserve">Q188</t>
  </si>
  <si>
    <t xml:space="preserve">Cé acu is fearr leat – ábhar le measúnú rialaithe nó ábhar gan é? Cad chuige?</t>
  </si>
  <si>
    <t xml:space="preserve">Q189</t>
  </si>
  <si>
    <t xml:space="preserve">An bhfuil barraíocht brú ar scoláirí mar gheall ar scrúduithe?</t>
  </si>
  <si>
    <t xml:space="preserve">Q190</t>
  </si>
  <si>
    <t xml:space="preserve">Cad iad na hábhair a dhéanfaidh tú ar an bhliain seo chugainn? Cad chuige?</t>
  </si>
  <si>
    <t xml:space="preserve">Q191</t>
  </si>
  <si>
    <t xml:space="preserve">Q192</t>
  </si>
  <si>
    <t xml:space="preserve">Q193</t>
  </si>
  <si>
    <t xml:space="preserve">Cad é an sórt scoile í?</t>
  </si>
  <si>
    <t xml:space="preserve">Q194</t>
  </si>
  <si>
    <t xml:space="preserve">Q195</t>
  </si>
  <si>
    <t xml:space="preserve">Cá mhéad rang a bhíonn ann gach lá?</t>
  </si>
  <si>
    <t xml:space="preserve">Q196</t>
  </si>
  <si>
    <t xml:space="preserve">Cá fhad a mhaireann gach rang?</t>
  </si>
  <si>
    <t xml:space="preserve">Q197</t>
  </si>
  <si>
    <t xml:space="preserve">Cad é mar a thagann tú ar scoil?</t>
  </si>
  <si>
    <t xml:space="preserve">Q198</t>
  </si>
  <si>
    <t xml:space="preserve">An bhfuil a lán rialacha sa scoil?</t>
  </si>
  <si>
    <t xml:space="preserve">Q199</t>
  </si>
  <si>
    <t xml:space="preserve">An aontaíonn tú leis na rialacha?</t>
  </si>
  <si>
    <t xml:space="preserve">Q200</t>
  </si>
  <si>
    <t xml:space="preserve">An maith leat an éide scoile?</t>
  </si>
  <si>
    <t xml:space="preserve">Q201</t>
  </si>
  <si>
    <t xml:space="preserve">Cad é an dath atá ar d’éide scoile?</t>
  </si>
  <si>
    <t xml:space="preserve">Q202</t>
  </si>
  <si>
    <t xml:space="preserve">Cad é nach maith leat faoin éide scoile?</t>
  </si>
  <si>
    <t xml:space="preserve">Q203</t>
  </si>
  <si>
    <t xml:space="preserve">Déan cur síos ar ghnáthlá scoile.</t>
  </si>
  <si>
    <t xml:space="preserve">Q204</t>
  </si>
  <si>
    <t xml:space="preserve">Cad é a dhéanann tú ag am lóin/am sosa?</t>
  </si>
  <si>
    <t xml:space="preserve">Q205</t>
  </si>
  <si>
    <t xml:space="preserve">Cad é an rud is mó/is lú a thaitníonn leat faoin scoil?</t>
  </si>
  <si>
    <t xml:space="preserve">Q206</t>
  </si>
  <si>
    <t xml:space="preserve">Déan cur síos iomlán ar an scoil.</t>
  </si>
  <si>
    <t xml:space="preserve">Q207</t>
  </si>
  <si>
    <t xml:space="preserve">Déan cur síos ar rialacha na scoile.</t>
  </si>
  <si>
    <t xml:space="preserve">Q208</t>
  </si>
  <si>
    <t xml:space="preserve">An aontaíonn tú leis na rialacha. Cad chuige?</t>
  </si>
  <si>
    <t xml:space="preserve">Q209</t>
  </si>
  <si>
    <t xml:space="preserve">Cad iad na háiseanna atá ar fáil sa scoil seo?</t>
  </si>
  <si>
    <t xml:space="preserve">Q210</t>
  </si>
  <si>
    <t xml:space="preserve">Cad é atá speisialta faoin scoil seo?</t>
  </si>
  <si>
    <t xml:space="preserve">Q211</t>
  </si>
  <si>
    <t xml:space="preserve">Déan cur síos ar d’éide scoile.</t>
  </si>
  <si>
    <t xml:space="preserve">Q212</t>
  </si>
  <si>
    <t xml:space="preserve">An síleann tú gur rud maith í an éide scoile?</t>
  </si>
  <si>
    <t xml:space="preserve">Q213</t>
  </si>
  <si>
    <t xml:space="preserve">An bhfuil tú i do bhall de chlub ar bith i ndiaidh na scoile?</t>
  </si>
  <si>
    <t xml:space="preserve">Q214</t>
  </si>
  <si>
    <t xml:space="preserve">An imríonn tú spórt ar bith ar scoil?</t>
  </si>
  <si>
    <t xml:space="preserve">Q215</t>
  </si>
  <si>
    <t xml:space="preserve">An bhfuil tú ar fhoireann na scoile?</t>
  </si>
  <si>
    <t xml:space="preserve">Q216</t>
  </si>
  <si>
    <t xml:space="preserve">An raibh tú riamh ar turas scoile?</t>
  </si>
  <si>
    <t xml:space="preserve">Q217</t>
  </si>
  <si>
    <t xml:space="preserve">Cá háit a ndeachaigh tú?</t>
  </si>
  <si>
    <t xml:space="preserve">Q218</t>
  </si>
  <si>
    <t xml:space="preserve">Cad é a dhéanann tú ag am lóin/am sosa/i ndiaidh na scoile?</t>
  </si>
  <si>
    <t xml:space="preserve">Q219</t>
  </si>
  <si>
    <t xml:space="preserve">Inis dom faoi imeachtaí/clubanna atá ann i ndiaidh na scoile.</t>
  </si>
  <si>
    <t xml:space="preserve">Q220</t>
  </si>
  <si>
    <t xml:space="preserve">An síleann tú go bhfuil sé tábhachtach a bheith páirteach i gclubanna, i bhfoirne agus ar eile?</t>
  </si>
  <si>
    <t xml:space="preserve">Q221</t>
  </si>
  <si>
    <t xml:space="preserve">Déan cur síos ar turas scoile a raibh tú air.</t>
  </si>
  <si>
    <t xml:space="preserve">Q222</t>
  </si>
  <si>
    <t xml:space="preserve">An síleann tú gur rud maith é don oideachas rud cosúil le turas sciála mar thuras scoile?</t>
  </si>
  <si>
    <t xml:space="preserve">Q223</t>
  </si>
  <si>
    <t xml:space="preserve">An bhfuil post páirtaimseartha agat?</t>
  </si>
  <si>
    <t xml:space="preserve">Part-time jobs and money management</t>
  </si>
  <si>
    <t xml:space="preserve">Q224</t>
  </si>
  <si>
    <t xml:space="preserve">Cá háit a n-oibríonn tú?</t>
  </si>
  <si>
    <t xml:space="preserve">Q225</t>
  </si>
  <si>
    <t xml:space="preserve">Cá mhéad uair an chloig a oibríonn tú?</t>
  </si>
  <si>
    <t xml:space="preserve">Q226</t>
  </si>
  <si>
    <t xml:space="preserve">Cá mhéad airgid a fhaigheann tú?</t>
  </si>
  <si>
    <t xml:space="preserve">Q227</t>
  </si>
  <si>
    <t xml:space="preserve">An maith leat an obair?</t>
  </si>
  <si>
    <t xml:space="preserve">Q228</t>
  </si>
  <si>
    <t xml:space="preserve">Cad é a cheannaíonn tú leis an airgead?</t>
  </si>
  <si>
    <t xml:space="preserve">Q229</t>
  </si>
  <si>
    <t xml:space="preserve">An raibh tú ar thaithí oibre?</t>
  </si>
  <si>
    <t xml:space="preserve">Q230</t>
  </si>
  <si>
    <t xml:space="preserve">Cá háit a raibh tú?</t>
  </si>
  <si>
    <t xml:space="preserve">Q231</t>
  </si>
  <si>
    <t xml:space="preserve">Cad é a rinne tú?</t>
  </si>
  <si>
    <t xml:space="preserve">Q232</t>
  </si>
  <si>
    <t xml:space="preserve">Ar thaitin an obair leat?</t>
  </si>
  <si>
    <t xml:space="preserve">Q233</t>
  </si>
  <si>
    <t xml:space="preserve">Inis dom faoi d’obair pháirtaimseartha.</t>
  </si>
  <si>
    <t xml:space="preserve">Q234</t>
  </si>
  <si>
    <t xml:space="preserve">Cad é go díreach a dhéanann tú?</t>
  </si>
  <si>
    <t xml:space="preserve">Q235</t>
  </si>
  <si>
    <t xml:space="preserve">Inis dom faoi do thaithí oibre.</t>
  </si>
  <si>
    <t xml:space="preserve">Q236</t>
  </si>
  <si>
    <t xml:space="preserve">Cad é mar a chuidigh taithí oibre leat?</t>
  </si>
  <si>
    <t xml:space="preserve">Q237</t>
  </si>
  <si>
    <t xml:space="preserve">Déan cur síos ar lá nuair a bhí tú ar thaithí oibre.</t>
  </si>
  <si>
    <t xml:space="preserve">Q238</t>
  </si>
  <si>
    <t xml:space="preserve">An é do bharúil gur rud maith í obair pháirtaimseartha?</t>
  </si>
  <si>
    <t xml:space="preserve">Q239</t>
  </si>
  <si>
    <t xml:space="preserve">Cad chuige?</t>
  </si>
  <si>
    <t xml:space="preserve">Q240</t>
  </si>
  <si>
    <t xml:space="preserve">An gcuidíonn obair pháirtaimseartha le d’obair scoile nó an gcuireann se isteach uirthi?</t>
  </si>
  <si>
    <t xml:space="preserve">Q241</t>
  </si>
  <si>
    <t xml:space="preserve">An mbeidh post páirtaimseartha agat i rith an tsamhraidh?</t>
  </si>
  <si>
    <t xml:space="preserve">Q242</t>
  </si>
  <si>
    <t xml:space="preserve">Cad é a dhéanfaidh tú?</t>
  </si>
  <si>
    <t xml:space="preserve">Q243</t>
  </si>
  <si>
    <t xml:space="preserve">Cad iad na scileanna a fhoghlaimíonn tú má bhíonn obair pháirtaimseartha agat?</t>
  </si>
  <si>
    <t xml:space="preserve">Q244</t>
  </si>
  <si>
    <t xml:space="preserve">An bhfaigheann tú airgead póca?</t>
  </si>
  <si>
    <t xml:space="preserve">Q245</t>
  </si>
  <si>
    <t xml:space="preserve">Cá mhéad airgead póca a fhaigheann tú sa tseachtain?</t>
  </si>
  <si>
    <t xml:space="preserve">Q246</t>
  </si>
  <si>
    <t xml:space="preserve">Cá mhéad airgid a fhaigheann tú ó d’obair pháirtaimseartha?</t>
  </si>
  <si>
    <t xml:space="preserve">Q247</t>
  </si>
  <si>
    <t xml:space="preserve">Cad é mar a chaitheann tú d’airgead póca?</t>
  </si>
  <si>
    <t xml:space="preserve">Q248</t>
  </si>
  <si>
    <t xml:space="preserve">An gcuireann tú airgead i dtaisce?</t>
  </si>
  <si>
    <t xml:space="preserve">Q249</t>
  </si>
  <si>
    <t xml:space="preserve">An bhfuil cuntas bainc agat?</t>
  </si>
  <si>
    <t xml:space="preserve">Q250</t>
  </si>
  <si>
    <t xml:space="preserve">Cad é mar a fhoghlaimíonn tú an dóigh le hairgead a láimhseáil?</t>
  </si>
  <si>
    <t xml:space="preserve">Q251</t>
  </si>
  <si>
    <t xml:space="preserve">Cad é a dhéanann tú le hairgead póca a shaothrú?</t>
  </si>
  <si>
    <t xml:space="preserve">Q252</t>
  </si>
  <si>
    <t xml:space="preserve">Cad é mar a fhoghlaimíonn tú faoi chúrsaí airgid ar scoil?</t>
  </si>
  <si>
    <t xml:space="preserve">Q253</t>
  </si>
  <si>
    <t xml:space="preserve">An síleann tú gur chóir do dhéagóirí airgead a thabhairt isteach don teach má bhíonn obair pháirtaimseartha acu?</t>
  </si>
  <si>
    <t xml:space="preserve">Q254</t>
  </si>
  <si>
    <t xml:space="preserve">Ar mhaith leat teacht ar ais ar scoil an bhliain seo chugainn?</t>
  </si>
  <si>
    <t xml:space="preserve">Q255</t>
  </si>
  <si>
    <t xml:space="preserve">Ar mhaith leat Ardléibhéal a dhéanamh?</t>
  </si>
  <si>
    <t xml:space="preserve">Q256</t>
  </si>
  <si>
    <t xml:space="preserve">Ar mhaith leat BTEC a dhéanamh?</t>
  </si>
  <si>
    <t xml:space="preserve">Q257</t>
  </si>
  <si>
    <t xml:space="preserve">Ar mhaith leat a dhul ar an choláiste breisoideachais?</t>
  </si>
  <si>
    <t xml:space="preserve">Q258</t>
  </si>
  <si>
    <t xml:space="preserve">Cad é an cúrsa a ba mhaith leat a dhéanamh?</t>
  </si>
  <si>
    <t xml:space="preserve">Q259</t>
  </si>
  <si>
    <t xml:space="preserve">Cad é ba mhaith leat a dhéanamh an bhliain seo chugainn?</t>
  </si>
  <si>
    <t xml:space="preserve">Q260</t>
  </si>
  <si>
    <t xml:space="preserve">Inis dom cad é ba mhaith leat a dhéanamh an bhliain seo chugainn agus cad chuige.</t>
  </si>
  <si>
    <t xml:space="preserve">Q261</t>
  </si>
  <si>
    <t xml:space="preserve">Cad chuige ar mhaith leat teacht ar ais ar scoil in ionad dul ar an choláiste?</t>
  </si>
  <si>
    <t xml:space="preserve">Q262</t>
  </si>
  <si>
    <t xml:space="preserve">Cad chuige ar mhaith leat dul ar an choláiste breisoideachais in ionad teacht ar ais ar scoil?</t>
  </si>
  <si>
    <t xml:space="preserve">Q263</t>
  </si>
  <si>
    <t xml:space="preserve">Cad chuige ar mhaith leat na hábhair sin/an cúrsa sin a dhéanamh?</t>
  </si>
  <si>
    <t xml:space="preserve">Q264</t>
  </si>
  <si>
    <t xml:space="preserve">Cad iad na grádanna a bheadh de dhíth ort leis sin a dhéanamh?</t>
  </si>
  <si>
    <t xml:space="preserve">Q265</t>
  </si>
  <si>
    <t xml:space="preserve">Ar mhaith leat dul ar an ollscoil?</t>
  </si>
  <si>
    <t xml:space="preserve">Q266</t>
  </si>
  <si>
    <t xml:space="preserve">Cé acu is fearr leat – dul ar an ollscoil anseo nó i dtír éigin eile?</t>
  </si>
  <si>
    <t xml:space="preserve">Q267</t>
  </si>
  <si>
    <t xml:space="preserve">Cad é an cineál poist a ba mhaith leat?</t>
  </si>
  <si>
    <t xml:space="preserve">Q268</t>
  </si>
  <si>
    <t xml:space="preserve">Cad é a bheadh ort a dhéanamh le bheith i do dhochtúir/mhúinteoir?</t>
  </si>
  <si>
    <t xml:space="preserve">Q269</t>
  </si>
  <si>
    <t xml:space="preserve">Do bharúil an mbeidh saol na scoile difriúil agus tú i mBliain a Sé?</t>
  </si>
  <si>
    <t xml:space="preserve">Q270</t>
  </si>
  <si>
    <t xml:space="preserve">Cé acu ab’fhearr leat – obair anseo nó dul ag obair thar sáile? Cad chuige?</t>
  </si>
  <si>
    <t xml:space="preserve">Area</t>
  </si>
  <si>
    <t xml:space="preserve">Point</t>
  </si>
  <si>
    <t xml:space="preserve">Examples</t>
  </si>
  <si>
    <t xml:space="preserve">Receptive only</t>
  </si>
  <si>
    <t xml:space="preserve">G01</t>
  </si>
  <si>
    <t xml:space="preserve">The copula</t>
  </si>
  <si>
    <t xml:space="preserve">With masculine nouns</t>
  </si>
  <si>
    <t xml:space="preserve">is múinteoir Seán, ní doras é, is múinteoirí mo thuismitheoirí</t>
  </si>
  <si>
    <t xml:space="preserve">G02</t>
  </si>
  <si>
    <t xml:space="preserve">With feminine nouns</t>
  </si>
  <si>
    <t xml:space="preserve">is fuinneog í, ní bróg í, is fuinneoga iad</t>
  </si>
  <si>
    <t xml:space="preserve">G03</t>
  </si>
  <si>
    <t xml:space="preserve">With pronouns</t>
  </si>
  <si>
    <t xml:space="preserve">is múinteoir mé/tú/é/í, is múinteoirí muid, sibh, iad</t>
  </si>
  <si>
    <t xml:space="preserve">G04</t>
  </si>
  <si>
    <t xml:space="preserve">The verb bí</t>
  </si>
  <si>
    <t xml:space="preserve">Past tense</t>
  </si>
  <si>
    <t xml:space="preserve">bhí, ní raibh, an raibh, nach raibh</t>
  </si>
  <si>
    <t xml:space="preserve">G05</t>
  </si>
  <si>
    <t xml:space="preserve">Present tense</t>
  </si>
  <si>
    <t xml:space="preserve">tá, níl, an bhfuil, nach bhfuil, bíonn, ní bhíonn, an mbíonn, nach mbíonn</t>
  </si>
  <si>
    <t xml:space="preserve">G06</t>
  </si>
  <si>
    <t xml:space="preserve">Future tense</t>
  </si>
  <si>
    <t xml:space="preserve">beidh, ní bheidh, an mbeidh, nach mbeidh</t>
  </si>
  <si>
    <t xml:space="preserve">G07</t>
  </si>
  <si>
    <t xml:space="preserve">Use as the verb ‘to have’</t>
  </si>
  <si>
    <t xml:space="preserve">Tá leabhar agam. Níl deartháir ar bith agam.</t>
  </si>
  <si>
    <t xml:space="preserve">G08</t>
  </si>
  <si>
    <t xml:space="preserve">The adjective</t>
  </si>
  <si>
    <t xml:space="preserve">Its position</t>
  </si>
  <si>
    <t xml:space="preserve">clár bán, buachaill ard</t>
  </si>
  <si>
    <t xml:space="preserve">G09</t>
  </si>
  <si>
    <t xml:space="preserve">Agreement</t>
  </si>
  <si>
    <t xml:space="preserve">clár bán, fuinneog bhán, fuinneoga móra</t>
  </si>
  <si>
    <t xml:space="preserve">G10</t>
  </si>
  <si>
    <t xml:space="preserve">Verbal adjective</t>
  </si>
  <si>
    <t xml:space="preserve">briste, críochnaithe</t>
  </si>
  <si>
    <t xml:space="preserve">G11</t>
  </si>
  <si>
    <t xml:space="preserve">Comparative</t>
  </si>
  <si>
    <t xml:space="preserve">níos airde, níos sine, níos óige</t>
  </si>
  <si>
    <t xml:space="preserve">G12</t>
  </si>
  <si>
    <t xml:space="preserve">Superlative</t>
  </si>
  <si>
    <t xml:space="preserve">an duine is óige, an t-ábhar is fearr</t>
  </si>
  <si>
    <t xml:space="preserve">G13</t>
  </si>
  <si>
    <t xml:space="preserve">Demonstrative adjective</t>
  </si>
  <si>
    <t xml:space="preserve">sin, seo, úd</t>
  </si>
  <si>
    <t xml:space="preserve">G14</t>
  </si>
  <si>
    <t xml:space="preserve">Possessive adjective</t>
  </si>
  <si>
    <t xml:space="preserve">mo, do, a, a, ár, bhur, a</t>
  </si>
  <si>
    <t xml:space="preserve">G15</t>
  </si>
  <si>
    <t xml:space="preserve">The definite article</t>
  </si>
  <si>
    <t xml:space="preserve">Effect on masculine nouns</t>
  </si>
  <si>
    <t xml:space="preserve">an fear, an clár, an t-am, an t-ainm</t>
  </si>
  <si>
    <t xml:space="preserve">G16</t>
  </si>
  <si>
    <t xml:space="preserve">Effect on feminine nouns</t>
  </si>
  <si>
    <t xml:space="preserve">an bhean, an fhuinneog, an aimsir</t>
  </si>
  <si>
    <t xml:space="preserve">G17</t>
  </si>
  <si>
    <t xml:space="preserve">Plural form and effects</t>
  </si>
  <si>
    <t xml:space="preserve">na fuinneoga, na hainmhithe</t>
  </si>
  <si>
    <t xml:space="preserve">G18</t>
  </si>
  <si>
    <t xml:space="preserve">Simple prepositions plus noun</t>
  </si>
  <si>
    <t xml:space="preserve">ag bean, as Doire, go Béal Feirste, le Máire, ar thábla, do Sheán, faoi bhosca</t>
  </si>
  <si>
    <t xml:space="preserve">G19</t>
  </si>
  <si>
    <t xml:space="preserve">Simple preposition plus definite article</t>
  </si>
  <si>
    <t xml:space="preserve">ag an, ar an, leis an, sa, faoin, don, as an, ón, chuig an</t>
  </si>
  <si>
    <t xml:space="preserve">G20</t>
  </si>
  <si>
    <t xml:space="preserve">Conjugated prepositions</t>
  </si>
  <si>
    <t xml:space="preserve">ar, ag, le, do, as, ó, chuig, faoi</t>
  </si>
  <si>
    <t xml:space="preserve">G21</t>
  </si>
  <si>
    <t xml:space="preserve">Verbal nouns</t>
  </si>
  <si>
    <t xml:space="preserve">Verbal noun with bí</t>
  </si>
  <si>
    <t xml:space="preserve">bí ag caint</t>
  </si>
  <si>
    <t xml:space="preserve">G22</t>
  </si>
  <si>
    <t xml:space="preserve">Verbal noun with direct object</t>
  </si>
  <si>
    <t xml:space="preserve">is maith liom peil a imirt</t>
  </si>
  <si>
    <t xml:space="preserve">G23</t>
  </si>
  <si>
    <t xml:space="preserve">Verbs of state</t>
  </si>
  <si>
    <t xml:space="preserve">i mo sheasamh</t>
  </si>
  <si>
    <t xml:space="preserve">G24</t>
  </si>
  <si>
    <t xml:space="preserve">As infinitive</t>
  </si>
  <si>
    <t xml:space="preserve">tiomáint, déanamh, bailiú ...</t>
  </si>
  <si>
    <t xml:space="preserve">G25</t>
  </si>
  <si>
    <t xml:space="preserve">Verbs: regular and irregular</t>
  </si>
  <si>
    <t xml:space="preserve">Imperative</t>
  </si>
  <si>
    <t xml:space="preserve">tóg/tógaigí</t>
  </si>
  <si>
    <t xml:space="preserve">G26</t>
  </si>
  <si>
    <t xml:space="preserve">tógaim …</t>
  </si>
  <si>
    <t xml:space="preserve">G27</t>
  </si>
  <si>
    <t xml:space="preserve">thóg</t>
  </si>
  <si>
    <t xml:space="preserve">G28</t>
  </si>
  <si>
    <t xml:space="preserve">tógfaidh</t>
  </si>
  <si>
    <t xml:space="preserve">G29</t>
  </si>
  <si>
    <t xml:space="preserve">Verbal constructions</t>
  </si>
  <si>
    <t xml:space="preserve">Common infinitive</t>
  </si>
  <si>
    <t xml:space="preserve">Ba mhaith liom dul ...</t>
  </si>
  <si>
    <t xml:space="preserve">G30</t>
  </si>
  <si>
    <t xml:space="preserve">Verbs which require a preposition</t>
  </si>
  <si>
    <t xml:space="preserve">is liom, amharc ar, buail le, éist le ...</t>
  </si>
  <si>
    <t xml:space="preserve">G31</t>
  </si>
  <si>
    <t xml:space="preserve">Nouns</t>
  </si>
  <si>
    <t xml:space="preserve">Gender and plurals</t>
  </si>
  <si>
    <t xml:space="preserve">fuinneoga, múinteoirí, fir, mná …</t>
  </si>
  <si>
    <t xml:space="preserve">G32</t>
  </si>
  <si>
    <t xml:space="preserve">Declension of commonly used nouns</t>
  </si>
  <si>
    <t xml:space="preserve">bean an tí, mála scoile, cluiche peile ...</t>
  </si>
  <si>
    <t xml:space="preserve">G33</t>
  </si>
  <si>
    <t xml:space="preserve">Clauses</t>
  </si>
  <si>
    <t xml:space="preserve">Simple purpose clauses</t>
  </si>
  <si>
    <t xml:space="preserve">le peil a imirt</t>
  </si>
  <si>
    <t xml:space="preserve">G34</t>
  </si>
  <si>
    <t xml:space="preserve">Interrogatives</t>
  </si>
  <si>
    <t xml:space="preserve">Cad é? Cá háit ...?</t>
  </si>
  <si>
    <t xml:space="preserve">G35</t>
  </si>
  <si>
    <t xml:space="preserve">Numbers</t>
  </si>
  <si>
    <t xml:space="preserve">Counting</t>
  </si>
  <si>
    <t xml:space="preserve">a haon, a dó</t>
  </si>
  <si>
    <t xml:space="preserve">G36</t>
  </si>
  <si>
    <t xml:space="preserve">Time</t>
  </si>
  <si>
    <t xml:space="preserve">fiche a cúig go dtí a trí, ceathrú i ndiaidh a haon</t>
  </si>
  <si>
    <t xml:space="preserve">G37</t>
  </si>
  <si>
    <t xml:space="preserve">Counting objects</t>
  </si>
  <si>
    <t xml:space="preserve">dhá mhála, seacht bpunt</t>
  </si>
  <si>
    <t xml:space="preserve">G38</t>
  </si>
  <si>
    <t xml:space="preserve">Personal</t>
  </si>
  <si>
    <t xml:space="preserve">beirt, triúr</t>
  </si>
  <si>
    <t xml:space="preserve">G39</t>
  </si>
  <si>
    <t xml:space="preserve">Ordinal 1–31</t>
  </si>
  <si>
    <t xml:space="preserve">an chéad oíche, an dara lá</t>
  </si>
  <si>
    <t xml:space="preserve">G40</t>
  </si>
  <si>
    <t xml:space="preserve">Present and conditional with prepositional pronoun</t>
  </si>
  <si>
    <t xml:space="preserve">Ba mhaith le … Is ceart duit …</t>
  </si>
  <si>
    <t xml:space="preserve">G41</t>
  </si>
  <si>
    <t xml:space="preserve">Its position relative to nouns</t>
  </si>
  <si>
    <t xml:space="preserve">an fear mór, an bhean bheag ...</t>
  </si>
  <si>
    <t xml:space="preserve">G42</t>
  </si>
  <si>
    <t xml:space="preserve">Single and plural possessive</t>
  </si>
  <si>
    <t xml:space="preserve">G43</t>
  </si>
  <si>
    <t xml:space="preserve">Subjective</t>
  </si>
  <si>
    <t xml:space="preserve">mé, tú, sé, sí, muid, sibh, siad</t>
  </si>
  <si>
    <t xml:space="preserve">G44</t>
  </si>
  <si>
    <t xml:space="preserve">Objective</t>
  </si>
  <si>
    <t xml:space="preserve">mé, thú, é, í, muid/sinn, sibh, iad</t>
  </si>
  <si>
    <t xml:space="preserve">G45</t>
  </si>
  <si>
    <t xml:space="preserve">Conditional</t>
  </si>
  <si>
    <t xml:space="preserve">cheannóinn, thógfadh sé …</t>
  </si>
  <si>
    <t xml:space="preserve">Y</t>
  </si>
  <si>
    <t xml:space="preserve">G46</t>
  </si>
  <si>
    <t xml:space="preserve">Indirect speech with imperative</t>
  </si>
  <si>
    <t xml:space="preserve">Dúirt sé liom an obair a dhéanamh.</t>
  </si>
  <si>
    <t xml:space="preserve">G47</t>
  </si>
  <si>
    <t xml:space="preserve">Autonomous</t>
  </si>
  <si>
    <t xml:space="preserve">rugadh, tógadh, déantar, thógfar</t>
  </si>
  <si>
    <t xml:space="preserve">G48</t>
  </si>
  <si>
    <t xml:space="preserve">Common compound prepositions</t>
  </si>
  <si>
    <t xml:space="preserve">i rith, i ndiaidh, faoi choinne ...</t>
  </si>
  <si>
    <t xml:space="preserve">Paper</t>
  </si>
  <si>
    <t xml:space="preserve">R01</t>
  </si>
  <si>
    <t xml:space="preserve">Scríobh an freagra ceart sa bhosca.</t>
  </si>
  <si>
    <t xml:space="preserve">Write the correct answer in the box.</t>
  </si>
  <si>
    <t xml:space="preserve">Listening</t>
  </si>
  <si>
    <t xml:space="preserve">R02</t>
  </si>
  <si>
    <t xml:space="preserve">Críochnaigh an abairt i nGaeilge.</t>
  </si>
  <si>
    <t xml:space="preserve">Complete the sentence in Irish.</t>
  </si>
  <si>
    <t xml:space="preserve">R03</t>
  </si>
  <si>
    <t xml:space="preserve">Scríobh an uimhir cheart sa bhosca.</t>
  </si>
  <si>
    <t xml:space="preserve">Write the correct number in the box.</t>
  </si>
  <si>
    <t xml:space="preserve">R04</t>
  </si>
  <si>
    <t xml:space="preserve">Scríobh an abairt cheart sa bhosca.</t>
  </si>
  <si>
    <t xml:space="preserve">Write the correct sentence in the box.</t>
  </si>
  <si>
    <t xml:space="preserve">R05</t>
  </si>
  <si>
    <t xml:space="preserve">Léigh an sliocht agus freagair na ceisteanna.</t>
  </si>
  <si>
    <t xml:space="preserve">Read the passage and answer the questions.</t>
  </si>
  <si>
    <t xml:space="preserve">Reading</t>
  </si>
  <si>
    <t xml:space="preserve">R06</t>
  </si>
  <si>
    <t xml:space="preserve">Cuir tic le dhá rud a itheann Seosamh.</t>
  </si>
  <si>
    <t xml:space="preserve">Tick two things that Seosamh eats.</t>
  </si>
  <si>
    <t xml:space="preserve">R07</t>
  </si>
  <si>
    <t xml:space="preserve">Cuir tic sna boscaí cearta.</t>
  </si>
  <si>
    <t xml:space="preserve">Tick the correct boxes.</t>
  </si>
  <si>
    <t xml:space="preserve">R08</t>
  </si>
  <si>
    <t xml:space="preserve">Cuir tic le ceithre ráitis atá fíor.</t>
  </si>
  <si>
    <t xml:space="preserve">Tick four statements that are true.</t>
  </si>
  <si>
    <t xml:space="preserve">R09</t>
  </si>
  <si>
    <t xml:space="preserve">Léigh an blag seo.</t>
  </si>
  <si>
    <t xml:space="preserve">Read this blog.</t>
  </si>
  <si>
    <t xml:space="preserve">R10</t>
  </si>
  <si>
    <t xml:space="preserve">Léigh an fógra seo.</t>
  </si>
  <si>
    <t xml:space="preserve">Read this notice.</t>
  </si>
  <si>
    <t xml:space="preserve">R11</t>
  </si>
  <si>
    <t xml:space="preserve">Léigh an fógra thíos.</t>
  </si>
  <si>
    <t xml:space="preserve">Read the notice below.</t>
  </si>
  <si>
    <t xml:space="preserve">R12</t>
  </si>
  <si>
    <t xml:space="preserve">Cuir an duine ceart le gach pictiúr.</t>
  </si>
  <si>
    <t xml:space="preserve">Match the correct person with every picture.</t>
  </si>
  <si>
    <t xml:space="preserve">R13</t>
  </si>
  <si>
    <t xml:space="preserve">Cuir an litir cheart i ngach bosca.</t>
  </si>
  <si>
    <t xml:space="preserve">Put the correct letter in every box.</t>
  </si>
  <si>
    <t xml:space="preserve">R14</t>
  </si>
  <si>
    <t xml:space="preserve">Críochnaigh na habairtí. Úsáid na focail/frásaí sa bhosca thíos.</t>
  </si>
  <si>
    <t xml:space="preserve">Finish the sentences. Use the words/phrases in the box below.</t>
  </si>
  <si>
    <t xml:space="preserve">R15</t>
  </si>
  <si>
    <t xml:space="preserve">Léigh an ríomhphost thíos.</t>
  </si>
  <si>
    <t xml:space="preserve">Read the email below.</t>
  </si>
  <si>
    <t xml:space="preserve">R16</t>
  </si>
  <si>
    <t xml:space="preserve">Cuir an duine ceart leis an phictiúr chuí.</t>
  </si>
  <si>
    <t xml:space="preserve">Match the correct person with the appropriate picture.</t>
  </si>
  <si>
    <t xml:space="preserve">R17</t>
  </si>
  <si>
    <t xml:space="preserve">Cuir an litir cheart sa bhosca cuí.</t>
  </si>
  <si>
    <t xml:space="preserve">Put the correct letter in the appropriate box.</t>
  </si>
  <si>
    <t xml:space="preserve">R18</t>
  </si>
  <si>
    <t xml:space="preserve">Scríobh i nGaeilge.</t>
  </si>
  <si>
    <t xml:space="preserve">Write in Irish.</t>
  </si>
  <si>
    <t xml:space="preserve">Writing</t>
  </si>
  <si>
    <t xml:space="preserve">R19</t>
  </si>
  <si>
    <t xml:space="preserve">Roghnaigh ceist AMHÁIN as na trí rogha agus scríobh do fhreagra i nGaeilge.</t>
  </si>
  <si>
    <t xml:space="preserve">Choose ONE question from the three options provided and write your answer in Irish.</t>
  </si>
  <si>
    <t xml:space="preserve">List order</t>
  </si>
  <si>
    <t xml:space="preserve">Frequency rank</t>
  </si>
  <si>
    <t xml:space="preserve">Part of speech</t>
  </si>
  <si>
    <t xml:space="preserve">Headword</t>
  </si>
  <si>
    <t xml:space="preserve">Category</t>
  </si>
  <si>
    <t xml:space="preserve">K001</t>
  </si>
  <si>
    <t xml:space="preserve">det</t>
  </si>
  <si>
    <t xml:space="preserve">an</t>
  </si>
  <si>
    <t xml:space="preserve">the</t>
  </si>
  <si>
    <t xml:space="preserve">within 2000</t>
  </si>
  <si>
    <t xml:space="preserve">K002</t>
  </si>
  <si>
    <t xml:space="preserve">conj</t>
  </si>
  <si>
    <t xml:space="preserve">K003</t>
  </si>
  <si>
    <t xml:space="preserve">prep</t>
  </si>
  <si>
    <t xml:space="preserve">K004</t>
  </si>
  <si>
    <t xml:space="preserve">na</t>
  </si>
  <si>
    <t xml:space="preserve">the (plural)</t>
  </si>
  <si>
    <t xml:space="preserve">K005</t>
  </si>
  <si>
    <t xml:space="preserve">i(n)</t>
  </si>
  <si>
    <t xml:space="preserve">K006</t>
  </si>
  <si>
    <t xml:space="preserve">K007</t>
  </si>
  <si>
    <t xml:space="preserve">le (leis an)</t>
  </si>
  <si>
    <t xml:space="preserve">with (with the)</t>
  </si>
  <si>
    <t xml:space="preserve">K008</t>
  </si>
  <si>
    <t xml:space="preserve">go (dtí)</t>
  </si>
  <si>
    <t xml:space="preserve">to</t>
  </si>
  <si>
    <t xml:space="preserve">K009</t>
  </si>
  <si>
    <t xml:space="preserve">pron</t>
  </si>
  <si>
    <t xml:space="preserve">K010</t>
  </si>
  <si>
    <t xml:space="preserve">a</t>
  </si>
  <si>
    <t xml:space="preserve">his/her/their</t>
  </si>
  <si>
    <t xml:space="preserve">K011</t>
  </si>
  <si>
    <t xml:space="preserve">comp (prep + det)</t>
  </si>
  <si>
    <t xml:space="preserve">sa(n)</t>
  </si>
  <si>
    <t xml:space="preserve">K012</t>
  </si>
  <si>
    <t xml:space="preserve">é</t>
  </si>
  <si>
    <t xml:space="preserve">him/it (object)</t>
  </si>
  <si>
    <t xml:space="preserve">K013</t>
  </si>
  <si>
    <t xml:space="preserve">de(n)</t>
  </si>
  <si>
    <t xml:space="preserve">of (the)</t>
  </si>
  <si>
    <t xml:space="preserve">K014</t>
  </si>
  <si>
    <t xml:space="preserve">vp</t>
  </si>
  <si>
    <t xml:space="preserve">atá</t>
  </si>
  <si>
    <t xml:space="preserve">which is</t>
  </si>
  <si>
    <t xml:space="preserve">K015</t>
  </si>
  <si>
    <t xml:space="preserve">v</t>
  </si>
  <si>
    <t xml:space="preserve">bhí</t>
  </si>
  <si>
    <t xml:space="preserve">was (independent form; past tense; bí)</t>
  </si>
  <si>
    <t xml:space="preserve">K016</t>
  </si>
  <si>
    <t xml:space="preserve">bhfuil</t>
  </si>
  <si>
    <t xml:space="preserve">is (dependent form; present tense; bí)</t>
  </si>
  <si>
    <t xml:space="preserve">K017</t>
  </si>
  <si>
    <t xml:space="preserve">seo</t>
  </si>
  <si>
    <t xml:space="preserve">this</t>
  </si>
  <si>
    <t xml:space="preserve">K018</t>
  </si>
  <si>
    <t xml:space="preserve">tá</t>
  </si>
  <si>
    <t xml:space="preserve">is (independent form; present tense; bí)</t>
  </si>
  <si>
    <t xml:space="preserve">K019</t>
  </si>
  <si>
    <t xml:space="preserve">pppn</t>
  </si>
  <si>
    <t xml:space="preserve">leis</t>
  </si>
  <si>
    <t xml:space="preserve">with him/it</t>
  </si>
  <si>
    <t xml:space="preserve">K020</t>
  </si>
  <si>
    <t xml:space="preserve">K021</t>
  </si>
  <si>
    <t xml:space="preserve">K022</t>
  </si>
  <si>
    <t xml:space="preserve">raibh</t>
  </si>
  <si>
    <t xml:space="preserve">was (dependent form; past tense; bí)</t>
  </si>
  <si>
    <t xml:space="preserve">K023</t>
  </si>
  <si>
    <t xml:space="preserve">K024</t>
  </si>
  <si>
    <t xml:space="preserve">chun</t>
  </si>
  <si>
    <t xml:space="preserve">towards</t>
  </si>
  <si>
    <t xml:space="preserve">K025</t>
  </si>
  <si>
    <t xml:space="preserve">do(n)</t>
  </si>
  <si>
    <t xml:space="preserve">to/for (the)</t>
  </si>
  <si>
    <t xml:space="preserve">K026</t>
  </si>
  <si>
    <t xml:space="preserve">like/because</t>
  </si>
  <si>
    <t xml:space="preserve">K027</t>
  </si>
  <si>
    <t xml:space="preserve">faoi(n)</t>
  </si>
  <si>
    <t xml:space="preserve">under/about (the)</t>
  </si>
  <si>
    <t xml:space="preserve">K028</t>
  </si>
  <si>
    <t xml:space="preserve">ó(n)</t>
  </si>
  <si>
    <t xml:space="preserve">from (the)</t>
  </si>
  <si>
    <t xml:space="preserve">K029</t>
  </si>
  <si>
    <t xml:space="preserve">vcop</t>
  </si>
  <si>
    <t xml:space="preserve">is</t>
  </si>
  <si>
    <t xml:space="preserve">am/is (present tense; copula)</t>
  </si>
  <si>
    <t xml:space="preserve">K030</t>
  </si>
  <si>
    <t xml:space="preserve">K031</t>
  </si>
  <si>
    <t xml:space="preserve">eile</t>
  </si>
  <si>
    <t xml:space="preserve">K032</t>
  </si>
  <si>
    <t xml:space="preserve">K033</t>
  </si>
  <si>
    <t xml:space="preserve">K034</t>
  </si>
  <si>
    <t xml:space="preserve">ina</t>
  </si>
  <si>
    <t xml:space="preserve">in his/her/their</t>
  </si>
  <si>
    <t xml:space="preserve">K035</t>
  </si>
  <si>
    <t xml:space="preserve">they</t>
  </si>
  <si>
    <t xml:space="preserve">K036</t>
  </si>
  <si>
    <t xml:space="preserve">adv/num</t>
  </si>
  <si>
    <t xml:space="preserve">aon</t>
  </si>
  <si>
    <t xml:space="preserve">any/one</t>
  </si>
  <si>
    <t xml:space="preserve">K037</t>
  </si>
  <si>
    <t xml:space="preserve">vn</t>
  </si>
  <si>
    <t xml:space="preserve">cur</t>
  </si>
  <si>
    <t xml:space="preserve">to put, putting</t>
  </si>
  <si>
    <t xml:space="preserve">K038</t>
  </si>
  <si>
    <t xml:space="preserve">bheith</t>
  </si>
  <si>
    <t xml:space="preserve">to be, being</t>
  </si>
  <si>
    <t xml:space="preserve">K039</t>
  </si>
  <si>
    <t xml:space="preserve">K040</t>
  </si>
  <si>
    <t xml:space="preserve">ná</t>
  </si>
  <si>
    <t xml:space="preserve">than</t>
  </si>
  <si>
    <t xml:space="preserve">K041</t>
  </si>
  <si>
    <t xml:space="preserve">n (f)</t>
  </si>
  <si>
    <t xml:space="preserve">(an) G(h)aeilge</t>
  </si>
  <si>
    <t xml:space="preserve">(the) Irish (language)</t>
  </si>
  <si>
    <t xml:space="preserve">K042</t>
  </si>
  <si>
    <t xml:space="preserve">acu</t>
  </si>
  <si>
    <t xml:space="preserve">at them</t>
  </si>
  <si>
    <t xml:space="preserve">K043</t>
  </si>
  <si>
    <t xml:space="preserve">adv</t>
  </si>
  <si>
    <t xml:space="preserve">outwards</t>
  </si>
  <si>
    <t xml:space="preserve">K044</t>
  </si>
  <si>
    <t xml:space="preserve">iad</t>
  </si>
  <si>
    <t xml:space="preserve">them </t>
  </si>
  <si>
    <t xml:space="preserve">K045</t>
  </si>
  <si>
    <t xml:space="preserve">déanamh</t>
  </si>
  <si>
    <t xml:space="preserve">to do, doing</t>
  </si>
  <si>
    <t xml:space="preserve">K046</t>
  </si>
  <si>
    <t xml:space="preserve">K047</t>
  </si>
  <si>
    <t xml:space="preserve">the (singular)</t>
  </si>
  <si>
    <t xml:space="preserve">K048</t>
  </si>
  <si>
    <t xml:space="preserve">you (subject)</t>
  </si>
  <si>
    <t xml:space="preserve">K049</t>
  </si>
  <si>
    <t xml:space="preserve">n (m)</t>
  </si>
  <si>
    <t xml:space="preserve">K050</t>
  </si>
  <si>
    <t xml:space="preserve">níos</t>
  </si>
  <si>
    <t xml:space="preserve">more (used with comparative adjectives)</t>
  </si>
  <si>
    <t xml:space="preserve">K051</t>
  </si>
  <si>
    <t xml:space="preserve">adj</t>
  </si>
  <si>
    <t xml:space="preserve">maith</t>
  </si>
  <si>
    <t xml:space="preserve">good</t>
  </si>
  <si>
    <t xml:space="preserve">K052</t>
  </si>
  <si>
    <t xml:space="preserve">air</t>
  </si>
  <si>
    <t xml:space="preserve">on it/him</t>
  </si>
  <si>
    <t xml:space="preserve">K053</t>
  </si>
  <si>
    <t xml:space="preserve">nuair</t>
  </si>
  <si>
    <t xml:space="preserve">K054</t>
  </si>
  <si>
    <t xml:space="preserve">Ó</t>
  </si>
  <si>
    <t xml:space="preserve">grandson (used in surnames)</t>
  </si>
  <si>
    <t xml:space="preserve">K055</t>
  </si>
  <si>
    <t xml:space="preserve">c(h)uid</t>
  </si>
  <si>
    <t xml:space="preserve">share of/part of</t>
  </si>
  <si>
    <t xml:space="preserve">K056</t>
  </si>
  <si>
    <t xml:space="preserve">rud(aí)</t>
  </si>
  <si>
    <t xml:space="preserve">thing(s)</t>
  </si>
  <si>
    <t xml:space="preserve">K057</t>
  </si>
  <si>
    <t xml:space="preserve">chomh</t>
  </si>
  <si>
    <t xml:space="preserve">K058</t>
  </si>
  <si>
    <t xml:space="preserve">n (mpl)</t>
  </si>
  <si>
    <t xml:space="preserve">daoine</t>
  </si>
  <si>
    <t xml:space="preserve">people </t>
  </si>
  <si>
    <t xml:space="preserve">K059</t>
  </si>
  <si>
    <t xml:space="preserve">K060</t>
  </si>
  <si>
    <t xml:space="preserve">most (used with superlative adjective)</t>
  </si>
  <si>
    <t xml:space="preserve">K061</t>
  </si>
  <si>
    <t xml:space="preserve">í</t>
  </si>
  <si>
    <t xml:space="preserve">her /it</t>
  </si>
  <si>
    <t xml:space="preserve">K062</t>
  </si>
  <si>
    <t xml:space="preserve">fáil</t>
  </si>
  <si>
    <t xml:space="preserve">to get, getting</t>
  </si>
  <si>
    <t xml:space="preserve">K063</t>
  </si>
  <si>
    <t xml:space="preserve">big/large</t>
  </si>
  <si>
    <t xml:space="preserve">K064</t>
  </si>
  <si>
    <t xml:space="preserve">K065</t>
  </si>
  <si>
    <t xml:space="preserve">aige</t>
  </si>
  <si>
    <t xml:space="preserve">at it/him</t>
  </si>
  <si>
    <t xml:space="preserve">K066</t>
  </si>
  <si>
    <t xml:space="preserve">isteach</t>
  </si>
  <si>
    <t xml:space="preserve">inwards</t>
  </si>
  <si>
    <t xml:space="preserve">K067</t>
  </si>
  <si>
    <t xml:space="preserve">K068</t>
  </si>
  <si>
    <t xml:space="preserve">K069</t>
  </si>
  <si>
    <t xml:space="preserve">mo</t>
  </si>
  <si>
    <t xml:space="preserve">my</t>
  </si>
  <si>
    <t xml:space="preserve">K070</t>
  </si>
  <si>
    <t xml:space="preserve">one (when counting things)</t>
  </si>
  <si>
    <t xml:space="preserve">K071</t>
  </si>
  <si>
    <t xml:space="preserve">dul</t>
  </si>
  <si>
    <t xml:space="preserve">to go, going</t>
  </si>
  <si>
    <t xml:space="preserve">K072</t>
  </si>
  <si>
    <t xml:space="preserve">sna</t>
  </si>
  <si>
    <t xml:space="preserve">K073</t>
  </si>
  <si>
    <t xml:space="preserve">ní</t>
  </si>
  <si>
    <t xml:space="preserve">don't/doesn't/won't (negative marker before verb)</t>
  </si>
  <si>
    <t xml:space="preserve">K074</t>
  </si>
  <si>
    <t xml:space="preserve">between/both</t>
  </si>
  <si>
    <t xml:space="preserve">K075</t>
  </si>
  <si>
    <t xml:space="preserve">mwp</t>
  </si>
  <si>
    <t xml:space="preserve">is féidir le</t>
  </si>
  <si>
    <t xml:space="preserve">can/be able to</t>
  </si>
  <si>
    <t xml:space="preserve">K076</t>
  </si>
  <si>
    <t xml:space="preserve">agam</t>
  </si>
  <si>
    <t xml:space="preserve">at me</t>
  </si>
  <si>
    <t xml:space="preserve">K077</t>
  </si>
  <si>
    <t xml:space="preserve">nua</t>
  </si>
  <si>
    <t xml:space="preserve">K078</t>
  </si>
  <si>
    <t xml:space="preserve">tabhairt</t>
  </si>
  <si>
    <t xml:space="preserve">to give/bring, giving/bringing</t>
  </si>
  <si>
    <t xml:space="preserve">K079</t>
  </si>
  <si>
    <t xml:space="preserve">níos/is mó</t>
  </si>
  <si>
    <t xml:space="preserve">bigger/biggest</t>
  </si>
  <si>
    <t xml:space="preserve">K080</t>
  </si>
  <si>
    <t xml:space="preserve">lá</t>
  </si>
  <si>
    <t xml:space="preserve">day</t>
  </si>
  <si>
    <t xml:space="preserve">K081</t>
  </si>
  <si>
    <t xml:space="preserve">le chéile</t>
  </si>
  <si>
    <t xml:space="preserve">together</t>
  </si>
  <si>
    <t xml:space="preserve">K082</t>
  </si>
  <si>
    <t xml:space="preserve">liom</t>
  </si>
  <si>
    <t xml:space="preserve">with me</t>
  </si>
  <si>
    <t xml:space="preserve">K083</t>
  </si>
  <si>
    <t xml:space="preserve">áit(eanna)</t>
  </si>
  <si>
    <t xml:space="preserve">place(s)</t>
  </si>
  <si>
    <t xml:space="preserve">K084</t>
  </si>
  <si>
    <t xml:space="preserve">ar bith</t>
  </si>
  <si>
    <t xml:space="preserve">any</t>
  </si>
  <si>
    <t xml:space="preserve">K085</t>
  </si>
  <si>
    <t xml:space="preserve">num</t>
  </si>
  <si>
    <t xml:space="preserve">the first</t>
  </si>
  <si>
    <t xml:space="preserve">K086</t>
  </si>
  <si>
    <t xml:space="preserve">teanga(cha)</t>
  </si>
  <si>
    <t xml:space="preserve">language(s)/tongue(s)</t>
  </si>
  <si>
    <t xml:space="preserve">K087</t>
  </si>
  <si>
    <t xml:space="preserve">ba</t>
  </si>
  <si>
    <t xml:space="preserve">was/were/would be (past/conditional: copula)</t>
  </si>
  <si>
    <t xml:space="preserve">K088</t>
  </si>
  <si>
    <t xml:space="preserve">orthu</t>
  </si>
  <si>
    <t xml:space="preserve">on them</t>
  </si>
  <si>
    <t xml:space="preserve">K089</t>
  </si>
  <si>
    <t xml:space="preserve">am not/is not (present copula, negative)</t>
  </si>
  <si>
    <t xml:space="preserve">K090</t>
  </si>
  <si>
    <t xml:space="preserve">aghaidh</t>
  </si>
  <si>
    <t xml:space="preserve">face</t>
  </si>
  <si>
    <t xml:space="preserve">K091</t>
  </si>
  <si>
    <t xml:space="preserve">K092</t>
  </si>
  <si>
    <t xml:space="preserve">ar fad</t>
  </si>
  <si>
    <t xml:space="preserve">altogther/completely</t>
  </si>
  <si>
    <t xml:space="preserve">K093</t>
  </si>
  <si>
    <t xml:space="preserve">leo</t>
  </si>
  <si>
    <t xml:space="preserve">with them</t>
  </si>
  <si>
    <t xml:space="preserve">K094</t>
  </si>
  <si>
    <t xml:space="preserve">dúirt</t>
  </si>
  <si>
    <t xml:space="preserve">said (independent form; past tense; abair)</t>
  </si>
  <si>
    <t xml:space="preserve">K095</t>
  </si>
  <si>
    <t xml:space="preserve">we/us</t>
  </si>
  <si>
    <t xml:space="preserve">K096</t>
  </si>
  <si>
    <t xml:space="preserve">lena</t>
  </si>
  <si>
    <t xml:space="preserve">with his/with her/with their</t>
  </si>
  <si>
    <t xml:space="preserve">K097</t>
  </si>
  <si>
    <t xml:space="preserve">agat</t>
  </si>
  <si>
    <t xml:space="preserve">at you</t>
  </si>
  <si>
    <t xml:space="preserve">K098</t>
  </si>
  <si>
    <t xml:space="preserve">dhá</t>
  </si>
  <si>
    <t xml:space="preserve">two (when counting things)</t>
  </si>
  <si>
    <t xml:space="preserve">K099</t>
  </si>
  <si>
    <t xml:space="preserve">K100</t>
  </si>
  <si>
    <t xml:space="preserve">K101</t>
  </si>
  <si>
    <t xml:space="preserve">here (in relation to place)</t>
  </si>
  <si>
    <t xml:space="preserve">K102</t>
  </si>
  <si>
    <t xml:space="preserve">am(anna)</t>
  </si>
  <si>
    <t xml:space="preserve">time(s)</t>
  </si>
  <si>
    <t xml:space="preserve">K103</t>
  </si>
  <si>
    <t xml:space="preserve">níl</t>
  </si>
  <si>
    <t xml:space="preserve">is not/am not (negative form; present tense; bí)</t>
  </si>
  <si>
    <t xml:space="preserve">K104</t>
  </si>
  <si>
    <t xml:space="preserve">there (in relation to place)</t>
  </si>
  <si>
    <t xml:space="preserve">K105</t>
  </si>
  <si>
    <t xml:space="preserve">againn</t>
  </si>
  <si>
    <t xml:space="preserve">at us</t>
  </si>
  <si>
    <t xml:space="preserve">K106</t>
  </si>
  <si>
    <t xml:space="preserve">head/one</t>
  </si>
  <si>
    <t xml:space="preserve">K107</t>
  </si>
  <si>
    <t xml:space="preserve">Gaeltacht</t>
  </si>
  <si>
    <t xml:space="preserve">Irish speaking area</t>
  </si>
  <si>
    <t xml:space="preserve">K108</t>
  </si>
  <si>
    <t xml:space="preserve">iarraidh</t>
  </si>
  <si>
    <t xml:space="preserve">to want, wanting</t>
  </si>
  <si>
    <t xml:space="preserve">K109</t>
  </si>
  <si>
    <t xml:space="preserve">teacht</t>
  </si>
  <si>
    <t xml:space="preserve">to come, coming</t>
  </si>
  <si>
    <t xml:space="preserve">K110</t>
  </si>
  <si>
    <t xml:space="preserve">fios, a fhios</t>
  </si>
  <si>
    <t xml:space="preserve">K111</t>
  </si>
  <si>
    <t xml:space="preserve">faoi láthair</t>
  </si>
  <si>
    <t xml:space="preserve">at present</t>
  </si>
  <si>
    <t xml:space="preserve">K112</t>
  </si>
  <si>
    <t xml:space="preserve">deireadh</t>
  </si>
  <si>
    <t xml:space="preserve">end</t>
  </si>
  <si>
    <t xml:space="preserve">K113</t>
  </si>
  <si>
    <t xml:space="preserve">Éire</t>
  </si>
  <si>
    <t xml:space="preserve">Ireland</t>
  </si>
  <si>
    <t xml:space="preserve">K114</t>
  </si>
  <si>
    <t xml:space="preserve">rá</t>
  </si>
  <si>
    <t xml:space="preserve">to say, saying</t>
  </si>
  <si>
    <t xml:space="preserve">K115</t>
  </si>
  <si>
    <t xml:space="preserve">your (singular)</t>
  </si>
  <si>
    <t xml:space="preserve">K116</t>
  </si>
  <si>
    <t xml:space="preserve">put (stem)</t>
  </si>
  <si>
    <t xml:space="preserve">K117</t>
  </si>
  <si>
    <t xml:space="preserve">K118</t>
  </si>
  <si>
    <t xml:space="preserve">scéal</t>
  </si>
  <si>
    <t xml:space="preserve">story</t>
  </si>
  <si>
    <t xml:space="preserve">K119</t>
  </si>
  <si>
    <t xml:space="preserve">beidh</t>
  </si>
  <si>
    <t xml:space="preserve">will be (independent form; future tense; bí)</t>
  </si>
  <si>
    <t xml:space="preserve">K120</t>
  </si>
  <si>
    <t xml:space="preserve">come (stem)</t>
  </si>
  <si>
    <t xml:space="preserve">K121</t>
  </si>
  <si>
    <t xml:space="preserve">síos</t>
  </si>
  <si>
    <t xml:space="preserve">downwards</t>
  </si>
  <si>
    <t xml:space="preserve">K122</t>
  </si>
  <si>
    <t xml:space="preserve">cinn</t>
  </si>
  <si>
    <t xml:space="preserve">heads/ones</t>
  </si>
  <si>
    <t xml:space="preserve">K123</t>
  </si>
  <si>
    <t xml:space="preserve">to use, using</t>
  </si>
  <si>
    <t xml:space="preserve">K124</t>
  </si>
  <si>
    <t xml:space="preserve">tháinig</t>
  </si>
  <si>
    <t xml:space="preserve">came (independent form; past; tar)</t>
  </si>
  <si>
    <t xml:space="preserve">K125</t>
  </si>
  <si>
    <t xml:space="preserve">ceist(eanna)</t>
  </si>
  <si>
    <t xml:space="preserve">question(s)</t>
  </si>
  <si>
    <t xml:space="preserve">K126</t>
  </si>
  <si>
    <t xml:space="preserve">inniu</t>
  </si>
  <si>
    <t xml:space="preserve">today</t>
  </si>
  <si>
    <t xml:space="preserve">K127</t>
  </si>
  <si>
    <t xml:space="preserve">uair</t>
  </si>
  <si>
    <t xml:space="preserve">time (occasion, hour)</t>
  </si>
  <si>
    <t xml:space="preserve">K128</t>
  </si>
  <si>
    <t xml:space="preserve">thug</t>
  </si>
  <si>
    <t xml:space="preserve">gave (independent form; past tense; tabhair)</t>
  </si>
  <si>
    <t xml:space="preserve">K129</t>
  </si>
  <si>
    <t xml:space="preserve">K130</t>
  </si>
  <si>
    <t xml:space="preserve">K131</t>
  </si>
  <si>
    <t xml:space="preserve">beag</t>
  </si>
  <si>
    <t xml:space="preserve">small</t>
  </si>
  <si>
    <t xml:space="preserve">K132</t>
  </si>
  <si>
    <t xml:space="preserve">lucht</t>
  </si>
  <si>
    <t xml:space="preserve">people</t>
  </si>
  <si>
    <t xml:space="preserve">K133</t>
  </si>
  <si>
    <t xml:space="preserve">thar</t>
  </si>
  <si>
    <t xml:space="preserve">over</t>
  </si>
  <si>
    <t xml:space="preserve">K134</t>
  </si>
  <si>
    <t xml:space="preserve">linn</t>
  </si>
  <si>
    <t xml:space="preserve">with us</t>
  </si>
  <si>
    <t xml:space="preserve">K135</t>
  </si>
  <si>
    <t xml:space="preserve">b'fhéidir</t>
  </si>
  <si>
    <t xml:space="preserve">K136</t>
  </si>
  <si>
    <t xml:space="preserve">céanna</t>
  </si>
  <si>
    <t xml:space="preserve">same</t>
  </si>
  <si>
    <t xml:space="preserve">K137</t>
  </si>
  <si>
    <t xml:space="preserve">déanta</t>
  </si>
  <si>
    <t xml:space="preserve">done</t>
  </si>
  <si>
    <t xml:space="preserve">K138</t>
  </si>
  <si>
    <t xml:space="preserve">ní bhíonn</t>
  </si>
  <si>
    <t xml:space="preserve">am not/is not (negative form; present habitual; bí)</t>
  </si>
  <si>
    <t xml:space="preserve">K139</t>
  </si>
  <si>
    <t xml:space="preserve">leat</t>
  </si>
  <si>
    <t xml:space="preserve">with you</t>
  </si>
  <si>
    <t xml:space="preserve">K140</t>
  </si>
  <si>
    <t xml:space="preserve">go léir</t>
  </si>
  <si>
    <t xml:space="preserve">all</t>
  </si>
  <si>
    <t xml:space="preserve">K141</t>
  </si>
  <si>
    <t xml:space="preserve">go fóill</t>
  </si>
  <si>
    <t xml:space="preserve">yet/still</t>
  </si>
  <si>
    <t xml:space="preserve">K142</t>
  </si>
  <si>
    <t xml:space="preserve">K143</t>
  </si>
  <si>
    <t xml:space="preserve">orm</t>
  </si>
  <si>
    <t xml:space="preserve">on me</t>
  </si>
  <si>
    <t xml:space="preserve">K144</t>
  </si>
  <si>
    <t xml:space="preserve">méid(eanna)</t>
  </si>
  <si>
    <t xml:space="preserve">amount(s)/size(s)</t>
  </si>
  <si>
    <t xml:space="preserve">K145</t>
  </si>
  <si>
    <t xml:space="preserve">taobh(anna)</t>
  </si>
  <si>
    <t xml:space="preserve">side(s)</t>
  </si>
  <si>
    <t xml:space="preserve">K146</t>
  </si>
  <si>
    <t xml:space="preserve">go leor</t>
  </si>
  <si>
    <t xml:space="preserve">a lot/enough</t>
  </si>
  <si>
    <t xml:space="preserve">K147</t>
  </si>
  <si>
    <t xml:space="preserve">rinne</t>
  </si>
  <si>
    <t xml:space="preserve">did (independent form; past tense; déan)</t>
  </si>
  <si>
    <t xml:space="preserve">K148</t>
  </si>
  <si>
    <t xml:space="preserve">súil(e)</t>
  </si>
  <si>
    <t xml:space="preserve">eye(s)</t>
  </si>
  <si>
    <t xml:space="preserve">K149</t>
  </si>
  <si>
    <t xml:space="preserve">positive question marker (closed questions)</t>
  </si>
  <si>
    <t xml:space="preserve">K150</t>
  </si>
  <si>
    <t xml:space="preserve">mac (mic)</t>
  </si>
  <si>
    <t xml:space="preserve">son(s)</t>
  </si>
  <si>
    <t xml:space="preserve">K151</t>
  </si>
  <si>
    <t xml:space="preserve">K152</t>
  </si>
  <si>
    <t xml:space="preserve">níos/is fearr</t>
  </si>
  <si>
    <t xml:space="preserve">better/best</t>
  </si>
  <si>
    <t xml:space="preserve">K153</t>
  </si>
  <si>
    <t xml:space="preserve">saol(ta) </t>
  </si>
  <si>
    <t xml:space="preserve">life (lives)</t>
  </si>
  <si>
    <t xml:space="preserve">K154</t>
  </si>
  <si>
    <t xml:space="preserve">to walk, walking</t>
  </si>
  <si>
    <t xml:space="preserve">K155</t>
  </si>
  <si>
    <t xml:space="preserve">baint</t>
  </si>
  <si>
    <t xml:space="preserve">to win/extract, winning/extracting</t>
  </si>
  <si>
    <t xml:space="preserve">K156</t>
  </si>
  <si>
    <t xml:space="preserve">positive question marker (past tense)</t>
  </si>
  <si>
    <t xml:space="preserve">K157</t>
  </si>
  <si>
    <t xml:space="preserve">tír (tíortha)</t>
  </si>
  <si>
    <t xml:space="preserve">country (countries)</t>
  </si>
  <si>
    <t xml:space="preserve">K158</t>
  </si>
  <si>
    <t xml:space="preserve">aici</t>
  </si>
  <si>
    <t xml:space="preserve">at her</t>
  </si>
  <si>
    <t xml:space="preserve">K159</t>
  </si>
  <si>
    <t xml:space="preserve">leabha(i)r</t>
  </si>
  <si>
    <t xml:space="preserve">book(s)</t>
  </si>
  <si>
    <t xml:space="preserve">K160</t>
  </si>
  <si>
    <t xml:space="preserve">ár</t>
  </si>
  <si>
    <t xml:space="preserve">our</t>
  </si>
  <si>
    <t xml:space="preserve">K161</t>
  </si>
  <si>
    <t xml:space="preserve">éigin</t>
  </si>
  <si>
    <t xml:space="preserve">some</t>
  </si>
  <si>
    <t xml:space="preserve">K162</t>
  </si>
  <si>
    <t xml:space="preserve">uirthi</t>
  </si>
  <si>
    <t xml:space="preserve">on it/on her</t>
  </si>
  <si>
    <t xml:space="preserve">K163</t>
  </si>
  <si>
    <t xml:space="preserve">ainm(neacha)</t>
  </si>
  <si>
    <t xml:space="preserve">name(s)</t>
  </si>
  <si>
    <t xml:space="preserve">K164</t>
  </si>
  <si>
    <t xml:space="preserve">ceart</t>
  </si>
  <si>
    <t xml:space="preserve">correct</t>
  </si>
  <si>
    <t xml:space="preserve">K165</t>
  </si>
  <si>
    <t xml:space="preserve">fada</t>
  </si>
  <si>
    <t xml:space="preserve">long</t>
  </si>
  <si>
    <t xml:space="preserve">K166</t>
  </si>
  <si>
    <t xml:space="preserve">to me/for me</t>
  </si>
  <si>
    <t xml:space="preserve">K167</t>
  </si>
  <si>
    <t xml:space="preserve">mar sin</t>
  </si>
  <si>
    <t xml:space="preserve">K168</t>
  </si>
  <si>
    <t xml:space="preserve">barr</t>
  </si>
  <si>
    <t xml:space="preserve">top</t>
  </si>
  <si>
    <t xml:space="preserve">K169</t>
  </si>
  <si>
    <t xml:space="preserve">back downwards</t>
  </si>
  <si>
    <t xml:space="preserve">K170</t>
  </si>
  <si>
    <t xml:space="preserve">i mbliana</t>
  </si>
  <si>
    <t xml:space="preserve">this year</t>
  </si>
  <si>
    <t xml:space="preserve">K171</t>
  </si>
  <si>
    <t xml:space="preserve">mí(onna)</t>
  </si>
  <si>
    <t xml:space="preserve">month(s)</t>
  </si>
  <si>
    <t xml:space="preserve">K172</t>
  </si>
  <si>
    <t xml:space="preserve">thart</t>
  </si>
  <si>
    <t xml:space="preserve">K173</t>
  </si>
  <si>
    <t xml:space="preserve">suas</t>
  </si>
  <si>
    <t xml:space="preserve">upwards</t>
  </si>
  <si>
    <t xml:space="preserve">K174</t>
  </si>
  <si>
    <t xml:space="preserve">ábhar</t>
  </si>
  <si>
    <t xml:space="preserve">subject</t>
  </si>
  <si>
    <t xml:space="preserve">K175</t>
  </si>
  <si>
    <t xml:space="preserve">éagsúil</t>
  </si>
  <si>
    <t xml:space="preserve">different/various</t>
  </si>
  <si>
    <t xml:space="preserve">K176</t>
  </si>
  <si>
    <t xml:space="preserve">ar ais</t>
  </si>
  <si>
    <t xml:space="preserve">back </t>
  </si>
  <si>
    <t xml:space="preserve">K177</t>
  </si>
  <si>
    <t xml:space="preserve">riamh</t>
  </si>
  <si>
    <t xml:space="preserve">ever/never</t>
  </si>
  <si>
    <t xml:space="preserve">K178</t>
  </si>
  <si>
    <t xml:space="preserve">deir</t>
  </si>
  <si>
    <t xml:space="preserve">say/says (independent form; present tense; abair)</t>
  </si>
  <si>
    <t xml:space="preserve">K179</t>
  </si>
  <si>
    <t xml:space="preserve">ar nós</t>
  </si>
  <si>
    <t xml:space="preserve">like</t>
  </si>
  <si>
    <t xml:space="preserve">K180</t>
  </si>
  <si>
    <t xml:space="preserve">cén</t>
  </si>
  <si>
    <t xml:space="preserve">which (interrogative)</t>
  </si>
  <si>
    <t xml:space="preserve">K181</t>
  </si>
  <si>
    <t xml:space="preserve">curtha</t>
  </si>
  <si>
    <t xml:space="preserve">been put</t>
  </si>
  <si>
    <t xml:space="preserve">K182</t>
  </si>
  <si>
    <t xml:space="preserve">i gcónaí</t>
  </si>
  <si>
    <t xml:space="preserve">always</t>
  </si>
  <si>
    <t xml:space="preserve">K183</t>
  </si>
  <si>
    <t xml:space="preserve">certain</t>
  </si>
  <si>
    <t xml:space="preserve">K184</t>
  </si>
  <si>
    <t xml:space="preserve">go háirithe</t>
  </si>
  <si>
    <t xml:space="preserve">especially</t>
  </si>
  <si>
    <t xml:space="preserve">K185</t>
  </si>
  <si>
    <t xml:space="preserve">seo caite</t>
  </si>
  <si>
    <t xml:space="preserve">last (denotes time)</t>
  </si>
  <si>
    <t xml:space="preserve">K186</t>
  </si>
  <si>
    <t xml:space="preserve">couple</t>
  </si>
  <si>
    <t xml:space="preserve">K187</t>
  </si>
  <si>
    <t xml:space="preserve">trí</t>
  </si>
  <si>
    <t xml:space="preserve">K188</t>
  </si>
  <si>
    <t xml:space="preserve">K189</t>
  </si>
  <si>
    <t xml:space="preserve">K190</t>
  </si>
  <si>
    <t xml:space="preserve">dúinn</t>
  </si>
  <si>
    <t xml:space="preserve">to us/for us</t>
  </si>
  <si>
    <t xml:space="preserve">K191</t>
  </si>
  <si>
    <t xml:space="preserve">oiread</t>
  </si>
  <si>
    <t xml:space="preserve">amount</t>
  </si>
  <si>
    <t xml:space="preserve">K192</t>
  </si>
  <si>
    <t xml:space="preserve">dóigh(eanna)</t>
  </si>
  <si>
    <t xml:space="preserve">way(s)</t>
  </si>
  <si>
    <t xml:space="preserve">K193</t>
  </si>
  <si>
    <t xml:space="preserve">léi</t>
  </si>
  <si>
    <t xml:space="preserve">with her/it</t>
  </si>
  <si>
    <t xml:space="preserve">K194</t>
  </si>
  <si>
    <t xml:space="preserve">oíche(anta)</t>
  </si>
  <si>
    <t xml:space="preserve">night(s)</t>
  </si>
  <si>
    <t xml:space="preserve">K195</t>
  </si>
  <si>
    <t xml:space="preserve">cé</t>
  </si>
  <si>
    <t xml:space="preserve">who (interrogative)</t>
  </si>
  <si>
    <t xml:space="preserve">K196</t>
  </si>
  <si>
    <t xml:space="preserve">get up (stem)</t>
  </si>
  <si>
    <t xml:space="preserve">K197</t>
  </si>
  <si>
    <t xml:space="preserve">K198</t>
  </si>
  <si>
    <t xml:space="preserve">for (denoting time)</t>
  </si>
  <si>
    <t xml:space="preserve">K199</t>
  </si>
  <si>
    <t xml:space="preserve">ort</t>
  </si>
  <si>
    <t xml:space="preserve">on you (singular)</t>
  </si>
  <si>
    <t xml:space="preserve">K200</t>
  </si>
  <si>
    <t xml:space="preserve">ar fud</t>
  </si>
  <si>
    <t xml:space="preserve">throughout</t>
  </si>
  <si>
    <t xml:space="preserve">K201</t>
  </si>
  <si>
    <t xml:space="preserve">duit</t>
  </si>
  <si>
    <t xml:space="preserve">to you/for you (singular)</t>
  </si>
  <si>
    <t xml:space="preserve">K202</t>
  </si>
  <si>
    <t xml:space="preserve">i bhfad</t>
  </si>
  <si>
    <t xml:space="preserve">far</t>
  </si>
  <si>
    <t xml:space="preserve">K203</t>
  </si>
  <si>
    <t xml:space="preserve">go díreach</t>
  </si>
  <si>
    <t xml:space="preserve">exactly</t>
  </si>
  <si>
    <t xml:space="preserve">K204</t>
  </si>
  <si>
    <t xml:space="preserve">scoil(eanna)</t>
  </si>
  <si>
    <t xml:space="preserve">school(s)</t>
  </si>
  <si>
    <t xml:space="preserve">K205</t>
  </si>
  <si>
    <t xml:space="preserve">An mbíonn</t>
  </si>
  <si>
    <t xml:space="preserve">do be/does be (positive question; present habitual; bí))</t>
  </si>
  <si>
    <t xml:space="preserve">K206</t>
  </si>
  <si>
    <t xml:space="preserve">K207</t>
  </si>
  <si>
    <t xml:space="preserve">tharla</t>
  </si>
  <si>
    <t xml:space="preserve">happened (past tense 'tarlaigh')</t>
  </si>
  <si>
    <t xml:space="preserve">K208</t>
  </si>
  <si>
    <t xml:space="preserve">cheana féin</t>
  </si>
  <si>
    <t xml:space="preserve">already</t>
  </si>
  <si>
    <t xml:space="preserve">K209</t>
  </si>
  <si>
    <t xml:space="preserve">happy</t>
  </si>
  <si>
    <t xml:space="preserve">K210</t>
  </si>
  <si>
    <t xml:space="preserve">K211</t>
  </si>
  <si>
    <t xml:space="preserve">K212</t>
  </si>
  <si>
    <t xml:space="preserve">fuair</t>
  </si>
  <si>
    <t xml:space="preserve">got (independent form; past tense; faigh)</t>
  </si>
  <si>
    <t xml:space="preserve">K213</t>
  </si>
  <si>
    <t xml:space="preserve">dara</t>
  </si>
  <si>
    <t xml:space="preserve">K214</t>
  </si>
  <si>
    <t xml:space="preserve">mise</t>
  </si>
  <si>
    <t xml:space="preserve">me (emphatic)</t>
  </si>
  <si>
    <t xml:space="preserve">K215</t>
  </si>
  <si>
    <t xml:space="preserve">n (f) | vn</t>
  </si>
  <si>
    <t xml:space="preserve">talk | to talk, talking </t>
  </si>
  <si>
    <t xml:space="preserve">K216</t>
  </si>
  <si>
    <t xml:space="preserve">n (fpl)</t>
  </si>
  <si>
    <t xml:space="preserve">blianta</t>
  </si>
  <si>
    <t xml:space="preserve">years</t>
  </si>
  <si>
    <t xml:space="preserve">K217</t>
  </si>
  <si>
    <t xml:space="preserve">intj</t>
  </si>
  <si>
    <t xml:space="preserve">K218</t>
  </si>
  <si>
    <t xml:space="preserve">cúrsa(í)</t>
  </si>
  <si>
    <t xml:space="preserve">course(s)</t>
  </si>
  <si>
    <t xml:space="preserve">K219</t>
  </si>
  <si>
    <t xml:space="preserve">K220</t>
  </si>
  <si>
    <t xml:space="preserve">aois</t>
  </si>
  <si>
    <t xml:space="preserve">age</t>
  </si>
  <si>
    <t xml:space="preserve">K221</t>
  </si>
  <si>
    <t xml:space="preserve">bíonn</t>
  </si>
  <si>
    <t xml:space="preserve">am/is (independent form; present habitual; Bí</t>
  </si>
  <si>
    <t xml:space="preserve">K222</t>
  </si>
  <si>
    <t xml:space="preserve">K223</t>
  </si>
  <si>
    <t xml:space="preserve">seachtain(í)</t>
  </si>
  <si>
    <t xml:space="preserve">week(s)</t>
  </si>
  <si>
    <t xml:space="preserve">K224</t>
  </si>
  <si>
    <t xml:space="preserve">Dé</t>
  </si>
  <si>
    <t xml:space="preserve">on the day of (used with days of week)</t>
  </si>
  <si>
    <t xml:space="preserve">K225</t>
  </si>
  <si>
    <t xml:space="preserve">chuaigh</t>
  </si>
  <si>
    <t xml:space="preserve">went (independent form; past tense; téigh)</t>
  </si>
  <si>
    <t xml:space="preserve">K226</t>
  </si>
  <si>
    <t xml:space="preserve">part</t>
  </si>
  <si>
    <t xml:space="preserve">vocative particle</t>
  </si>
  <si>
    <t xml:space="preserve">K227</t>
  </si>
  <si>
    <t xml:space="preserve">labhairt</t>
  </si>
  <si>
    <t xml:space="preserve">to speak, speaking</t>
  </si>
  <si>
    <t xml:space="preserve">K228</t>
  </si>
  <si>
    <t xml:space="preserve">K229</t>
  </si>
  <si>
    <t xml:space="preserve">a(i)lt</t>
  </si>
  <si>
    <t xml:space="preserve">article(s)</t>
  </si>
  <si>
    <t xml:space="preserve">K230</t>
  </si>
  <si>
    <t xml:space="preserve">i mbun</t>
  </si>
  <si>
    <t xml:space="preserve">in charge of/taking part in</t>
  </si>
  <si>
    <t xml:space="preserve">K231</t>
  </si>
  <si>
    <t xml:space="preserve">roimhe</t>
  </si>
  <si>
    <t xml:space="preserve">K232</t>
  </si>
  <si>
    <t xml:space="preserve">cosúil le</t>
  </si>
  <si>
    <t xml:space="preserve">K233</t>
  </si>
  <si>
    <t xml:space="preserve">bun</t>
  </si>
  <si>
    <t xml:space="preserve">bottom</t>
  </si>
  <si>
    <t xml:space="preserve">K234</t>
  </si>
  <si>
    <t xml:space="preserve">náisiúnta</t>
  </si>
  <si>
    <t xml:space="preserve">national</t>
  </si>
  <si>
    <t xml:space="preserve">K235</t>
  </si>
  <si>
    <t xml:space="preserve">seachas</t>
  </si>
  <si>
    <t xml:space="preserve">except</t>
  </si>
  <si>
    <t xml:space="preserve">K236</t>
  </si>
  <si>
    <t xml:space="preserve">K237</t>
  </si>
  <si>
    <t xml:space="preserve">déag</t>
  </si>
  <si>
    <t xml:space="preserve">ten (used when counting)</t>
  </si>
  <si>
    <t xml:space="preserve">K238</t>
  </si>
  <si>
    <t xml:space="preserve">fáth</t>
  </si>
  <si>
    <t xml:space="preserve">reason</t>
  </si>
  <si>
    <t xml:space="preserve">K239</t>
  </si>
  <si>
    <t xml:space="preserve">ba chóir do</t>
  </si>
  <si>
    <t xml:space="preserve">should/ought to</t>
  </si>
  <si>
    <t xml:space="preserve">K240</t>
  </si>
  <si>
    <t xml:space="preserve">poiblí</t>
  </si>
  <si>
    <t xml:space="preserve">public</t>
  </si>
  <si>
    <t xml:space="preserve">K241</t>
  </si>
  <si>
    <t xml:space="preserve">K242</t>
  </si>
  <si>
    <t xml:space="preserve">deis(eanna)</t>
  </si>
  <si>
    <t xml:space="preserve">opportunity (opportunities)</t>
  </si>
  <si>
    <t xml:space="preserve">K243</t>
  </si>
  <si>
    <t xml:space="preserve">bail(t)e</t>
  </si>
  <si>
    <t xml:space="preserve">town(s)/home(s)</t>
  </si>
  <si>
    <t xml:space="preserve">K244</t>
  </si>
  <si>
    <t xml:space="preserve">K245</t>
  </si>
  <si>
    <t xml:space="preserve">athrú (athruithe)</t>
  </si>
  <si>
    <t xml:space="preserve">change(s)</t>
  </si>
  <si>
    <t xml:space="preserve">K246</t>
  </si>
  <si>
    <t xml:space="preserve">K247</t>
  </si>
  <si>
    <t xml:space="preserve">ionad</t>
  </si>
  <si>
    <t xml:space="preserve">centre</t>
  </si>
  <si>
    <t xml:space="preserve">K248</t>
  </si>
  <si>
    <t xml:space="preserve">leibhéal</t>
  </si>
  <si>
    <t xml:space="preserve">level</t>
  </si>
  <si>
    <t xml:space="preserve">K249</t>
  </si>
  <si>
    <t xml:space="preserve">Is fiú do</t>
  </si>
  <si>
    <t xml:space="preserve">it is worth</t>
  </si>
  <si>
    <t xml:space="preserve">K250</t>
  </si>
  <si>
    <t xml:space="preserve">(an) Béarla</t>
  </si>
  <si>
    <t xml:space="preserve">(the) English (language)</t>
  </si>
  <si>
    <t xml:space="preserve">K251</t>
  </si>
  <si>
    <t xml:space="preserve">tacaíocht</t>
  </si>
  <si>
    <t xml:space="preserve">support</t>
  </si>
  <si>
    <t xml:space="preserve">K252</t>
  </si>
  <si>
    <t xml:space="preserve">K253</t>
  </si>
  <si>
    <t xml:space="preserve">K254</t>
  </si>
  <si>
    <t xml:space="preserve">dar (le)</t>
  </si>
  <si>
    <t xml:space="preserve">seems</t>
  </si>
  <si>
    <t xml:space="preserve">K255</t>
  </si>
  <si>
    <t xml:space="preserve">K256</t>
  </si>
  <si>
    <t xml:space="preserve">cúig</t>
  </si>
  <si>
    <t xml:space="preserve">K257</t>
  </si>
  <si>
    <t xml:space="preserve">foireann (foirne)</t>
  </si>
  <si>
    <t xml:space="preserve">team(s)</t>
  </si>
  <si>
    <t xml:space="preserve">K258</t>
  </si>
  <si>
    <t xml:space="preserve">muintir</t>
  </si>
  <si>
    <t xml:space="preserve">K259</t>
  </si>
  <si>
    <t xml:space="preserve">money</t>
  </si>
  <si>
    <t xml:space="preserve">K260</t>
  </si>
  <si>
    <t xml:space="preserve">December/ Christmas</t>
  </si>
  <si>
    <t xml:space="preserve">K261</t>
  </si>
  <si>
    <t xml:space="preserve">seans(anna)</t>
  </si>
  <si>
    <t xml:space="preserve">chance(s)</t>
  </si>
  <si>
    <t xml:space="preserve">K262</t>
  </si>
  <si>
    <t xml:space="preserve">lár</t>
  </si>
  <si>
    <t xml:space="preserve">middle</t>
  </si>
  <si>
    <t xml:space="preserve">K263</t>
  </si>
  <si>
    <t xml:space="preserve">cad</t>
  </si>
  <si>
    <t xml:space="preserve">what (interrogative)</t>
  </si>
  <si>
    <t xml:space="preserve">K264</t>
  </si>
  <si>
    <t xml:space="preserve">cás(anna)</t>
  </si>
  <si>
    <t xml:space="preserve">case(s)</t>
  </si>
  <si>
    <t xml:space="preserve">K265</t>
  </si>
  <si>
    <t xml:space="preserve">foca(i)l</t>
  </si>
  <si>
    <t xml:space="preserve">word(s)</t>
  </si>
  <si>
    <t xml:space="preserve">K266</t>
  </si>
  <si>
    <t xml:space="preserve">iarracht(aí)</t>
  </si>
  <si>
    <t xml:space="preserve">attempts</t>
  </si>
  <si>
    <t xml:space="preserve">K267</t>
  </si>
  <si>
    <t xml:space="preserve">is dócha</t>
  </si>
  <si>
    <t xml:space="preserve">probably</t>
  </si>
  <si>
    <t xml:space="preserve">K268</t>
  </si>
  <si>
    <t xml:space="preserve">K269</t>
  </si>
  <si>
    <t xml:space="preserve">K270</t>
  </si>
  <si>
    <t xml:space="preserve">cead</t>
  </si>
  <si>
    <t xml:space="preserve">permission</t>
  </si>
  <si>
    <t xml:space="preserve">K271</t>
  </si>
  <si>
    <t xml:space="preserve">orainn</t>
  </si>
  <si>
    <t xml:space="preserve">on us</t>
  </si>
  <si>
    <t xml:space="preserve">K272</t>
  </si>
  <si>
    <t xml:space="preserve">Contae</t>
  </si>
  <si>
    <t xml:space="preserve">county</t>
  </si>
  <si>
    <t xml:space="preserve">K273</t>
  </si>
  <si>
    <t xml:space="preserve">thíos</t>
  </si>
  <si>
    <t xml:space="preserve">down (in relation to position)</t>
  </si>
  <si>
    <t xml:space="preserve">K274</t>
  </si>
  <si>
    <t xml:space="preserve">lín(t)e</t>
  </si>
  <si>
    <t xml:space="preserve">line(s)</t>
  </si>
  <si>
    <t xml:space="preserve">K275</t>
  </si>
  <si>
    <t xml:space="preserve">fanacht</t>
  </si>
  <si>
    <t xml:space="preserve">to wait/waiting</t>
  </si>
  <si>
    <t xml:space="preserve">K276</t>
  </si>
  <si>
    <t xml:space="preserve">caitheamh</t>
  </si>
  <si>
    <t xml:space="preserve">to spend/throw, spending/throwing</t>
  </si>
  <si>
    <t xml:space="preserve">K277</t>
  </si>
  <si>
    <t xml:space="preserve">plé</t>
  </si>
  <si>
    <t xml:space="preserve">discussion</t>
  </si>
  <si>
    <t xml:space="preserve">K278</t>
  </si>
  <si>
    <t xml:space="preserve">imeacht</t>
  </si>
  <si>
    <t xml:space="preserve">to leave, leaving</t>
  </si>
  <si>
    <t xml:space="preserve">K279</t>
  </si>
  <si>
    <t xml:space="preserve">sláinte</t>
  </si>
  <si>
    <t xml:space="preserve">health</t>
  </si>
  <si>
    <t xml:space="preserve">K280</t>
  </si>
  <si>
    <t xml:space="preserve">An Eoraip</t>
  </si>
  <si>
    <t xml:space="preserve">Europe</t>
  </si>
  <si>
    <t xml:space="preserve">K281</t>
  </si>
  <si>
    <t xml:space="preserve">rogha(nna)</t>
  </si>
  <si>
    <t xml:space="preserve">choice(s)</t>
  </si>
  <si>
    <t xml:space="preserve">K282</t>
  </si>
  <si>
    <t xml:space="preserve">uilig</t>
  </si>
  <si>
    <t xml:space="preserve">K283</t>
  </si>
  <si>
    <t xml:space="preserve">ceithre</t>
  </si>
  <si>
    <t xml:space="preserve">four (in counting things)</t>
  </si>
  <si>
    <t xml:space="preserve">K284</t>
  </si>
  <si>
    <t xml:space="preserve">beirt</t>
  </si>
  <si>
    <t xml:space="preserve">two people</t>
  </si>
  <si>
    <t xml:space="preserve">K285</t>
  </si>
  <si>
    <t xml:space="preserve">to read, reading</t>
  </si>
  <si>
    <t xml:space="preserve">K286</t>
  </si>
  <si>
    <t xml:space="preserve">clá(i)r</t>
  </si>
  <si>
    <t xml:space="preserve">programme(s)</t>
  </si>
  <si>
    <t xml:space="preserve">K287</t>
  </si>
  <si>
    <t xml:space="preserve">K288</t>
  </si>
  <si>
    <t xml:space="preserve">K289</t>
  </si>
  <si>
    <t xml:space="preserve">timpeall</t>
  </si>
  <si>
    <t xml:space="preserve">K290</t>
  </si>
  <si>
    <t xml:space="preserve">éirí</t>
  </si>
  <si>
    <t xml:space="preserve">to get up, getting up</t>
  </si>
  <si>
    <t xml:space="preserve">K291</t>
  </si>
  <si>
    <t xml:space="preserve">oifig(í)</t>
  </si>
  <si>
    <t xml:space="preserve">office(s)</t>
  </si>
  <si>
    <t xml:space="preserve">K292</t>
  </si>
  <si>
    <t xml:space="preserve">freastal</t>
  </si>
  <si>
    <t xml:space="preserve">to attend, attending</t>
  </si>
  <si>
    <t xml:space="preserve">K293</t>
  </si>
  <si>
    <t xml:space="preserve">lámh(a)</t>
  </si>
  <si>
    <t xml:space="preserve">hand(s)</t>
  </si>
  <si>
    <t xml:space="preserve">K294</t>
  </si>
  <si>
    <t xml:space="preserve">breá</t>
  </si>
  <si>
    <t xml:space="preserve">fine</t>
  </si>
  <si>
    <t xml:space="preserve">K295</t>
  </si>
  <si>
    <t xml:space="preserve">istigh</t>
  </si>
  <si>
    <t xml:space="preserve">inside</t>
  </si>
  <si>
    <t xml:space="preserve">K296</t>
  </si>
  <si>
    <t xml:space="preserve">afternoon/ evening</t>
  </si>
  <si>
    <t xml:space="preserve">K297</t>
  </si>
  <si>
    <t xml:space="preserve">páiste/ páistí</t>
  </si>
  <si>
    <t xml:space="preserve">child/ children</t>
  </si>
  <si>
    <t xml:space="preserve">K298</t>
  </si>
  <si>
    <t xml:space="preserve">K299</t>
  </si>
  <si>
    <t xml:space="preserve">luath</t>
  </si>
  <si>
    <t xml:space="preserve">early</t>
  </si>
  <si>
    <t xml:space="preserve">K300</t>
  </si>
  <si>
    <t xml:space="preserve">full/a lot</t>
  </si>
  <si>
    <t xml:space="preserve">K301</t>
  </si>
  <si>
    <t xml:space="preserve">first of all</t>
  </si>
  <si>
    <t xml:space="preserve">K302</t>
  </si>
  <si>
    <t xml:space="preserve">Gae(i)l</t>
  </si>
  <si>
    <t xml:space="preserve">Irish person</t>
  </si>
  <si>
    <t xml:space="preserve">K303</t>
  </si>
  <si>
    <t xml:space="preserve">thuas</t>
  </si>
  <si>
    <t xml:space="preserve">up (in relation to position)</t>
  </si>
  <si>
    <t xml:space="preserve">K304</t>
  </si>
  <si>
    <t xml:space="preserve">K305</t>
  </si>
  <si>
    <t xml:space="preserve">inné</t>
  </si>
  <si>
    <t xml:space="preserve">yesterday</t>
  </si>
  <si>
    <t xml:space="preserve">K306</t>
  </si>
  <si>
    <t xml:space="preserve">ceantar</t>
  </si>
  <si>
    <t xml:space="preserve">area</t>
  </si>
  <si>
    <t xml:space="preserve">K307</t>
  </si>
  <si>
    <t xml:space="preserve">K308</t>
  </si>
  <si>
    <t xml:space="preserve">fosta</t>
  </si>
  <si>
    <t xml:space="preserve">K309</t>
  </si>
  <si>
    <t xml:space="preserve">K310</t>
  </si>
  <si>
    <t xml:space="preserve">caithfidh</t>
  </si>
  <si>
    <t xml:space="preserve">future of verb caith 'throw/spend/wear'</t>
  </si>
  <si>
    <t xml:space="preserve">K311</t>
  </si>
  <si>
    <t xml:space="preserve">míl(t)e</t>
  </si>
  <si>
    <t xml:space="preserve">mile(s)/ thousand(s)</t>
  </si>
  <si>
    <t xml:space="preserve">K312</t>
  </si>
  <si>
    <t xml:space="preserve">K313</t>
  </si>
  <si>
    <t xml:space="preserve">imirt</t>
  </si>
  <si>
    <t xml:space="preserve">to play, playing (sports)</t>
  </si>
  <si>
    <t xml:space="preserve">K314</t>
  </si>
  <si>
    <t xml:space="preserve">leave (stem)</t>
  </si>
  <si>
    <t xml:space="preserve">K315</t>
  </si>
  <si>
    <t xml:space="preserve">speisialta</t>
  </si>
  <si>
    <t xml:space="preserve">special</t>
  </si>
  <si>
    <t xml:space="preserve">K316</t>
  </si>
  <si>
    <t xml:space="preserve">v | vn</t>
  </si>
  <si>
    <t xml:space="preserve">scríobh</t>
  </si>
  <si>
    <t xml:space="preserve">write (stem) | to write, writing</t>
  </si>
  <si>
    <t xml:space="preserve">K317</t>
  </si>
  <si>
    <t xml:space="preserve">feiceáil</t>
  </si>
  <si>
    <t xml:space="preserve">to see, seeing</t>
  </si>
  <si>
    <t xml:space="preserve">K318</t>
  </si>
  <si>
    <t xml:space="preserve">knowleldge (of person)</t>
  </si>
  <si>
    <t xml:space="preserve">K319</t>
  </si>
  <si>
    <t xml:space="preserve">domhan</t>
  </si>
  <si>
    <t xml:space="preserve">world</t>
  </si>
  <si>
    <t xml:space="preserve">K320</t>
  </si>
  <si>
    <t xml:space="preserve">tábhachtach</t>
  </si>
  <si>
    <t xml:space="preserve">important</t>
  </si>
  <si>
    <t xml:space="preserve">K321</t>
  </si>
  <si>
    <t xml:space="preserve">cuairt</t>
  </si>
  <si>
    <t xml:space="preserve">visit</t>
  </si>
  <si>
    <t xml:space="preserve">K322</t>
  </si>
  <si>
    <t xml:space="preserve">deacair</t>
  </si>
  <si>
    <t xml:space="preserve">difficult</t>
  </si>
  <si>
    <t xml:space="preserve">K323</t>
  </si>
  <si>
    <t xml:space="preserve">glacadh</t>
  </si>
  <si>
    <t xml:space="preserve">to take, taking</t>
  </si>
  <si>
    <t xml:space="preserve">K324</t>
  </si>
  <si>
    <t xml:space="preserve">homewards</t>
  </si>
  <si>
    <t xml:space="preserve">K325</t>
  </si>
  <si>
    <t xml:space="preserve">K326</t>
  </si>
  <si>
    <t xml:space="preserve">amuigh</t>
  </si>
  <si>
    <t xml:space="preserve">outside</t>
  </si>
  <si>
    <t xml:space="preserve">K327</t>
  </si>
  <si>
    <t xml:space="preserve">opposite</t>
  </si>
  <si>
    <t xml:space="preserve">K328</t>
  </si>
  <si>
    <t xml:space="preserve">suim(eanna)</t>
  </si>
  <si>
    <t xml:space="preserve">interest(s)</t>
  </si>
  <si>
    <t xml:space="preserve">K329</t>
  </si>
  <si>
    <t xml:space="preserve">K330</t>
  </si>
  <si>
    <t xml:space="preserve">tamall</t>
  </si>
  <si>
    <t xml:space="preserve">a while</t>
  </si>
  <si>
    <t xml:space="preserve">K331</t>
  </si>
  <si>
    <t xml:space="preserve">cluiche (cluichí)</t>
  </si>
  <si>
    <t xml:space="preserve">game(s)</t>
  </si>
  <si>
    <t xml:space="preserve">K332</t>
  </si>
  <si>
    <t xml:space="preserve">áitiúil</t>
  </si>
  <si>
    <t xml:space="preserve">local</t>
  </si>
  <si>
    <t xml:space="preserve">K333</t>
  </si>
  <si>
    <t xml:space="preserve">begin (stem)</t>
  </si>
  <si>
    <t xml:space="preserve">K334</t>
  </si>
  <si>
    <t xml:space="preserve">ar ball</t>
  </si>
  <si>
    <t xml:space="preserve">later</t>
  </si>
  <si>
    <t xml:space="preserve">K335</t>
  </si>
  <si>
    <t xml:space="preserve">K336</t>
  </si>
  <si>
    <t xml:space="preserve">fíor</t>
  </si>
  <si>
    <t xml:space="preserve">true</t>
  </si>
  <si>
    <t xml:space="preserve">K337</t>
  </si>
  <si>
    <t xml:space="preserve">liosta</t>
  </si>
  <si>
    <t xml:space="preserve">list</t>
  </si>
  <si>
    <t xml:space="preserve">K338</t>
  </si>
  <si>
    <t xml:space="preserve">cruinniú (cruinnithe)</t>
  </si>
  <si>
    <t xml:space="preserve">meeting(s)</t>
  </si>
  <si>
    <t xml:space="preserve">K339</t>
  </si>
  <si>
    <t xml:space="preserve">K340</t>
  </si>
  <si>
    <t xml:space="preserve">éisteacht</t>
  </si>
  <si>
    <t xml:space="preserve">to listen, listening</t>
  </si>
  <si>
    <t xml:space="preserve">K341</t>
  </si>
  <si>
    <t xml:space="preserve">K342</t>
  </si>
  <si>
    <t xml:space="preserve">K343</t>
  </si>
  <si>
    <t xml:space="preserve">i dtreo</t>
  </si>
  <si>
    <t xml:space="preserve">K344</t>
  </si>
  <si>
    <t xml:space="preserve">talamh</t>
  </si>
  <si>
    <t xml:space="preserve">ground</t>
  </si>
  <si>
    <t xml:space="preserve">K345</t>
  </si>
  <si>
    <t xml:space="preserve">agaibh</t>
  </si>
  <si>
    <t xml:space="preserve">at you (plural)</t>
  </si>
  <si>
    <t xml:space="preserve">K346</t>
  </si>
  <si>
    <t xml:space="preserve">milliún</t>
  </si>
  <si>
    <t xml:space="preserve">million</t>
  </si>
  <si>
    <t xml:space="preserve">K347</t>
  </si>
  <si>
    <t xml:space="preserve">ó thuaidh</t>
  </si>
  <si>
    <t xml:space="preserve">northwards/in north</t>
  </si>
  <si>
    <t xml:space="preserve">K348</t>
  </si>
  <si>
    <t xml:space="preserve">páirt</t>
  </si>
  <si>
    <t xml:space="preserve">K349</t>
  </si>
  <si>
    <t xml:space="preserve">ról</t>
  </si>
  <si>
    <t xml:space="preserve">role</t>
  </si>
  <si>
    <t xml:space="preserve">K350</t>
  </si>
  <si>
    <t xml:space="preserve">deich</t>
  </si>
  <si>
    <t xml:space="preserve">K351</t>
  </si>
  <si>
    <t xml:space="preserve">fir</t>
  </si>
  <si>
    <t xml:space="preserve">men</t>
  </si>
  <si>
    <t xml:space="preserve">K352</t>
  </si>
  <si>
    <t xml:space="preserve">K353</t>
  </si>
  <si>
    <t xml:space="preserve">K354</t>
  </si>
  <si>
    <t xml:space="preserve">K355</t>
  </si>
  <si>
    <t xml:space="preserve">sórt</t>
  </si>
  <si>
    <t xml:space="preserve">type</t>
  </si>
  <si>
    <t xml:space="preserve">K356</t>
  </si>
  <si>
    <t xml:space="preserve">po(i)st</t>
  </si>
  <si>
    <t xml:space="preserve">job(s)</t>
  </si>
  <si>
    <t xml:space="preserve">K357</t>
  </si>
  <si>
    <t xml:space="preserve">scanná(i)n</t>
  </si>
  <si>
    <t xml:space="preserve">film(s)</t>
  </si>
  <si>
    <t xml:space="preserve">K358</t>
  </si>
  <si>
    <t xml:space="preserve">réidh</t>
  </si>
  <si>
    <t xml:space="preserve">ready</t>
  </si>
  <si>
    <t xml:space="preserve">K359</t>
  </si>
  <si>
    <t xml:space="preserve">múinteoir(í)</t>
  </si>
  <si>
    <t xml:space="preserve">teacher(s)</t>
  </si>
  <si>
    <t xml:space="preserve">K360</t>
  </si>
  <si>
    <t xml:space="preserve">bomaite</t>
  </si>
  <si>
    <t xml:space="preserve">minute</t>
  </si>
  <si>
    <t xml:space="preserve">K361</t>
  </si>
  <si>
    <t xml:space="preserve">K362</t>
  </si>
  <si>
    <t xml:space="preserve">do not</t>
  </si>
  <si>
    <t xml:space="preserve">K363</t>
  </si>
  <si>
    <t xml:space="preserve">níos/is lú</t>
  </si>
  <si>
    <t xml:space="preserve">less/least</t>
  </si>
  <si>
    <t xml:space="preserve">K364</t>
  </si>
  <si>
    <t xml:space="preserve">K365</t>
  </si>
  <si>
    <t xml:space="preserve">scrúdú (scrúduithe)</t>
  </si>
  <si>
    <t xml:space="preserve">exam(s)</t>
  </si>
  <si>
    <t xml:space="preserve">K366</t>
  </si>
  <si>
    <t xml:space="preserve">seacht</t>
  </si>
  <si>
    <t xml:space="preserve">K367</t>
  </si>
  <si>
    <t xml:space="preserve">cineál</t>
  </si>
  <si>
    <t xml:space="preserve">K368</t>
  </si>
  <si>
    <t xml:space="preserve">K369</t>
  </si>
  <si>
    <t xml:space="preserve">K370</t>
  </si>
  <si>
    <t xml:space="preserve">(na) meáin</t>
  </si>
  <si>
    <t xml:space="preserve">(the) media</t>
  </si>
  <si>
    <t xml:space="preserve">K371</t>
  </si>
  <si>
    <t xml:space="preserve">bealach (bealaí)</t>
  </si>
  <si>
    <t xml:space="preserve">K372</t>
  </si>
  <si>
    <t xml:space="preserve">seasamh</t>
  </si>
  <si>
    <t xml:space="preserve">to stand, standing</t>
  </si>
  <si>
    <t xml:space="preserve">K373</t>
  </si>
  <si>
    <t xml:space="preserve">K374</t>
  </si>
  <si>
    <t xml:space="preserve">smaoineamh</t>
  </si>
  <si>
    <t xml:space="preserve">to think, thinking</t>
  </si>
  <si>
    <t xml:space="preserve">K375</t>
  </si>
  <si>
    <t xml:space="preserve">K376</t>
  </si>
  <si>
    <t xml:space="preserve">soiléir</t>
  </si>
  <si>
    <t xml:space="preserve">clear</t>
  </si>
  <si>
    <t xml:space="preserve">K377</t>
  </si>
  <si>
    <t xml:space="preserve">cad é mar</t>
  </si>
  <si>
    <t xml:space="preserve">how (interrogative)</t>
  </si>
  <si>
    <t xml:space="preserve">K378</t>
  </si>
  <si>
    <t xml:space="preserve">moladh</t>
  </si>
  <si>
    <t xml:space="preserve">to praise, praising</t>
  </si>
  <si>
    <t xml:space="preserve">K379</t>
  </si>
  <si>
    <t xml:space="preserve">fágtha</t>
  </si>
  <si>
    <t xml:space="preserve">left</t>
  </si>
  <si>
    <t xml:space="preserve">K380</t>
  </si>
  <si>
    <t xml:space="preserve">dáta(í)</t>
  </si>
  <si>
    <t xml:space="preserve">date(s)</t>
  </si>
  <si>
    <t xml:space="preserve">K381</t>
  </si>
  <si>
    <t xml:space="preserve">imithe</t>
  </si>
  <si>
    <t xml:space="preserve">gone</t>
  </si>
  <si>
    <t xml:space="preserve">K382</t>
  </si>
  <si>
    <t xml:space="preserve">easpa</t>
  </si>
  <si>
    <t xml:space="preserve">lack</t>
  </si>
  <si>
    <t xml:space="preserve">K383</t>
  </si>
  <si>
    <t xml:space="preserve">chonaic</t>
  </si>
  <si>
    <t xml:space="preserve">seen (independent form; past tense; feic)</t>
  </si>
  <si>
    <t xml:space="preserve">K384</t>
  </si>
  <si>
    <t xml:space="preserve">úr</t>
  </si>
  <si>
    <t xml:space="preserve">fresh/new</t>
  </si>
  <si>
    <t xml:space="preserve">K385</t>
  </si>
  <si>
    <t xml:space="preserve">tí </t>
  </si>
  <si>
    <t xml:space="preserve">of house (genitive of 'teach')</t>
  </si>
  <si>
    <t xml:space="preserve">K386</t>
  </si>
  <si>
    <t xml:space="preserve">able</t>
  </si>
  <si>
    <t xml:space="preserve">K387</t>
  </si>
  <si>
    <t xml:space="preserve">cathair</t>
  </si>
  <si>
    <t xml:space="preserve">city</t>
  </si>
  <si>
    <t xml:space="preserve">K388</t>
  </si>
  <si>
    <t xml:space="preserve">anocht</t>
  </si>
  <si>
    <t xml:space="preserve">tonight</t>
  </si>
  <si>
    <t xml:space="preserve">K389</t>
  </si>
  <si>
    <t xml:space="preserve">K390</t>
  </si>
  <si>
    <t xml:space="preserve">food</t>
  </si>
  <si>
    <t xml:space="preserve">K391</t>
  </si>
  <si>
    <t xml:space="preserve">take (stem)</t>
  </si>
  <si>
    <t xml:space="preserve">K392</t>
  </si>
  <si>
    <t xml:space="preserve">pay (stem) | to pay, paying</t>
  </si>
  <si>
    <t xml:space="preserve">K393</t>
  </si>
  <si>
    <t xml:space="preserve">K394</t>
  </si>
  <si>
    <t xml:space="preserve">to discuss, discussing</t>
  </si>
  <si>
    <t xml:space="preserve">K395</t>
  </si>
  <si>
    <t xml:space="preserve">triúr</t>
  </si>
  <si>
    <t xml:space="preserve">three people</t>
  </si>
  <si>
    <t xml:space="preserve">K396</t>
  </si>
  <si>
    <t xml:space="preserve">go hiomlán</t>
  </si>
  <si>
    <t xml:space="preserve">completely</t>
  </si>
  <si>
    <t xml:space="preserve">K397</t>
  </si>
  <si>
    <t xml:space="preserve">K398</t>
  </si>
  <si>
    <t xml:space="preserve">K399</t>
  </si>
  <si>
    <t xml:space="preserve">beagnach</t>
  </si>
  <si>
    <t xml:space="preserve">almost</t>
  </si>
  <si>
    <t xml:space="preserve">K400</t>
  </si>
  <si>
    <t xml:space="preserve">plean(anna)</t>
  </si>
  <si>
    <t xml:space="preserve">plan(s)</t>
  </si>
  <si>
    <t xml:space="preserve">K401</t>
  </si>
  <si>
    <t xml:space="preserve">máthair (máithreacha)</t>
  </si>
  <si>
    <t xml:space="preserve">mother(s)</t>
  </si>
  <si>
    <t xml:space="preserve">K402</t>
  </si>
  <si>
    <t xml:space="preserve">laethanta</t>
  </si>
  <si>
    <t xml:space="preserve">days</t>
  </si>
  <si>
    <t xml:space="preserve">K403</t>
  </si>
  <si>
    <t xml:space="preserve">a door</t>
  </si>
  <si>
    <t xml:space="preserve">K404</t>
  </si>
  <si>
    <t xml:space="preserve">cuidiú</t>
  </si>
  <si>
    <t xml:space="preserve">K405</t>
  </si>
  <si>
    <t xml:space="preserve">K406</t>
  </si>
  <si>
    <t xml:space="preserve">pointe (pointí)</t>
  </si>
  <si>
    <t xml:space="preserve">point(s)</t>
  </si>
  <si>
    <t xml:space="preserve">K407</t>
  </si>
  <si>
    <t xml:space="preserve">garda (gardaí)</t>
  </si>
  <si>
    <t xml:space="preserve">guard(s)</t>
  </si>
  <si>
    <t xml:space="preserve">K408</t>
  </si>
  <si>
    <t xml:space="preserve">cá</t>
  </si>
  <si>
    <t xml:space="preserve">where (interrogative)</t>
  </si>
  <si>
    <t xml:space="preserve">K409</t>
  </si>
  <si>
    <t xml:space="preserve">tithe</t>
  </si>
  <si>
    <t xml:space="preserve">houses</t>
  </si>
  <si>
    <t xml:space="preserve">K410</t>
  </si>
  <si>
    <t xml:space="preserve">K411</t>
  </si>
  <si>
    <t xml:space="preserve">ar na mallaibh</t>
  </si>
  <si>
    <t xml:space="preserve">lately</t>
  </si>
  <si>
    <t xml:space="preserve">K412</t>
  </si>
  <si>
    <t xml:space="preserve">i gceann</t>
  </si>
  <si>
    <t xml:space="preserve">in (used for time in future)</t>
  </si>
  <si>
    <t xml:space="preserve">K413</t>
  </si>
  <si>
    <t xml:space="preserve">dalta(í)</t>
  </si>
  <si>
    <t xml:space="preserve">student(s)</t>
  </si>
  <si>
    <t xml:space="preserve">K414</t>
  </si>
  <si>
    <t xml:space="preserve">uair an chloig</t>
  </si>
  <si>
    <t xml:space="preserve">hour</t>
  </si>
  <si>
    <t xml:space="preserve">K415</t>
  </si>
  <si>
    <t xml:space="preserve">ndearna</t>
  </si>
  <si>
    <t xml:space="preserve">did (dependent form; past tense; déan)</t>
  </si>
  <si>
    <t xml:space="preserve">K416</t>
  </si>
  <si>
    <t xml:space="preserve">leave/depart (stem)</t>
  </si>
  <si>
    <t xml:space="preserve">K417</t>
  </si>
  <si>
    <t xml:space="preserve">go rialta</t>
  </si>
  <si>
    <t xml:space="preserve">regularly</t>
  </si>
  <si>
    <t xml:space="preserve">K418</t>
  </si>
  <si>
    <t xml:space="preserve">litir (litreacha)</t>
  </si>
  <si>
    <t xml:space="preserve">letter(s)</t>
  </si>
  <si>
    <t xml:space="preserve">K419</t>
  </si>
  <si>
    <t xml:space="preserve">K420</t>
  </si>
  <si>
    <t xml:space="preserve">K421</t>
  </si>
  <si>
    <t xml:space="preserve">ba(i)ll</t>
  </si>
  <si>
    <t xml:space="preserve">member(s)</t>
  </si>
  <si>
    <t xml:space="preserve">K422</t>
  </si>
  <si>
    <t xml:space="preserve">thú</t>
  </si>
  <si>
    <t xml:space="preserve">you (object)</t>
  </si>
  <si>
    <t xml:space="preserve">K423</t>
  </si>
  <si>
    <t xml:space="preserve">tríú</t>
  </si>
  <si>
    <t xml:space="preserve">K424</t>
  </si>
  <si>
    <t xml:space="preserve">K425</t>
  </si>
  <si>
    <t xml:space="preserve">tugann</t>
  </si>
  <si>
    <t xml:space="preserve">gives (independent form; present tense; tabhair)</t>
  </si>
  <si>
    <t xml:space="preserve">K426</t>
  </si>
  <si>
    <t xml:space="preserve">uimhir (uimhreacha)</t>
  </si>
  <si>
    <t xml:space="preserve">number(s)</t>
  </si>
  <si>
    <t xml:space="preserve">K427</t>
  </si>
  <si>
    <t xml:space="preserve">suite</t>
  </si>
  <si>
    <t xml:space="preserve">situated</t>
  </si>
  <si>
    <t xml:space="preserve">K428</t>
  </si>
  <si>
    <t xml:space="preserve">faoi choinne</t>
  </si>
  <si>
    <t xml:space="preserve">K429</t>
  </si>
  <si>
    <t xml:space="preserve">K430</t>
  </si>
  <si>
    <t xml:space="preserve">dán(ta)</t>
  </si>
  <si>
    <t xml:space="preserve">poem(s)</t>
  </si>
  <si>
    <t xml:space="preserve">K431</t>
  </si>
  <si>
    <t xml:space="preserve">grúpa(í)</t>
  </si>
  <si>
    <t xml:space="preserve">group(s)</t>
  </si>
  <si>
    <t xml:space="preserve">K432</t>
  </si>
  <si>
    <t xml:space="preserve">fadhb(anna)</t>
  </si>
  <si>
    <t xml:space="preserve">problem(s)</t>
  </si>
  <si>
    <t xml:space="preserve">K433</t>
  </si>
  <si>
    <t xml:space="preserve">Aoine</t>
  </si>
  <si>
    <t xml:space="preserve">K434</t>
  </si>
  <si>
    <t xml:space="preserve">I gceart</t>
  </si>
  <si>
    <t xml:space="preserve">K435</t>
  </si>
  <si>
    <t xml:space="preserve">céad(ta)</t>
  </si>
  <si>
    <t xml:space="preserve">hundred(s)</t>
  </si>
  <si>
    <t xml:space="preserve">K436</t>
  </si>
  <si>
    <t xml:space="preserve">tuairisc(í)</t>
  </si>
  <si>
    <t xml:space="preserve">report(s)</t>
  </si>
  <si>
    <t xml:space="preserve">K437</t>
  </si>
  <si>
    <t xml:space="preserve">oileán</t>
  </si>
  <si>
    <t xml:space="preserve">island</t>
  </si>
  <si>
    <t xml:space="preserve">K438</t>
  </si>
  <si>
    <t xml:space="preserve">inis</t>
  </si>
  <si>
    <t xml:space="preserve">tell (stem)</t>
  </si>
  <si>
    <t xml:space="preserve">K439</t>
  </si>
  <si>
    <t xml:space="preserve">leathanach (leathanaigh)</t>
  </si>
  <si>
    <t xml:space="preserve">page(s)</t>
  </si>
  <si>
    <t xml:space="preserve">K440</t>
  </si>
  <si>
    <t xml:space="preserve">K441</t>
  </si>
  <si>
    <t xml:space="preserve">imeacht(aí)</t>
  </si>
  <si>
    <t xml:space="preserve">event(s)</t>
  </si>
  <si>
    <t xml:space="preserve">K442</t>
  </si>
  <si>
    <t xml:space="preserve">pastime</t>
  </si>
  <si>
    <t xml:space="preserve">K443</t>
  </si>
  <si>
    <t xml:space="preserve">is? (question form of copula)</t>
  </si>
  <si>
    <t xml:space="preserve">K444</t>
  </si>
  <si>
    <t xml:space="preserve">scríofa</t>
  </si>
  <si>
    <t xml:space="preserve">written</t>
  </si>
  <si>
    <t xml:space="preserve">K445</t>
  </si>
  <si>
    <t xml:space="preserve">airde</t>
  </si>
  <si>
    <t xml:space="preserve">height</t>
  </si>
  <si>
    <t xml:space="preserve">K446</t>
  </si>
  <si>
    <t xml:space="preserve">freagra(í)</t>
  </si>
  <si>
    <t xml:space="preserve">answer(s)</t>
  </si>
  <si>
    <t xml:space="preserve">K447</t>
  </si>
  <si>
    <t xml:space="preserve">marc(anna)</t>
  </si>
  <si>
    <t xml:space="preserve">mark(s)</t>
  </si>
  <si>
    <t xml:space="preserve">K448</t>
  </si>
  <si>
    <t xml:space="preserve">K449</t>
  </si>
  <si>
    <t xml:space="preserve">deireanach</t>
  </si>
  <si>
    <t xml:space="preserve">last </t>
  </si>
  <si>
    <t xml:space="preserve">K450</t>
  </si>
  <si>
    <t xml:space="preserve">cuma</t>
  </si>
  <si>
    <t xml:space="preserve">appearance</t>
  </si>
  <si>
    <t xml:space="preserve">K451</t>
  </si>
  <si>
    <t xml:space="preserve">go deo</t>
  </si>
  <si>
    <t xml:space="preserve">forever</t>
  </si>
  <si>
    <t xml:space="preserve">K452</t>
  </si>
  <si>
    <t xml:space="preserve">K453</t>
  </si>
  <si>
    <t xml:space="preserve">staidéar</t>
  </si>
  <si>
    <t xml:space="preserve">study</t>
  </si>
  <si>
    <t xml:space="preserve">K454</t>
  </si>
  <si>
    <t xml:space="preserve">K455</t>
  </si>
  <si>
    <t xml:space="preserve">K456</t>
  </si>
  <si>
    <t xml:space="preserve">speak (stem)</t>
  </si>
  <si>
    <t xml:space="preserve">K457</t>
  </si>
  <si>
    <t xml:space="preserve">bua</t>
  </si>
  <si>
    <t xml:space="preserve">victory</t>
  </si>
  <si>
    <t xml:space="preserve">K458</t>
  </si>
  <si>
    <t xml:space="preserve">trip/excursion</t>
  </si>
  <si>
    <t xml:space="preserve">K459</t>
  </si>
  <si>
    <t xml:space="preserve">titim</t>
  </si>
  <si>
    <t xml:space="preserve">to fall, falling</t>
  </si>
  <si>
    <t xml:space="preserve">K460</t>
  </si>
  <si>
    <t xml:space="preserve">follow (stem)</t>
  </si>
  <si>
    <t xml:space="preserve">K461</t>
  </si>
  <si>
    <t xml:space="preserve">iarr</t>
  </si>
  <si>
    <t xml:space="preserve">ask (stem)</t>
  </si>
  <si>
    <t xml:space="preserve">K462</t>
  </si>
  <si>
    <t xml:space="preserve">intinn</t>
  </si>
  <si>
    <t xml:space="preserve">mind</t>
  </si>
  <si>
    <t xml:space="preserve">K463</t>
  </si>
  <si>
    <t xml:space="preserve">leanúint</t>
  </si>
  <si>
    <t xml:space="preserve">to follow, following</t>
  </si>
  <si>
    <t xml:space="preserve">K464</t>
  </si>
  <si>
    <t xml:space="preserve">achan</t>
  </si>
  <si>
    <t xml:space="preserve">K465</t>
  </si>
  <si>
    <t xml:space="preserve">údar</t>
  </si>
  <si>
    <t xml:space="preserve">author</t>
  </si>
  <si>
    <t xml:space="preserve">K466</t>
  </si>
  <si>
    <t xml:space="preserve">stáisiún</t>
  </si>
  <si>
    <t xml:space="preserve">station</t>
  </si>
  <si>
    <t xml:space="preserve">K467</t>
  </si>
  <si>
    <t xml:space="preserve">more/most</t>
  </si>
  <si>
    <t xml:space="preserve">K468</t>
  </si>
  <si>
    <t xml:space="preserve">amhrá(i)n</t>
  </si>
  <si>
    <t xml:space="preserve">song(s)</t>
  </si>
  <si>
    <t xml:space="preserve">K469</t>
  </si>
  <si>
    <t xml:space="preserve">seoladh</t>
  </si>
  <si>
    <t xml:space="preserve">address</t>
  </si>
  <si>
    <t xml:space="preserve">K470</t>
  </si>
  <si>
    <t xml:space="preserve">teaghlach (teaghlaigh)</t>
  </si>
  <si>
    <t xml:space="preserve">family (families)</t>
  </si>
  <si>
    <t xml:space="preserve">K471</t>
  </si>
  <si>
    <t xml:space="preserve">scó(i)r</t>
  </si>
  <si>
    <t xml:space="preserve">score(s)</t>
  </si>
  <si>
    <t xml:space="preserve">K472</t>
  </si>
  <si>
    <t xml:space="preserve">do (stem)</t>
  </si>
  <si>
    <t xml:space="preserve">K473</t>
  </si>
  <si>
    <t xml:space="preserve">to carry, carrying</t>
  </si>
  <si>
    <t xml:space="preserve">K474</t>
  </si>
  <si>
    <t xml:space="preserve">to live, living</t>
  </si>
  <si>
    <t xml:space="preserve">K475</t>
  </si>
  <si>
    <t xml:space="preserve">léirigh</t>
  </si>
  <si>
    <t xml:space="preserve">show (stem)</t>
  </si>
  <si>
    <t xml:space="preserve">K476</t>
  </si>
  <si>
    <t xml:space="preserve">K477</t>
  </si>
  <si>
    <t xml:space="preserve">lift/build (stem)</t>
  </si>
  <si>
    <t xml:space="preserve">K478</t>
  </si>
  <si>
    <t xml:space="preserve">píosa(í)</t>
  </si>
  <si>
    <t xml:space="preserve">piece(s)</t>
  </si>
  <si>
    <t xml:space="preserve">K479</t>
  </si>
  <si>
    <t xml:space="preserve">understand (stem)</t>
  </si>
  <si>
    <t xml:space="preserve">K480</t>
  </si>
  <si>
    <t xml:space="preserve">naoi</t>
  </si>
  <si>
    <t xml:space="preserve">K481</t>
  </si>
  <si>
    <t xml:space="preserve">thall</t>
  </si>
  <si>
    <t xml:space="preserve">over (in relation to position)</t>
  </si>
  <si>
    <t xml:space="preserve">K482</t>
  </si>
  <si>
    <t xml:space="preserve">teilifís</t>
  </si>
  <si>
    <t xml:space="preserve">K483</t>
  </si>
  <si>
    <t xml:space="preserve">chuala</t>
  </si>
  <si>
    <t xml:space="preserve">heard (independent form; past tense; cluin)</t>
  </si>
  <si>
    <t xml:space="preserve">K484</t>
  </si>
  <si>
    <t xml:space="preserve">K485</t>
  </si>
  <si>
    <t xml:space="preserve">dó</t>
  </si>
  <si>
    <t xml:space="preserve">two (in counting)</t>
  </si>
  <si>
    <t xml:space="preserve">K486</t>
  </si>
  <si>
    <t xml:space="preserve">eagla</t>
  </si>
  <si>
    <t xml:space="preserve">K487</t>
  </si>
  <si>
    <t xml:space="preserve">dúchas</t>
  </si>
  <si>
    <t xml:space="preserve">native place</t>
  </si>
  <si>
    <t xml:space="preserve">K488</t>
  </si>
  <si>
    <t xml:space="preserve">níos/is faide</t>
  </si>
  <si>
    <t xml:space="preserve">further/furthest</t>
  </si>
  <si>
    <t xml:space="preserve">K489</t>
  </si>
  <si>
    <t xml:space="preserve">seriously</t>
  </si>
  <si>
    <t xml:space="preserve">K490</t>
  </si>
  <si>
    <t xml:space="preserve">níos/is luaithe</t>
  </si>
  <si>
    <t xml:space="preserve">earlier/earliest</t>
  </si>
  <si>
    <t xml:space="preserve">K491</t>
  </si>
  <si>
    <t xml:space="preserve">tarlú</t>
  </si>
  <si>
    <t xml:space="preserve">to happen, happening</t>
  </si>
  <si>
    <t xml:space="preserve">K492</t>
  </si>
  <si>
    <t xml:space="preserve">forget</t>
  </si>
  <si>
    <t xml:space="preserve">K493</t>
  </si>
  <si>
    <t xml:space="preserve">oscailte</t>
  </si>
  <si>
    <t xml:space="preserve">opened</t>
  </si>
  <si>
    <t xml:space="preserve">K494</t>
  </si>
  <si>
    <t xml:space="preserve">Nic</t>
  </si>
  <si>
    <t xml:space="preserve">daughter of (used in surnames)</t>
  </si>
  <si>
    <t xml:space="preserve">K495</t>
  </si>
  <si>
    <t xml:space="preserve">give (stem)</t>
  </si>
  <si>
    <t xml:space="preserve">K496</t>
  </si>
  <si>
    <t xml:space="preserve">gáire</t>
  </si>
  <si>
    <t xml:space="preserve">to laugh, laughing</t>
  </si>
  <si>
    <t xml:space="preserve">K497</t>
  </si>
  <si>
    <t xml:space="preserve">scoláire (scoláirí)</t>
  </si>
  <si>
    <t xml:space="preserve">K498</t>
  </si>
  <si>
    <t xml:space="preserve">céim(eanna)</t>
  </si>
  <si>
    <t xml:space="preserve">degree(s)/step(s)</t>
  </si>
  <si>
    <t xml:space="preserve">K499</t>
  </si>
  <si>
    <t xml:space="preserve">luí</t>
  </si>
  <si>
    <t xml:space="preserve">to lie down, lying down</t>
  </si>
  <si>
    <t xml:space="preserve">K500</t>
  </si>
  <si>
    <t xml:space="preserve">i láthair na huaire</t>
  </si>
  <si>
    <t xml:space="preserve">K501</t>
  </si>
  <si>
    <t xml:space="preserve">coláiste (coláistí)</t>
  </si>
  <si>
    <t xml:space="preserve">college(s)</t>
  </si>
  <si>
    <t xml:space="preserve">K502</t>
  </si>
  <si>
    <t xml:space="preserve">nádúrtha</t>
  </si>
  <si>
    <t xml:space="preserve">natural</t>
  </si>
  <si>
    <t xml:space="preserve">K503</t>
  </si>
  <si>
    <t xml:space="preserve">téann</t>
  </si>
  <si>
    <t xml:space="preserve">goes (independent; present; téigh)</t>
  </si>
  <si>
    <t xml:space="preserve">K504</t>
  </si>
  <si>
    <t xml:space="preserve">níos/is measa</t>
  </si>
  <si>
    <t xml:space="preserve">worse/worst</t>
  </si>
  <si>
    <t xml:space="preserve">K505</t>
  </si>
  <si>
    <t xml:space="preserve">bualadh (bualadh le)</t>
  </si>
  <si>
    <t xml:space="preserve">to hit/(meet with), hitting (meeting with)</t>
  </si>
  <si>
    <t xml:space="preserve">K506</t>
  </si>
  <si>
    <t xml:space="preserve">ullmhú</t>
  </si>
  <si>
    <t xml:space="preserve">to prepare, preparing</t>
  </si>
  <si>
    <t xml:space="preserve">K507</t>
  </si>
  <si>
    <t xml:space="preserve">fágáil</t>
  </si>
  <si>
    <t xml:space="preserve">K508</t>
  </si>
  <si>
    <t xml:space="preserve">K509</t>
  </si>
  <si>
    <t xml:space="preserve">to learn, learning</t>
  </si>
  <si>
    <t xml:space="preserve">K510</t>
  </si>
  <si>
    <t xml:space="preserve">aimsiú</t>
  </si>
  <si>
    <t xml:space="preserve">to find, finding</t>
  </si>
  <si>
    <t xml:space="preserve">K511</t>
  </si>
  <si>
    <t xml:space="preserve">den scoth</t>
  </si>
  <si>
    <t xml:space="preserve">K512</t>
  </si>
  <si>
    <t xml:space="preserve">buail (le)</t>
  </si>
  <si>
    <t xml:space="preserve">hit (meet) (stem)</t>
  </si>
  <si>
    <t xml:space="preserve">K513</t>
  </si>
  <si>
    <t xml:space="preserve">saoire</t>
  </si>
  <si>
    <t xml:space="preserve">holiday</t>
  </si>
  <si>
    <t xml:space="preserve">K514</t>
  </si>
  <si>
    <t xml:space="preserve">tusa</t>
  </si>
  <si>
    <t xml:space="preserve">you (emphatic)</t>
  </si>
  <si>
    <t xml:space="preserve">K515</t>
  </si>
  <si>
    <t xml:space="preserve">go hálainn</t>
  </si>
  <si>
    <t xml:space="preserve">lovely</t>
  </si>
  <si>
    <t xml:space="preserve">K516</t>
  </si>
  <si>
    <t xml:space="preserve">cuma(i)nn</t>
  </si>
  <si>
    <t xml:space="preserve">club(s)</t>
  </si>
  <si>
    <t xml:space="preserve">K517</t>
  </si>
  <si>
    <t xml:space="preserve">K518</t>
  </si>
  <si>
    <t xml:space="preserve">aer</t>
  </si>
  <si>
    <t xml:space="preserve">K519</t>
  </si>
  <si>
    <t xml:space="preserve">déanann</t>
  </si>
  <si>
    <t xml:space="preserve">does  (independent; present tense; déan)</t>
  </si>
  <si>
    <t xml:space="preserve">K520</t>
  </si>
  <si>
    <t xml:space="preserve">de ghnáth</t>
  </si>
  <si>
    <t xml:space="preserve">usually</t>
  </si>
  <si>
    <t xml:space="preserve">K521</t>
  </si>
  <si>
    <t xml:space="preserve">cairde</t>
  </si>
  <si>
    <t xml:space="preserve">friends</t>
  </si>
  <si>
    <t xml:space="preserve">K522</t>
  </si>
  <si>
    <t xml:space="preserve">ard</t>
  </si>
  <si>
    <t xml:space="preserve">tall</t>
  </si>
  <si>
    <t xml:space="preserve">K523</t>
  </si>
  <si>
    <t xml:space="preserve">tiocfaidh </t>
  </si>
  <si>
    <t xml:space="preserve">will come (independent form; future; tar)</t>
  </si>
  <si>
    <t xml:space="preserve">K524</t>
  </si>
  <si>
    <t xml:space="preserve">nao(i)mh</t>
  </si>
  <si>
    <t xml:space="preserve">K525</t>
  </si>
  <si>
    <t xml:space="preserve">fall (stem)</t>
  </si>
  <si>
    <t xml:space="preserve">K526</t>
  </si>
  <si>
    <t xml:space="preserve">tuismitheoir(í)</t>
  </si>
  <si>
    <t xml:space="preserve">parent(s)</t>
  </si>
  <si>
    <t xml:space="preserve">K527</t>
  </si>
  <si>
    <t xml:space="preserve">feabhas</t>
  </si>
  <si>
    <t xml:space="preserve">improvement</t>
  </si>
  <si>
    <t xml:space="preserve">K528</t>
  </si>
  <si>
    <t xml:space="preserve">libh</t>
  </si>
  <si>
    <t xml:space="preserve">with you (plural)</t>
  </si>
  <si>
    <t xml:space="preserve">K529</t>
  </si>
  <si>
    <t xml:space="preserve">buaigh</t>
  </si>
  <si>
    <t xml:space="preserve">win (stem)</t>
  </si>
  <si>
    <t xml:space="preserve">K530</t>
  </si>
  <si>
    <t xml:space="preserve">rang(anna)</t>
  </si>
  <si>
    <t xml:space="preserve">class(es)</t>
  </si>
  <si>
    <t xml:space="preserve">K531</t>
  </si>
  <si>
    <t xml:space="preserve">scríbhneoir(í)</t>
  </si>
  <si>
    <t xml:space="preserve">writer(s)</t>
  </si>
  <si>
    <t xml:space="preserve">K532</t>
  </si>
  <si>
    <t xml:space="preserve">leigheas</t>
  </si>
  <si>
    <t xml:space="preserve">cure</t>
  </si>
  <si>
    <t xml:space="preserve">K533</t>
  </si>
  <si>
    <t xml:space="preserve">ceannach</t>
  </si>
  <si>
    <t xml:space="preserve">to buy, buying</t>
  </si>
  <si>
    <t xml:space="preserve">K534</t>
  </si>
  <si>
    <t xml:space="preserve">déanfaidh </t>
  </si>
  <si>
    <t xml:space="preserve">will do (independent form; future tense; déan)</t>
  </si>
  <si>
    <t xml:space="preserve">K535</t>
  </si>
  <si>
    <t xml:space="preserve">de dhíth</t>
  </si>
  <si>
    <t xml:space="preserve">needed/wanted</t>
  </si>
  <si>
    <t xml:space="preserve">K536</t>
  </si>
  <si>
    <t xml:space="preserve">baol</t>
  </si>
  <si>
    <t xml:space="preserve">danger</t>
  </si>
  <si>
    <t xml:space="preserve">K537</t>
  </si>
  <si>
    <t xml:space="preserve">ocht</t>
  </si>
  <si>
    <t xml:space="preserve">K538</t>
  </si>
  <si>
    <t xml:space="preserve">tarraingt</t>
  </si>
  <si>
    <t xml:space="preserve">to draw, drawing</t>
  </si>
  <si>
    <t xml:space="preserve">K539</t>
  </si>
  <si>
    <t xml:space="preserve">K540</t>
  </si>
  <si>
    <t xml:space="preserve">láithreach</t>
  </si>
  <si>
    <t xml:space="preserve">immediately</t>
  </si>
  <si>
    <t xml:space="preserve">K541</t>
  </si>
  <si>
    <t xml:space="preserve">gan dabht</t>
  </si>
  <si>
    <t xml:space="preserve">K542</t>
  </si>
  <si>
    <t xml:space="preserve">Domhnach</t>
  </si>
  <si>
    <t xml:space="preserve">K543</t>
  </si>
  <si>
    <t xml:space="preserve">K544</t>
  </si>
  <si>
    <t xml:space="preserve">siopa(í)</t>
  </si>
  <si>
    <t xml:space="preserve">K545</t>
  </si>
  <si>
    <t xml:space="preserve">oscailt</t>
  </si>
  <si>
    <t xml:space="preserve">to open, opening</t>
  </si>
  <si>
    <t xml:space="preserve">K546</t>
  </si>
  <si>
    <t xml:space="preserve">spend/wear (stem)</t>
  </si>
  <si>
    <t xml:space="preserve">K547</t>
  </si>
  <si>
    <t xml:space="preserve">look (stem)</t>
  </si>
  <si>
    <t xml:space="preserve">K548</t>
  </si>
  <si>
    <t xml:space="preserve">bhur</t>
  </si>
  <si>
    <t xml:space="preserve">your (plural)</t>
  </si>
  <si>
    <t xml:space="preserve">K549</t>
  </si>
  <si>
    <t xml:space="preserve">K550</t>
  </si>
  <si>
    <t xml:space="preserve">spó(i)rt</t>
  </si>
  <si>
    <t xml:space="preserve">sport(s)</t>
  </si>
  <si>
    <t xml:space="preserve">K551</t>
  </si>
  <si>
    <t xml:space="preserve">leathan</t>
  </si>
  <si>
    <t xml:space="preserve">broad</t>
  </si>
  <si>
    <t xml:space="preserve">K552</t>
  </si>
  <si>
    <t xml:space="preserve">costas</t>
  </si>
  <si>
    <t xml:space="preserve">cost</t>
  </si>
  <si>
    <t xml:space="preserve">K553</t>
  </si>
  <si>
    <t xml:space="preserve">formhór</t>
  </si>
  <si>
    <t xml:space="preserve">majority (most)</t>
  </si>
  <si>
    <t xml:space="preserve">K554</t>
  </si>
  <si>
    <t xml:space="preserve">tine</t>
  </si>
  <si>
    <t xml:space="preserve">fire</t>
  </si>
  <si>
    <t xml:space="preserve">K555</t>
  </si>
  <si>
    <t xml:space="preserve">litríocht</t>
  </si>
  <si>
    <t xml:space="preserve">literature</t>
  </si>
  <si>
    <t xml:space="preserve">K556</t>
  </si>
  <si>
    <t xml:space="preserve">K557</t>
  </si>
  <si>
    <t xml:space="preserve">dúshlá(i)n</t>
  </si>
  <si>
    <t xml:space="preserve">challenge(s)</t>
  </si>
  <si>
    <t xml:space="preserve">K558</t>
  </si>
  <si>
    <t xml:space="preserve">dráma(í)</t>
  </si>
  <si>
    <t xml:space="preserve">K559</t>
  </si>
  <si>
    <t xml:space="preserve">Satharn</t>
  </si>
  <si>
    <t xml:space="preserve">K560</t>
  </si>
  <si>
    <t xml:space="preserve">bocht</t>
  </si>
  <si>
    <t xml:space="preserve">poor</t>
  </si>
  <si>
    <t xml:space="preserve">K561</t>
  </si>
  <si>
    <t xml:space="preserve">dona</t>
  </si>
  <si>
    <t xml:space="preserve">K562</t>
  </si>
  <si>
    <t xml:space="preserve">insint</t>
  </si>
  <si>
    <t xml:space="preserve">to tell, telling</t>
  </si>
  <si>
    <t xml:space="preserve">K563</t>
  </si>
  <si>
    <t xml:space="preserve">K564</t>
  </si>
  <si>
    <t xml:space="preserve">slí</t>
  </si>
  <si>
    <t xml:space="preserve">way</t>
  </si>
  <si>
    <t xml:space="preserve">K565</t>
  </si>
  <si>
    <t xml:space="preserve">béal</t>
  </si>
  <si>
    <t xml:space="preserve">mouth</t>
  </si>
  <si>
    <t xml:space="preserve">K566</t>
  </si>
  <si>
    <t xml:space="preserve">suíochá(i)n</t>
  </si>
  <si>
    <t xml:space="preserve">seat</t>
  </si>
  <si>
    <t xml:space="preserve">K567</t>
  </si>
  <si>
    <t xml:space="preserve">suí</t>
  </si>
  <si>
    <t xml:space="preserve">to sit, sitting</t>
  </si>
  <si>
    <t xml:space="preserve">K568</t>
  </si>
  <si>
    <t xml:space="preserve">thar lear</t>
  </si>
  <si>
    <t xml:space="preserve">abroad</t>
  </si>
  <si>
    <t xml:space="preserve">K569</t>
  </si>
  <si>
    <t xml:space="preserve">leaba (leapacha)</t>
  </si>
  <si>
    <t xml:space="preserve">bed(s)</t>
  </si>
  <si>
    <t xml:space="preserve">K570</t>
  </si>
  <si>
    <t xml:space="preserve">Is cuimhin le</t>
  </si>
  <si>
    <t xml:space="preserve">remember</t>
  </si>
  <si>
    <t xml:space="preserve">K571</t>
  </si>
  <si>
    <t xml:space="preserve">taisteal</t>
  </si>
  <si>
    <t xml:space="preserve">to travel, travelling</t>
  </si>
  <si>
    <t xml:space="preserve">K572</t>
  </si>
  <si>
    <t xml:space="preserve">féil(t)e</t>
  </si>
  <si>
    <t xml:space="preserve">festival(s)</t>
  </si>
  <si>
    <t xml:space="preserve">K573</t>
  </si>
  <si>
    <t xml:space="preserve">to sell, selling</t>
  </si>
  <si>
    <t xml:space="preserve">K574</t>
  </si>
  <si>
    <t xml:space="preserve">tuairim(í)</t>
  </si>
  <si>
    <t xml:space="preserve">opinion(s)</t>
  </si>
  <si>
    <t xml:space="preserve">K575</t>
  </si>
  <si>
    <t xml:space="preserve">nós(anna)</t>
  </si>
  <si>
    <t xml:space="preserve">custom(s)</t>
  </si>
  <si>
    <t xml:space="preserve">K576</t>
  </si>
  <si>
    <t xml:space="preserve">bóthar (bóithre)</t>
  </si>
  <si>
    <t xml:space="preserve">road(s)</t>
  </si>
  <si>
    <t xml:space="preserve">K577</t>
  </si>
  <si>
    <t xml:space="preserve">clean</t>
  </si>
  <si>
    <t xml:space="preserve">K578</t>
  </si>
  <si>
    <t xml:space="preserve">Luan</t>
  </si>
  <si>
    <t xml:space="preserve">K579</t>
  </si>
  <si>
    <t xml:space="preserve">nuachtá(i)n</t>
  </si>
  <si>
    <t xml:space="preserve">newspaper(s)</t>
  </si>
  <si>
    <t xml:space="preserve">K580</t>
  </si>
  <si>
    <t xml:space="preserve">leanbh (leanaí)</t>
  </si>
  <si>
    <t xml:space="preserve">child(ren)</t>
  </si>
  <si>
    <t xml:space="preserve">K581</t>
  </si>
  <si>
    <t xml:space="preserve">éasca</t>
  </si>
  <si>
    <t xml:space="preserve">K582</t>
  </si>
  <si>
    <t xml:space="preserve">cailín(í)</t>
  </si>
  <si>
    <t xml:space="preserve">girl</t>
  </si>
  <si>
    <t xml:space="preserve">K583</t>
  </si>
  <si>
    <t xml:space="preserve">radha(i)rc</t>
  </si>
  <si>
    <t xml:space="preserve">view(s)</t>
  </si>
  <si>
    <t xml:space="preserve">K584</t>
  </si>
  <si>
    <t xml:space="preserve">spás(anna)</t>
  </si>
  <si>
    <t xml:space="preserve">space(s)</t>
  </si>
  <si>
    <t xml:space="preserve">K585</t>
  </si>
  <si>
    <t xml:space="preserve">K586</t>
  </si>
  <si>
    <t xml:space="preserve">déanta na fírinne</t>
  </si>
  <si>
    <t xml:space="preserve">to tell the truth</t>
  </si>
  <si>
    <t xml:space="preserve">K587</t>
  </si>
  <si>
    <t xml:space="preserve">tógáil</t>
  </si>
  <si>
    <t xml:space="preserve">to build, building</t>
  </si>
  <si>
    <t xml:space="preserve">K588</t>
  </si>
  <si>
    <t xml:space="preserve">K589</t>
  </si>
  <si>
    <t xml:space="preserve">troid</t>
  </si>
  <si>
    <t xml:space="preserve">fight | to fight, fighting </t>
  </si>
  <si>
    <t xml:space="preserve">K590</t>
  </si>
  <si>
    <t xml:space="preserve">suíomh</t>
  </si>
  <si>
    <t xml:space="preserve">site</t>
  </si>
  <si>
    <t xml:space="preserve">K591</t>
  </si>
  <si>
    <t xml:space="preserve">téacs</t>
  </si>
  <si>
    <t xml:space="preserve">text</t>
  </si>
  <si>
    <t xml:space="preserve">K592</t>
  </si>
  <si>
    <t xml:space="preserve">K593</t>
  </si>
  <si>
    <t xml:space="preserve">ndeachaigh </t>
  </si>
  <si>
    <t xml:space="preserve">went/did go (dependent form; past; téigh)</t>
  </si>
  <si>
    <t xml:space="preserve">K594</t>
  </si>
  <si>
    <t xml:space="preserve">rachaidh </t>
  </si>
  <si>
    <t xml:space="preserve">will go (independent form; future; téigh)</t>
  </si>
  <si>
    <t xml:space="preserve">K595</t>
  </si>
  <si>
    <t xml:space="preserve">K596</t>
  </si>
  <si>
    <t xml:space="preserve">friend</t>
  </si>
  <si>
    <t xml:space="preserve">K597</t>
  </si>
  <si>
    <t xml:space="preserve">(an) tuaisceart</t>
  </si>
  <si>
    <t xml:space="preserve">(the) north</t>
  </si>
  <si>
    <t xml:space="preserve">K598</t>
  </si>
  <si>
    <t xml:space="preserve">ospidéal</t>
  </si>
  <si>
    <t xml:space="preserve">hospital</t>
  </si>
  <si>
    <t xml:space="preserve">K599</t>
  </si>
  <si>
    <t xml:space="preserve">tagann</t>
  </si>
  <si>
    <t xml:space="preserve">come/comes  (independent form; present; tar)</t>
  </si>
  <si>
    <t xml:space="preserve">K600</t>
  </si>
  <si>
    <t xml:space="preserve">roghnú</t>
  </si>
  <si>
    <t xml:space="preserve">to choose, choosing</t>
  </si>
  <si>
    <t xml:space="preserve">K601</t>
  </si>
  <si>
    <t xml:space="preserve">bhfaca</t>
  </si>
  <si>
    <t xml:space="preserve">saw  (dependent form; past tense; feic)</t>
  </si>
  <si>
    <t xml:space="preserve">K602</t>
  </si>
  <si>
    <t xml:space="preserve">níos/is láidre</t>
  </si>
  <si>
    <t xml:space="preserve">stronger/strongest</t>
  </si>
  <si>
    <t xml:space="preserve">K603</t>
  </si>
  <si>
    <t xml:space="preserve">imreoir(í)</t>
  </si>
  <si>
    <t xml:space="preserve">player(s)</t>
  </si>
  <si>
    <t xml:space="preserve">K604</t>
  </si>
  <si>
    <t xml:space="preserve">drink (stem) (also drinking)</t>
  </si>
  <si>
    <t xml:space="preserve">K605</t>
  </si>
  <si>
    <t xml:space="preserve">iníon(acha)</t>
  </si>
  <si>
    <t xml:space="preserve">K606</t>
  </si>
  <si>
    <t xml:space="preserve">locht</t>
  </si>
  <si>
    <t xml:space="preserve">fault</t>
  </si>
  <si>
    <t xml:space="preserve">K607</t>
  </si>
  <si>
    <t xml:space="preserve">níos/is óige</t>
  </si>
  <si>
    <t xml:space="preserve">younger/youngest</t>
  </si>
  <si>
    <t xml:space="preserve">K608</t>
  </si>
  <si>
    <t xml:space="preserve">gearán</t>
  </si>
  <si>
    <t xml:space="preserve">complaint</t>
  </si>
  <si>
    <t xml:space="preserve">K609</t>
  </si>
  <si>
    <t xml:space="preserve">K610</t>
  </si>
  <si>
    <t xml:space="preserve">saor in aisce</t>
  </si>
  <si>
    <t xml:space="preserve">free, free of charge</t>
  </si>
  <si>
    <t xml:space="preserve">K611</t>
  </si>
  <si>
    <t xml:space="preserve">lose (stem)</t>
  </si>
  <si>
    <t xml:space="preserve">K612</t>
  </si>
  <si>
    <t xml:space="preserve">Céadaoin</t>
  </si>
  <si>
    <t xml:space="preserve">K613</t>
  </si>
  <si>
    <t xml:space="preserve">simplí</t>
  </si>
  <si>
    <t xml:space="preserve">K614</t>
  </si>
  <si>
    <t xml:space="preserve">ollmhór</t>
  </si>
  <si>
    <t xml:space="preserve">massive</t>
  </si>
  <si>
    <t xml:space="preserve">K615</t>
  </si>
  <si>
    <t xml:space="preserve">K616</t>
  </si>
  <si>
    <t xml:space="preserve">gar</t>
  </si>
  <si>
    <t xml:space="preserve">favour</t>
  </si>
  <si>
    <t xml:space="preserve">K617</t>
  </si>
  <si>
    <t xml:space="preserve">K618</t>
  </si>
  <si>
    <t xml:space="preserve">damhsa(í)</t>
  </si>
  <si>
    <t xml:space="preserve">K619</t>
  </si>
  <si>
    <t xml:space="preserve">smaointe</t>
  </si>
  <si>
    <t xml:space="preserve">thoughts</t>
  </si>
  <si>
    <t xml:space="preserve">K620</t>
  </si>
  <si>
    <t xml:space="preserve">confidence/trust</t>
  </si>
  <si>
    <t xml:space="preserve">K621</t>
  </si>
  <si>
    <t xml:space="preserve">slua(ite)</t>
  </si>
  <si>
    <t xml:space="preserve">K622</t>
  </si>
  <si>
    <t xml:space="preserve">cá mhéad</t>
  </si>
  <si>
    <t xml:space="preserve">How many</t>
  </si>
  <si>
    <t xml:space="preserve">K623</t>
  </si>
  <si>
    <t xml:space="preserve">cuir amú</t>
  </si>
  <si>
    <t xml:space="preserve">waste (stem)</t>
  </si>
  <si>
    <t xml:space="preserve">K624</t>
  </si>
  <si>
    <t xml:space="preserve">fásta</t>
  </si>
  <si>
    <t xml:space="preserve">grown up</t>
  </si>
  <si>
    <t xml:space="preserve">K625</t>
  </si>
  <si>
    <t xml:space="preserve">ciall </t>
  </si>
  <si>
    <t xml:space="preserve">meaning</t>
  </si>
  <si>
    <t xml:space="preserve">K626</t>
  </si>
  <si>
    <t xml:space="preserve">ealaíon</t>
  </si>
  <si>
    <t xml:space="preserve">K627</t>
  </si>
  <si>
    <t xml:space="preserve">luaigh</t>
  </si>
  <si>
    <t xml:space="preserve">mention (stem)</t>
  </si>
  <si>
    <t xml:space="preserve">K628</t>
  </si>
  <si>
    <t xml:space="preserve">in the countryside</t>
  </si>
  <si>
    <t xml:space="preserve">K629</t>
  </si>
  <si>
    <t xml:space="preserve">to celebrate, celebrating</t>
  </si>
  <si>
    <t xml:space="preserve">K630</t>
  </si>
  <si>
    <t xml:space="preserve">réalta(í)</t>
  </si>
  <si>
    <t xml:space="preserve">star(s)</t>
  </si>
  <si>
    <t xml:space="preserve">K631</t>
  </si>
  <si>
    <t xml:space="preserve">K632</t>
  </si>
  <si>
    <t xml:space="preserve">stíl</t>
  </si>
  <si>
    <t xml:space="preserve">style</t>
  </si>
  <si>
    <t xml:space="preserve">K633</t>
  </si>
  <si>
    <t xml:space="preserve">Cúige Uladh</t>
  </si>
  <si>
    <t xml:space="preserve">Province of Ulster</t>
  </si>
  <si>
    <t xml:space="preserve">K634</t>
  </si>
  <si>
    <t xml:space="preserve">todhchaí</t>
  </si>
  <si>
    <t xml:space="preserve">K635</t>
  </si>
  <si>
    <t xml:space="preserve">saga(i)rt</t>
  </si>
  <si>
    <t xml:space="preserve">K636</t>
  </si>
  <si>
    <t xml:space="preserve">K637</t>
  </si>
  <si>
    <t xml:space="preserve">K638</t>
  </si>
  <si>
    <t xml:space="preserve">K639</t>
  </si>
  <si>
    <t xml:space="preserve">tosú</t>
  </si>
  <si>
    <t xml:space="preserve">to start, starting</t>
  </si>
  <si>
    <t xml:space="preserve">K640</t>
  </si>
  <si>
    <t xml:space="preserve">K641</t>
  </si>
  <si>
    <t xml:space="preserve">gabh</t>
  </si>
  <si>
    <t xml:space="preserve">go/come (stem)</t>
  </si>
  <si>
    <t xml:space="preserve">K642</t>
  </si>
  <si>
    <t xml:space="preserve">cainteoir(í)</t>
  </si>
  <si>
    <t xml:space="preserve">speaker(s)</t>
  </si>
  <si>
    <t xml:space="preserve">K643</t>
  </si>
  <si>
    <t xml:space="preserve">K644</t>
  </si>
  <si>
    <t xml:space="preserve">cáil</t>
  </si>
  <si>
    <t xml:space="preserve">fame</t>
  </si>
  <si>
    <t xml:space="preserve">K645</t>
  </si>
  <si>
    <t xml:space="preserve">peil</t>
  </si>
  <si>
    <t xml:space="preserve">football</t>
  </si>
  <si>
    <t xml:space="preserve">K646</t>
  </si>
  <si>
    <t xml:space="preserve">síl</t>
  </si>
  <si>
    <t xml:space="preserve">think (stem)</t>
  </si>
  <si>
    <t xml:space="preserve">K647</t>
  </si>
  <si>
    <t xml:space="preserve">farraige</t>
  </si>
  <si>
    <t xml:space="preserve">sea</t>
  </si>
  <si>
    <t xml:space="preserve">K648</t>
  </si>
  <si>
    <t xml:space="preserve">mall</t>
  </si>
  <si>
    <t xml:space="preserve">slow/late</t>
  </si>
  <si>
    <t xml:space="preserve">K649</t>
  </si>
  <si>
    <t xml:space="preserve">daoibh</t>
  </si>
  <si>
    <t xml:space="preserve">to you (plural)</t>
  </si>
  <si>
    <t xml:space="preserve">K650</t>
  </si>
  <si>
    <t xml:space="preserve">comórta(i)s</t>
  </si>
  <si>
    <t xml:space="preserve">competition</t>
  </si>
  <si>
    <t xml:space="preserve">K651</t>
  </si>
  <si>
    <t xml:space="preserve">cuimhne (cuimhní)</t>
  </si>
  <si>
    <t xml:space="preserve">memory (memories)</t>
  </si>
  <si>
    <t xml:space="preserve">K652</t>
  </si>
  <si>
    <t xml:space="preserve">Is gá do</t>
  </si>
  <si>
    <t xml:space="preserve">must, to have to</t>
  </si>
  <si>
    <t xml:space="preserve">K653</t>
  </si>
  <si>
    <t xml:space="preserve">say (stem)</t>
  </si>
  <si>
    <t xml:space="preserve">K654</t>
  </si>
  <si>
    <t xml:space="preserve">ceannaire</t>
  </si>
  <si>
    <t xml:space="preserve">leader</t>
  </si>
  <si>
    <t xml:space="preserve">K655</t>
  </si>
  <si>
    <t xml:space="preserve">(an t)Iarthar</t>
  </si>
  <si>
    <t xml:space="preserve">(the) West</t>
  </si>
  <si>
    <t xml:space="preserve">K656</t>
  </si>
  <si>
    <t xml:space="preserve">ceathrar</t>
  </si>
  <si>
    <t xml:space="preserve">four people</t>
  </si>
  <si>
    <t xml:space="preserve">K657</t>
  </si>
  <si>
    <t xml:space="preserve">bailiú</t>
  </si>
  <si>
    <t xml:space="preserve">to collect, collecting</t>
  </si>
  <si>
    <t xml:space="preserve">K658</t>
  </si>
  <si>
    <t xml:space="preserve">K659</t>
  </si>
  <si>
    <t xml:space="preserve">wee bit</t>
  </si>
  <si>
    <t xml:space="preserve">K660</t>
  </si>
  <si>
    <t xml:space="preserve">fadó</t>
  </si>
  <si>
    <t xml:space="preserve">long time ago</t>
  </si>
  <si>
    <t xml:space="preserve">K661</t>
  </si>
  <si>
    <t xml:space="preserve">K662</t>
  </si>
  <si>
    <t xml:space="preserve">bá(i)d</t>
  </si>
  <si>
    <t xml:space="preserve">K663</t>
  </si>
  <si>
    <t xml:space="preserve">clann</t>
  </si>
  <si>
    <t xml:space="preserve">family (children)</t>
  </si>
  <si>
    <t xml:space="preserve">K664</t>
  </si>
  <si>
    <t xml:space="preserve">spell</t>
  </si>
  <si>
    <t xml:space="preserve">K665</t>
  </si>
  <si>
    <t xml:space="preserve">cultú(i)r</t>
  </si>
  <si>
    <t xml:space="preserve">culture(s)</t>
  </si>
  <si>
    <t xml:space="preserve">K666</t>
  </si>
  <si>
    <t xml:space="preserve">saoirse</t>
  </si>
  <si>
    <t xml:space="preserve">freedom</t>
  </si>
  <si>
    <t xml:space="preserve">K667</t>
  </si>
  <si>
    <t xml:space="preserve">pictiú(i)r</t>
  </si>
  <si>
    <t xml:space="preserve">picture</t>
  </si>
  <si>
    <t xml:space="preserve">K668</t>
  </si>
  <si>
    <t xml:space="preserve">K669</t>
  </si>
  <si>
    <t xml:space="preserve">caillte</t>
  </si>
  <si>
    <t xml:space="preserve">lost</t>
  </si>
  <si>
    <t xml:space="preserve">K670</t>
  </si>
  <si>
    <t xml:space="preserve">K671</t>
  </si>
  <si>
    <t xml:space="preserve">dath(anna)</t>
  </si>
  <si>
    <t xml:space="preserve">colour</t>
  </si>
  <si>
    <t xml:space="preserve">K672</t>
  </si>
  <si>
    <t xml:space="preserve">duais(eanna)</t>
  </si>
  <si>
    <t xml:space="preserve">prize(s)</t>
  </si>
  <si>
    <t xml:space="preserve">K673</t>
  </si>
  <si>
    <t xml:space="preserve">uaireanta</t>
  </si>
  <si>
    <t xml:space="preserve">at times</t>
  </si>
  <si>
    <t xml:space="preserve">K674</t>
  </si>
  <si>
    <t xml:space="preserve">Máirt</t>
  </si>
  <si>
    <t xml:space="preserve">K675</t>
  </si>
  <si>
    <t xml:space="preserve">K676</t>
  </si>
  <si>
    <t xml:space="preserve">teagasc</t>
  </si>
  <si>
    <t xml:space="preserve">to teach, teaching</t>
  </si>
  <si>
    <t xml:space="preserve">K677</t>
  </si>
  <si>
    <t xml:space="preserve">loch(anna)</t>
  </si>
  <si>
    <t xml:space="preserve">lake(s)</t>
  </si>
  <si>
    <t xml:space="preserve">K678</t>
  </si>
  <si>
    <t xml:space="preserve">teachtaireacht(aí)</t>
  </si>
  <si>
    <t xml:space="preserve">message(s)</t>
  </si>
  <si>
    <t xml:space="preserve">K679</t>
  </si>
  <si>
    <t xml:space="preserve">embarrassment/shame</t>
  </si>
  <si>
    <t xml:space="preserve">K680</t>
  </si>
  <si>
    <t xml:space="preserve">K681</t>
  </si>
  <si>
    <t xml:space="preserve">ithe</t>
  </si>
  <si>
    <t xml:space="preserve">to eat, eating</t>
  </si>
  <si>
    <t xml:space="preserve">K682</t>
  </si>
  <si>
    <t xml:space="preserve">cú(i)l</t>
  </si>
  <si>
    <t xml:space="preserve">goal(s)</t>
  </si>
  <si>
    <t xml:space="preserve">K683</t>
  </si>
  <si>
    <t xml:space="preserve">póilíní</t>
  </si>
  <si>
    <t xml:space="preserve">police</t>
  </si>
  <si>
    <t xml:space="preserve">K684</t>
  </si>
  <si>
    <t xml:space="preserve">sráid(eanna)</t>
  </si>
  <si>
    <t xml:space="preserve">street(s)</t>
  </si>
  <si>
    <t xml:space="preserve">K685</t>
  </si>
  <si>
    <t xml:space="preserve">críochnaithe</t>
  </si>
  <si>
    <t xml:space="preserve">finished</t>
  </si>
  <si>
    <t xml:space="preserve">K686</t>
  </si>
  <si>
    <t xml:space="preserve">spraoi</t>
  </si>
  <si>
    <t xml:space="preserve">K687</t>
  </si>
  <si>
    <t xml:space="preserve">brón</t>
  </si>
  <si>
    <t xml:space="preserve">sorrow</t>
  </si>
  <si>
    <t xml:space="preserve">K688</t>
  </si>
  <si>
    <t xml:space="preserve">taispeáint</t>
  </si>
  <si>
    <t xml:space="preserve">to show, showing</t>
  </si>
  <si>
    <t xml:space="preserve">K689</t>
  </si>
  <si>
    <t xml:space="preserve">ormsa</t>
  </si>
  <si>
    <t xml:space="preserve">on me (emphatic)</t>
  </si>
  <si>
    <t xml:space="preserve">K690</t>
  </si>
  <si>
    <t xml:space="preserve">play (stem)</t>
  </si>
  <si>
    <t xml:space="preserve">K691</t>
  </si>
  <si>
    <t xml:space="preserve">companion</t>
  </si>
  <si>
    <t xml:space="preserve">outside 2000</t>
  </si>
  <si>
    <t xml:space="preserve">K692</t>
  </si>
  <si>
    <t xml:space="preserve">K693</t>
  </si>
  <si>
    <t xml:space="preserve">mínigh</t>
  </si>
  <si>
    <t xml:space="preserve">explain (stem)</t>
  </si>
  <si>
    <t xml:space="preserve">K694</t>
  </si>
  <si>
    <t xml:space="preserve">bogadh</t>
  </si>
  <si>
    <t xml:space="preserve">to move, moving</t>
  </si>
  <si>
    <t xml:space="preserve">K695</t>
  </si>
  <si>
    <t xml:space="preserve">aisteach</t>
  </si>
  <si>
    <t xml:space="preserve">strange</t>
  </si>
  <si>
    <t xml:space="preserve">K696</t>
  </si>
  <si>
    <t xml:space="preserve">tabharfaidh </t>
  </si>
  <si>
    <t xml:space="preserve">will give (independent form; future tense; tabhair)</t>
  </si>
  <si>
    <t xml:space="preserve">K697</t>
  </si>
  <si>
    <t xml:space="preserve">geal</t>
  </si>
  <si>
    <t xml:space="preserve">bright</t>
  </si>
  <si>
    <t xml:space="preserve">K698</t>
  </si>
  <si>
    <t xml:space="preserve">cósta</t>
  </si>
  <si>
    <t xml:space="preserve">coast</t>
  </si>
  <si>
    <t xml:space="preserve">K699</t>
  </si>
  <si>
    <t xml:space="preserve">K700</t>
  </si>
  <si>
    <t xml:space="preserve">K701</t>
  </si>
  <si>
    <t xml:space="preserve">K702</t>
  </si>
  <si>
    <t xml:space="preserve">ag cur báistí</t>
  </si>
  <si>
    <t xml:space="preserve">raining</t>
  </si>
  <si>
    <t xml:space="preserve">K703</t>
  </si>
  <si>
    <t xml:space="preserve">K704</t>
  </si>
  <si>
    <t xml:space="preserve">gaofar</t>
  </si>
  <si>
    <t xml:space="preserve">windy</t>
  </si>
  <si>
    <t xml:space="preserve">K705</t>
  </si>
  <si>
    <t xml:space="preserve">K706</t>
  </si>
  <si>
    <t xml:space="preserve">K707</t>
  </si>
  <si>
    <t xml:space="preserve">K708</t>
  </si>
  <si>
    <t xml:space="preserve">ó dheas</t>
  </si>
  <si>
    <t xml:space="preserve">southwards/in south</t>
  </si>
  <si>
    <t xml:space="preserve">K709</t>
  </si>
  <si>
    <t xml:space="preserve">(an) t-oirthear</t>
  </si>
  <si>
    <t xml:space="preserve">(the) east</t>
  </si>
  <si>
    <t xml:space="preserve">K710</t>
  </si>
  <si>
    <t xml:space="preserve">gasta</t>
  </si>
  <si>
    <t xml:space="preserve">quick</t>
  </si>
  <si>
    <t xml:space="preserve">K711</t>
  </si>
  <si>
    <t xml:space="preserve">slow</t>
  </si>
  <si>
    <t xml:space="preserve">K712</t>
  </si>
  <si>
    <t xml:space="preserve">NA</t>
  </si>
  <si>
    <t xml:space="preserve">n</t>
  </si>
  <si>
    <t xml:space="preserve">[Logainm]</t>
  </si>
  <si>
    <t xml:space="preserve">Placename (locally relevant)</t>
  </si>
  <si>
    <t xml:space="preserve">N/A</t>
  </si>
  <si>
    <t xml:space="preserve">K713</t>
  </si>
  <si>
    <t xml:space="preserve">Placename (significant town/city)</t>
  </si>
  <si>
    <t xml:space="preserve">K714</t>
  </si>
  <si>
    <t xml:space="preserve">[sloinne]</t>
  </si>
  <si>
    <t xml:space="preserve">Surname (relevant to pupil's name)</t>
  </si>
  <si>
    <t xml:space="preserve">K715</t>
  </si>
  <si>
    <t xml:space="preserve">K716</t>
  </si>
  <si>
    <t xml:space="preserve">K717</t>
  </si>
  <si>
    <t xml:space="preserve">níos moille</t>
  </si>
  <si>
    <t xml:space="preserve">slower</t>
  </si>
  <si>
    <t xml:space="preserve">K718</t>
  </si>
  <si>
    <t xml:space="preserve">to him (it) / for him (it)</t>
  </si>
  <si>
    <t xml:space="preserve">K719</t>
  </si>
  <si>
    <t xml:space="preserve">di</t>
  </si>
  <si>
    <t xml:space="preserve">to her / for her</t>
  </si>
  <si>
    <t xml:space="preserve">K720</t>
  </si>
  <si>
    <t xml:space="preserve">to us / for us</t>
  </si>
  <si>
    <t xml:space="preserve">K721</t>
  </si>
  <si>
    <t xml:space="preserve">dóibh</t>
  </si>
  <si>
    <t xml:space="preserve">to them / for them</t>
  </si>
  <si>
    <t xml:space="preserve">K722</t>
  </si>
  <si>
    <t xml:space="preserve">oraibh</t>
  </si>
  <si>
    <t xml:space="preserve">on you (plural)</t>
  </si>
  <si>
    <t xml:space="preserve">K723</t>
  </si>
  <si>
    <t xml:space="preserve">gheobhaidh</t>
  </si>
  <si>
    <t xml:space="preserve">will get / will find</t>
  </si>
  <si>
    <t xml:space="preserve">K724</t>
  </si>
  <si>
    <t xml:space="preserve">ní dhearna</t>
  </si>
  <si>
    <t xml:space="preserve">did not make/did not do (dependent form, past tense, déan)</t>
  </si>
  <si>
    <t xml:space="preserve">K725</t>
  </si>
  <si>
    <t xml:space="preserve">ní fhaca</t>
  </si>
  <si>
    <t xml:space="preserve">did not see ((dependent form, past tense, feic)</t>
  </si>
  <si>
    <t xml:space="preserve">K726</t>
  </si>
  <si>
    <t xml:space="preserve">ní dheachaigh</t>
  </si>
  <si>
    <t xml:space="preserve">did not go (dependent form, past tense, téigh)</t>
  </si>
  <si>
    <t xml:space="preserve">K727</t>
  </si>
  <si>
    <t xml:space="preserve">look at</t>
  </si>
  <si>
    <t xml:space="preserve">K728</t>
  </si>
  <si>
    <t xml:space="preserve">listen to</t>
  </si>
  <si>
    <t xml:space="preserve">K729</t>
  </si>
  <si>
    <t xml:space="preserve">K730</t>
  </si>
  <si>
    <t xml:space="preserve">seisear</t>
  </si>
  <si>
    <t xml:space="preserve">six people</t>
  </si>
  <si>
    <t xml:space="preserve">K731</t>
  </si>
  <si>
    <t xml:space="preserve">seachtar</t>
  </si>
  <si>
    <t xml:space="preserve">seven people</t>
  </si>
  <si>
    <t xml:space="preserve">K732</t>
  </si>
  <si>
    <t xml:space="preserve">ochtar</t>
  </si>
  <si>
    <t xml:space="preserve">eight people</t>
  </si>
  <si>
    <t xml:space="preserve">K733</t>
  </si>
  <si>
    <t xml:space="preserve">naonúr</t>
  </si>
  <si>
    <t xml:space="preserve">nine people</t>
  </si>
  <si>
    <t xml:space="preserve">K734</t>
  </si>
  <si>
    <t xml:space="preserve">aintín(í)</t>
  </si>
  <si>
    <t xml:space="preserve">aunt(ies)</t>
  </si>
  <si>
    <t xml:space="preserve">K735</t>
  </si>
  <si>
    <t xml:space="preserve">amhránaí (amhránaithe)</t>
  </si>
  <si>
    <t xml:space="preserve">singer(s)</t>
  </si>
  <si>
    <t xml:space="preserve">K736</t>
  </si>
  <si>
    <t xml:space="preserve">K737</t>
  </si>
  <si>
    <t xml:space="preserve">breithlá</t>
  </si>
  <si>
    <t xml:space="preserve">K738</t>
  </si>
  <si>
    <t xml:space="preserve">K739</t>
  </si>
  <si>
    <t xml:space="preserve">bríste</t>
  </si>
  <si>
    <t xml:space="preserve">K740</t>
  </si>
  <si>
    <t xml:space="preserve">bróg(a)</t>
  </si>
  <si>
    <t xml:space="preserve">shoe(s)</t>
  </si>
  <si>
    <t xml:space="preserve">K741</t>
  </si>
  <si>
    <t xml:space="preserve">gift</t>
  </si>
  <si>
    <t xml:space="preserve">K742</t>
  </si>
  <si>
    <t xml:space="preserve">bus(anna)</t>
  </si>
  <si>
    <t xml:space="preserve">bus(es)</t>
  </si>
  <si>
    <t xml:space="preserve">K743</t>
  </si>
  <si>
    <t xml:space="preserve">carr(anna)</t>
  </si>
  <si>
    <t xml:space="preserve">car(s)</t>
  </si>
  <si>
    <t xml:space="preserve">K744</t>
  </si>
  <si>
    <t xml:space="preserve">cat (cait)</t>
  </si>
  <si>
    <t xml:space="preserve">cat(s)</t>
  </si>
  <si>
    <t xml:space="preserve">K745</t>
  </si>
  <si>
    <t xml:space="preserve">ceapaire (ceapairí)</t>
  </si>
  <si>
    <t xml:space="preserve">sandwich(es)</t>
  </si>
  <si>
    <t xml:space="preserve">K746</t>
  </si>
  <si>
    <t xml:space="preserve">num/n (f)</t>
  </si>
  <si>
    <t xml:space="preserve">ceathrú</t>
  </si>
  <si>
    <t xml:space="preserve">quarter</t>
  </si>
  <si>
    <t xml:space="preserve">K747</t>
  </si>
  <si>
    <t xml:space="preserve">císte (cistí)</t>
  </si>
  <si>
    <t xml:space="preserve">K748</t>
  </si>
  <si>
    <t xml:space="preserve">corpoideachas</t>
  </si>
  <si>
    <t xml:space="preserve">physical education</t>
  </si>
  <si>
    <t xml:space="preserve">K749</t>
  </si>
  <si>
    <t xml:space="preserve">cóta(í)</t>
  </si>
  <si>
    <t xml:space="preserve">coat(s)</t>
  </si>
  <si>
    <t xml:space="preserve">K750</t>
  </si>
  <si>
    <t xml:space="preserve">crann (crainn)</t>
  </si>
  <si>
    <t xml:space="preserve">tree(s)</t>
  </si>
  <si>
    <t xml:space="preserve">K751</t>
  </si>
  <si>
    <t xml:space="preserve">cúigear</t>
  </si>
  <si>
    <t xml:space="preserve">five people</t>
  </si>
  <si>
    <t xml:space="preserve">K752</t>
  </si>
  <si>
    <t xml:space="preserve">deartháir/deirfiúracha</t>
  </si>
  <si>
    <t xml:space="preserve">brother/brothers</t>
  </si>
  <si>
    <t xml:space="preserve">K753</t>
  </si>
  <si>
    <t xml:space="preserve">deirfiúir/deirfiúracha</t>
  </si>
  <si>
    <t xml:space="preserve">sister/ sisters</t>
  </si>
  <si>
    <t xml:space="preserve">K754</t>
  </si>
  <si>
    <t xml:space="preserve">K755</t>
  </si>
  <si>
    <t xml:space="preserve">eaglais</t>
  </si>
  <si>
    <t xml:space="preserve">K756</t>
  </si>
  <si>
    <t xml:space="preserve">eolaíocht</t>
  </si>
  <si>
    <t xml:space="preserve">science</t>
  </si>
  <si>
    <t xml:space="preserve">K757</t>
  </si>
  <si>
    <t xml:space="preserve">gaol/gaolta</t>
  </si>
  <si>
    <t xml:space="preserve">relation/ relatives</t>
  </si>
  <si>
    <t xml:space="preserve">K758</t>
  </si>
  <si>
    <t xml:space="preserve">K759</t>
  </si>
  <si>
    <t xml:space="preserve">madadh (madaí)</t>
  </si>
  <si>
    <t xml:space="preserve">dog(s)</t>
  </si>
  <si>
    <t xml:space="preserve">K760</t>
  </si>
  <si>
    <t xml:space="preserve">mála(í)</t>
  </si>
  <si>
    <t xml:space="preserve">bag(s)</t>
  </si>
  <si>
    <t xml:space="preserve">K761</t>
  </si>
  <si>
    <t xml:space="preserve">meánscoil(eanna)</t>
  </si>
  <si>
    <t xml:space="preserve">secondary school(s)</t>
  </si>
  <si>
    <t xml:space="preserve">K762</t>
  </si>
  <si>
    <t xml:space="preserve">óstán (óstáin)</t>
  </si>
  <si>
    <t xml:space="preserve">hotel(s)</t>
  </si>
  <si>
    <t xml:space="preserve">K763</t>
  </si>
  <si>
    <t xml:space="preserve">páirc(eanna)</t>
  </si>
  <si>
    <t xml:space="preserve">park(s)</t>
  </si>
  <si>
    <t xml:space="preserve">K764</t>
  </si>
  <si>
    <t xml:space="preserve">peann (pinn)</t>
  </si>
  <si>
    <t xml:space="preserve">pen(s)</t>
  </si>
  <si>
    <t xml:space="preserve">K765</t>
  </si>
  <si>
    <t xml:space="preserve">peata(í)</t>
  </si>
  <si>
    <t xml:space="preserve">pet(s)</t>
  </si>
  <si>
    <t xml:space="preserve">K766</t>
  </si>
  <si>
    <t xml:space="preserve">ríomhaire (ríomhairí)</t>
  </si>
  <si>
    <t xml:space="preserve">computer(s)</t>
  </si>
  <si>
    <t xml:space="preserve">K767</t>
  </si>
  <si>
    <t xml:space="preserve">rothar (rothair)</t>
  </si>
  <si>
    <t xml:space="preserve">bicycle(s)</t>
  </si>
  <si>
    <t xml:space="preserve">K768</t>
  </si>
  <si>
    <t xml:space="preserve">seanathair</t>
  </si>
  <si>
    <t xml:space="preserve">K769</t>
  </si>
  <si>
    <t xml:space="preserve">seanmháthair</t>
  </si>
  <si>
    <t xml:space="preserve">K770</t>
  </si>
  <si>
    <t xml:space="preserve">shop(s)</t>
  </si>
  <si>
    <t xml:space="preserve">K771</t>
  </si>
  <si>
    <t xml:space="preserve">siopadóireacht</t>
  </si>
  <si>
    <t xml:space="preserve">shopping</t>
  </si>
  <si>
    <t xml:space="preserve">K772</t>
  </si>
  <si>
    <t xml:space="preserve">sliabh (sléibhte)</t>
  </si>
  <si>
    <t xml:space="preserve">mountain(s)</t>
  </si>
  <si>
    <t xml:space="preserve">K773</t>
  </si>
  <si>
    <t xml:space="preserve">sólann</t>
  </si>
  <si>
    <t xml:space="preserve">K774</t>
  </si>
  <si>
    <t xml:space="preserve">tábla(í)</t>
  </si>
  <si>
    <t xml:space="preserve">table(s)</t>
  </si>
  <si>
    <t xml:space="preserve">K775</t>
  </si>
  <si>
    <t xml:space="preserve">K776</t>
  </si>
  <si>
    <t xml:space="preserve">K777</t>
  </si>
  <si>
    <t xml:space="preserve">t-léine (t-léinte)</t>
  </si>
  <si>
    <t xml:space="preserve">t-shirt(s)</t>
  </si>
  <si>
    <t xml:space="preserve">K778</t>
  </si>
  <si>
    <t xml:space="preserve">K779</t>
  </si>
  <si>
    <t xml:space="preserve">traein (traenacha)</t>
  </si>
  <si>
    <t xml:space="preserve">train(s)</t>
  </si>
  <si>
    <t xml:space="preserve">K780</t>
  </si>
  <si>
    <t xml:space="preserve">turas (turais)</t>
  </si>
  <si>
    <t xml:space="preserve">trip(s)</t>
  </si>
  <si>
    <t xml:space="preserve">K781</t>
  </si>
  <si>
    <t xml:space="preserve">uncail(í)</t>
  </si>
  <si>
    <t xml:space="preserve">uncle(s)</t>
  </si>
  <si>
    <t xml:space="preserve">K782</t>
  </si>
  <si>
    <t xml:space="preserve">clog</t>
  </si>
  <si>
    <t xml:space="preserve">clock</t>
  </si>
  <si>
    <t xml:space="preserve">K783</t>
  </si>
  <si>
    <t xml:space="preserve">deichniúr</t>
  </si>
  <si>
    <t xml:space="preserve">ten people</t>
  </si>
  <si>
    <t xml:space="preserve">K784</t>
  </si>
  <si>
    <t xml:space="preserve">Spring</t>
  </si>
  <si>
    <t xml:space="preserve">K785</t>
  </si>
  <si>
    <t xml:space="preserve">geansaí (geansaithe)</t>
  </si>
  <si>
    <t xml:space="preserve">jumper(s)</t>
  </si>
  <si>
    <t xml:space="preserve">K786</t>
  </si>
  <si>
    <t xml:space="preserve">Winter</t>
  </si>
  <si>
    <t xml:space="preserve">K787</t>
  </si>
  <si>
    <t xml:space="preserve">K788</t>
  </si>
  <si>
    <t xml:space="preserve">K789</t>
  </si>
  <si>
    <t xml:space="preserve">leadóg</t>
  </si>
  <si>
    <t xml:space="preserve">tennis</t>
  </si>
  <si>
    <t xml:space="preserve">K790</t>
  </si>
  <si>
    <t xml:space="preserve">leithreas (leithris)</t>
  </si>
  <si>
    <t xml:space="preserve">toilet(s)</t>
  </si>
  <si>
    <t xml:space="preserve">K791</t>
  </si>
  <si>
    <t xml:space="preserve">lunch</t>
  </si>
  <si>
    <t xml:space="preserve">K792</t>
  </si>
  <si>
    <t xml:space="preserve">mata</t>
  </si>
  <si>
    <t xml:space="preserve">K793</t>
  </si>
  <si>
    <t xml:space="preserve">K794</t>
  </si>
  <si>
    <t xml:space="preserve">ollmhargadh (ollmhargaí)</t>
  </si>
  <si>
    <t xml:space="preserve">supermarket(s)</t>
  </si>
  <si>
    <t xml:space="preserve">K795</t>
  </si>
  <si>
    <t xml:space="preserve">pictiúrlann(a)</t>
  </si>
  <si>
    <t xml:space="preserve">cinema(s)</t>
  </si>
  <si>
    <t xml:space="preserve">K796</t>
  </si>
  <si>
    <t xml:space="preserve">sciorta(í)</t>
  </si>
  <si>
    <t xml:space="preserve">K797</t>
  </si>
  <si>
    <t xml:space="preserve">sráidbhaile (sráidbhailte)</t>
  </si>
  <si>
    <t xml:space="preserve">K798</t>
  </si>
  <si>
    <t xml:space="preserve">suipéar</t>
  </si>
  <si>
    <t xml:space="preserve">supper</t>
  </si>
  <si>
    <t xml:space="preserve">K799</t>
  </si>
  <si>
    <t xml:space="preserve">ticéad (ticéid)</t>
  </si>
  <si>
    <t xml:space="preserve">ticket(s)</t>
  </si>
  <si>
    <t xml:space="preserve">K800</t>
  </si>
  <si>
    <t xml:space="preserve">K801</t>
  </si>
  <si>
    <t xml:space="preserve">Total entries:</t>
  </si>
  <si>
    <t xml:space="preserve">K802</t>
  </si>
  <si>
    <t xml:space="preserve">Total &gt;2000</t>
  </si>
  <si>
    <t xml:space="preserve">K803</t>
  </si>
  <si>
    <t xml:space="preserve">Total mwp</t>
  </si>
  <si>
    <t xml:space="preserve">K804</t>
  </si>
  <si>
    <t xml:space="preserve">% entries &gt; 2000 (incl. mwp)</t>
  </si>
  <si>
    <t xml:space="preserve">K805</t>
  </si>
  <si>
    <t xml:space="preserve">total nouns</t>
  </si>
  <si>
    <t xml:space="preserve">K806</t>
  </si>
  <si>
    <t xml:space="preserve">total verbs</t>
  </si>
  <si>
    <t xml:space="preserve">K807</t>
  </si>
  <si>
    <t xml:space="preserve">adj = adjective</t>
  </si>
  <si>
    <t xml:space="preserve">K808</t>
  </si>
  <si>
    <t xml:space="preserve">adv = adverb</t>
  </si>
  <si>
    <t xml:space="preserve">K809</t>
  </si>
  <si>
    <t xml:space="preserve">comp (prep + det) = compound</t>
  </si>
  <si>
    <t xml:space="preserve">K810</t>
  </si>
  <si>
    <t xml:space="preserve">conj = conjunction</t>
  </si>
  <si>
    <t xml:space="preserve">K811</t>
  </si>
  <si>
    <t xml:space="preserve">det = determiner</t>
  </si>
  <si>
    <t xml:space="preserve">K812</t>
  </si>
  <si>
    <t xml:space="preserve">intj = interjection</t>
  </si>
  <si>
    <t xml:space="preserve">K813</t>
  </si>
  <si>
    <t xml:space="preserve">n = noun</t>
  </si>
  <si>
    <t xml:space="preserve">K814</t>
  </si>
  <si>
    <t xml:space="preserve">n (m) = masculine noun</t>
  </si>
  <si>
    <t xml:space="preserve">K815</t>
  </si>
  <si>
    <t xml:space="preserve">n (f) = feminine noun</t>
  </si>
  <si>
    <t xml:space="preserve">K816</t>
  </si>
  <si>
    <t xml:space="preserve">n (mpl) = plural masculine noun</t>
  </si>
  <si>
    <t xml:space="preserve">K817</t>
  </si>
  <si>
    <t xml:space="preserve">n (fpl) = plural feminine noun</t>
  </si>
  <si>
    <t xml:space="preserve">K818</t>
  </si>
  <si>
    <t xml:space="preserve">n (f) | vn = feminine noun | verbal noun</t>
  </si>
  <si>
    <t xml:space="preserve">K819</t>
  </si>
  <si>
    <t xml:space="preserve">num = number</t>
  </si>
  <si>
    <t xml:space="preserve">K820</t>
  </si>
  <si>
    <t xml:space="preserve">K821</t>
  </si>
  <si>
    <t xml:space="preserve">part = particle</t>
  </si>
  <si>
    <t xml:space="preserve">K822</t>
  </si>
  <si>
    <t xml:space="preserve">pppn = prepositional pronoun</t>
  </si>
  <si>
    <t xml:space="preserve">K823</t>
  </si>
  <si>
    <t xml:space="preserve">prep = preposition</t>
  </si>
  <si>
    <t xml:space="preserve">K824</t>
  </si>
  <si>
    <t xml:space="preserve">pron = pronoun</t>
  </si>
  <si>
    <t xml:space="preserve">K825</t>
  </si>
  <si>
    <t xml:space="preserve">v = verb</t>
  </si>
  <si>
    <t xml:space="preserve">K826</t>
  </si>
  <si>
    <t xml:space="preserve">vcop = copula</t>
  </si>
  <si>
    <t xml:space="preserve">K827</t>
  </si>
  <si>
    <t xml:space="preserve">v | vn = verb | verbal noun</t>
  </si>
  <si>
    <t xml:space="preserve">K828</t>
  </si>
  <si>
    <t xml:space="preserve">vn = verbal noun</t>
  </si>
  <si>
    <t xml:space="preserve">K829</t>
  </si>
  <si>
    <t xml:space="preserve">vp = verb particle</t>
  </si>
  <si>
    <t xml:space="preserve">Sound-symbol correspondence</t>
  </si>
  <si>
    <t xml:space="preserve">Source word</t>
  </si>
  <si>
    <t xml:space="preserve">Frequency</t>
  </si>
  <si>
    <t xml:space="preserve">Cluster word 1</t>
  </si>
  <si>
    <t xml:space="preserve">Cluster word 2</t>
  </si>
  <si>
    <t xml:space="preserve">Vowels</t>
  </si>
  <si>
    <t xml:space="preserve">[a]</t>
  </si>
  <si>
    <t xml:space="preserve">mac</t>
  </si>
  <si>
    <t xml:space="preserve">son</t>
  </si>
  <si>
    <t xml:space="preserve">[e]</t>
  </si>
  <si>
    <t xml:space="preserve">say, says</t>
  </si>
  <si>
    <t xml:space="preserve">ceist</t>
  </si>
  <si>
    <t xml:space="preserve">[i]</t>
  </si>
  <si>
    <t xml:space="preserve">is/am</t>
  </si>
  <si>
    <t xml:space="preserve">[o]</t>
  </si>
  <si>
    <t xml:space="preserve">your</t>
  </si>
  <si>
    <t xml:space="preserve">[u]</t>
  </si>
  <si>
    <t xml:space="preserve">rud</t>
  </si>
  <si>
    <t xml:space="preserve">thing</t>
  </si>
  <si>
    <t xml:space="preserve">[á]</t>
  </si>
  <si>
    <t xml:space="preserve">tá </t>
  </si>
  <si>
    <t xml:space="preserve">is, are</t>
  </si>
  <si>
    <t xml:space="preserve">where</t>
  </si>
  <si>
    <t xml:space="preserve">[é]</t>
  </si>
  <si>
    <t xml:space="preserve">I, me</t>
  </si>
  <si>
    <t xml:space="preserve">éist</t>
  </si>
  <si>
    <t xml:space="preserve">rise</t>
  </si>
  <si>
    <t xml:space="preserve">[í]</t>
  </si>
  <si>
    <t xml:space="preserve">not (negative before verb)</t>
  </si>
  <si>
    <t xml:space="preserve">[ó]</t>
  </si>
  <si>
    <t xml:space="preserve">bróg</t>
  </si>
  <si>
    <t xml:space="preserve">shoe</t>
  </si>
  <si>
    <t xml:space="preserve">[ú]</t>
  </si>
  <si>
    <t xml:space="preserve">Dipthongs</t>
  </si>
  <si>
    <t xml:space="preserve">[ai]</t>
  </si>
  <si>
    <t xml:space="preserve">throw/spend/wear</t>
  </si>
  <si>
    <t xml:space="preserve">knowledge (personal)</t>
  </si>
  <si>
    <t xml:space="preserve">[ia]</t>
  </si>
  <si>
    <t xml:space="preserve">[ua]</t>
  </si>
  <si>
    <t xml:space="preserve"> got</t>
  </si>
  <si>
    <t xml:space="preserve">up</t>
  </si>
  <si>
    <t xml:space="preserve">Consonants (broad and slender)</t>
  </si>
  <si>
    <t xml:space="preserve">[b]</t>
  </si>
  <si>
    <t xml:space="preserve">top, summit</t>
  </si>
  <si>
    <t xml:space="preserve"> 249</t>
  </si>
  <si>
    <t xml:space="preserve">alive </t>
  </si>
  <si>
    <t xml:space="preserve"> 579</t>
  </si>
  <si>
    <t xml:space="preserve">Béarla</t>
  </si>
  <si>
    <t xml:space="preserve">[c]</t>
  </si>
  <si>
    <t xml:space="preserve">throw</t>
  </si>
  <si>
    <t xml:space="preserve">put, place</t>
  </si>
  <si>
    <t xml:space="preserve"> 161</t>
  </si>
  <si>
    <t xml:space="preserve">who</t>
  </si>
  <si>
    <t xml:space="preserve"> 175</t>
  </si>
  <si>
    <t xml:space="preserve">[d]</t>
  </si>
  <si>
    <t xml:space="preserve">go</t>
  </si>
  <si>
    <t xml:space="preserve"> 90</t>
  </si>
  <si>
    <t xml:space="preserve"> 844</t>
  </si>
  <si>
    <t xml:space="preserve"> 149</t>
  </si>
  <si>
    <t xml:space="preserve"> 629</t>
  </si>
  <si>
    <t xml:space="preserve">[f]</t>
  </si>
  <si>
    <t xml:space="preserve">243 </t>
  </si>
  <si>
    <t xml:space="preserve"> 1781</t>
  </si>
  <si>
    <t xml:space="preserve">seeing</t>
  </si>
  <si>
    <t xml:space="preserve">[g]</t>
  </si>
  <si>
    <t xml:space="preserve">laugh</t>
  </si>
  <si>
    <t xml:space="preserve">at him</t>
  </si>
  <si>
    <t xml:space="preserve">[h]</t>
  </si>
  <si>
    <t xml:space="preserve">hat </t>
  </si>
  <si>
    <t xml:space="preserve"> n/a</t>
  </si>
  <si>
    <t xml:space="preserve">halla</t>
  </si>
  <si>
    <t xml:space="preserve">hall</t>
  </si>
  <si>
    <t xml:space="preserve">haca</t>
  </si>
  <si>
    <t xml:space="preserve">hockey</t>
  </si>
  <si>
    <t xml:space="preserve">n/a</t>
  </si>
  <si>
    <t xml:space="preserve">na héin</t>
  </si>
  <si>
    <t xml:space="preserve">the birds</t>
  </si>
  <si>
    <t xml:space="preserve">na hiarrachtaí</t>
  </si>
  <si>
    <t xml:space="preserve">the attempts</t>
  </si>
  <si>
    <t xml:space="preserve">na himreoirí</t>
  </si>
  <si>
    <t xml:space="preserve">the players</t>
  </si>
  <si>
    <t xml:space="preserve">[l]</t>
  </si>
  <si>
    <t xml:space="preserve">hand</t>
  </si>
  <si>
    <t xml:space="preserve"> 519</t>
  </si>
  <si>
    <t xml:space="preserve"> 105</t>
  </si>
  <si>
    <t xml:space="preserve"> 9</t>
  </si>
  <si>
    <t xml:space="preserve">enough</t>
  </si>
  <si>
    <t xml:space="preserve">[m]</t>
  </si>
  <si>
    <t xml:space="preserve">we, us</t>
  </si>
  <si>
    <t xml:space="preserve">big, large</t>
  </si>
  <si>
    <t xml:space="preserve"> 80</t>
  </si>
  <si>
    <t xml:space="preserve">I, me (emphasised)</t>
  </si>
  <si>
    <t xml:space="preserve"> 336</t>
  </si>
  <si>
    <t xml:space="preserve">minic</t>
  </si>
  <si>
    <t xml:space="preserve"> 330</t>
  </si>
  <si>
    <t xml:space="preserve">to play, playing</t>
  </si>
  <si>
    <t xml:space="preserve">[n]</t>
  </si>
  <si>
    <t xml:space="preserve"> 95</t>
  </si>
  <si>
    <t xml:space="preserve"> 64</t>
  </si>
  <si>
    <t xml:space="preserve">[p]</t>
  </si>
  <si>
    <t xml:space="preserve"> pobal</t>
  </si>
  <si>
    <t xml:space="preserve">job</t>
  </si>
  <si>
    <t xml:space="preserve"> píosa</t>
  </si>
  <si>
    <t xml:space="preserve">piece</t>
  </si>
  <si>
    <t xml:space="preserve">[r]</t>
  </si>
  <si>
    <t xml:space="preserve">say, tell</t>
  </si>
  <si>
    <t xml:space="preserve"> 159</t>
  </si>
  <si>
    <t xml:space="preserve">did</t>
  </si>
  <si>
    <t xml:space="preserve"> 267</t>
  </si>
  <si>
    <t xml:space="preserve">[s]</t>
  </si>
  <si>
    <t xml:space="preserve"> 329</t>
  </si>
  <si>
    <t xml:space="preserve">260 </t>
  </si>
  <si>
    <t xml:space="preserve">fios/a fhios </t>
  </si>
  <si>
    <t xml:space="preserve"> 58</t>
  </si>
  <si>
    <t xml:space="preserve"> 11</t>
  </si>
  <si>
    <t xml:space="preserve">[t]</t>
  </si>
  <si>
    <t xml:space="preserve"> 21</t>
  </si>
  <si>
    <t xml:space="preserve">come</t>
  </si>
  <si>
    <t xml:space="preserve"> 167</t>
  </si>
  <si>
    <t xml:space="preserve">land</t>
  </si>
  <si>
    <t xml:space="preserve">arrival, coming (ag teacht)</t>
  </si>
  <si>
    <t xml:space="preserve">146 </t>
  </si>
  <si>
    <t xml:space="preserve">language, tongue</t>
  </si>
  <si>
    <t xml:space="preserve"> 116</t>
  </si>
  <si>
    <t xml:space="preserve">to talk, talking </t>
  </si>
  <si>
    <t xml:space="preserve">[mh] (pronounced 'w')</t>
  </si>
  <si>
    <t xml:space="preserve">Autumn</t>
  </si>
  <si>
    <t xml:space="preserve">damhsa </t>
  </si>
  <si>
    <t xml:space="preserve">[mh] (pronounced 'v') </t>
  </si>
  <si>
    <t xml:space="preserve">before </t>
  </si>
  <si>
    <t xml:space="preserve">cuimhne </t>
  </si>
  <si>
    <t xml:space="preserve">memory</t>
  </si>
  <si>
    <t xml:space="preserve">an mhí</t>
  </si>
  <si>
    <t xml:space="preserve">the month</t>
  </si>
  <si>
    <t xml:space="preserve">[gh]</t>
  </si>
  <si>
    <t xml:space="preserve">mo ghrá</t>
  </si>
  <si>
    <t xml:space="preserve">my love</t>
  </si>
  <si>
    <t xml:space="preserve">an Ghaeilge</t>
  </si>
  <si>
    <t xml:space="preserve">Irish language</t>
  </si>
  <si>
    <t xml:space="preserve">an ghruaig</t>
  </si>
  <si>
    <t xml:space="preserve">the hair</t>
  </si>
  <si>
    <t xml:space="preserve">an ghrian</t>
  </si>
  <si>
    <t xml:space="preserve">the sun</t>
  </si>
  <si>
    <t xml:space="preserve">sa gheimhreadh</t>
  </si>
  <si>
    <t xml:space="preserve">in winter</t>
  </si>
  <si>
    <t xml:space="preserve">mo gheansaí</t>
  </si>
  <si>
    <t xml:space="preserve">my jumper</t>
  </si>
  <si>
    <t xml:space="preserve">[bh] (pronounced 'w')</t>
  </si>
  <si>
    <t xml:space="preserve">homeward</t>
  </si>
  <si>
    <t xml:space="preserve">labhairt </t>
  </si>
  <si>
    <t xml:space="preserve">speak, speaking</t>
  </si>
  <si>
    <t xml:space="preserve"> 359</t>
  </si>
  <si>
    <t xml:space="preserve">[bh] (pronounced 'v')</t>
  </si>
  <si>
    <t xml:space="preserve">was</t>
  </si>
  <si>
    <t xml:space="preserve">an bhean</t>
  </si>
  <si>
    <t xml:space="preserve">the woman</t>
  </si>
  <si>
    <t xml:space="preserve">mo bhéal</t>
  </si>
  <si>
    <t xml:space="preserve">my mouth</t>
  </si>
  <si>
    <t xml:space="preserve">[dh] (pronounced 'gh')</t>
  </si>
  <si>
    <t xml:space="preserve">two (counting things)</t>
  </si>
  <si>
    <t xml:space="preserve">ródhona</t>
  </si>
  <si>
    <t xml:space="preserve">too bad</t>
  </si>
  <si>
    <t xml:space="preserve">trí dhoras</t>
  </si>
  <si>
    <t xml:space="preserve">three doors</t>
  </si>
  <si>
    <t xml:space="preserve">[dh] (pronounced 'y')</t>
  </si>
  <si>
    <t xml:space="preserve">mo dhia</t>
  </si>
  <si>
    <t xml:space="preserve">my god</t>
  </si>
  <si>
    <t xml:space="preserve">do dhéag</t>
  </si>
  <si>
    <t xml:space="preserve">faoi dheireadh</t>
  </si>
  <si>
    <t xml:space="preserve">in the end </t>
  </si>
  <si>
    <t xml:space="preserve">[ch]</t>
  </si>
  <si>
    <t xml:space="preserve">loch</t>
  </si>
  <si>
    <t xml:space="preserve">lake</t>
  </si>
  <si>
    <t xml:space="preserve">to </t>
  </si>
  <si>
    <t xml:space="preserve">an cheist</t>
  </si>
  <si>
    <t xml:space="preserve">the question</t>
  </si>
  <si>
    <t xml:space="preserve">cheannaigh</t>
  </si>
  <si>
    <t xml:space="preserve">bought</t>
  </si>
  <si>
    <t xml:space="preserve">[fh] (not pronounced)</t>
  </si>
  <si>
    <t xml:space="preserve">an fhoireann</t>
  </si>
  <si>
    <t xml:space="preserve">the team</t>
  </si>
  <si>
    <t xml:space="preserve">ar fheabhas</t>
  </si>
  <si>
    <t xml:space="preserve">fantastic</t>
  </si>
  <si>
    <t xml:space="preserve">dhá fhocal</t>
  </si>
  <si>
    <t xml:space="preserve">two words</t>
  </si>
  <si>
    <t xml:space="preserve">[th] (not pronounced)</t>
  </si>
  <si>
    <t xml:space="preserve">throw, spend, wear</t>
  </si>
  <si>
    <t xml:space="preserve">[ph] (pronounced 'f')</t>
  </si>
  <si>
    <t xml:space="preserve">an pháirc</t>
  </si>
  <si>
    <t xml:space="preserve">the park</t>
  </si>
  <si>
    <t xml:space="preserve">sa pheil</t>
  </si>
  <si>
    <t xml:space="preserve">in football</t>
  </si>
  <si>
    <t xml:space="preserve">ag an phictiúrlann</t>
  </si>
  <si>
    <t xml:space="preserve">at the cinema</t>
  </si>
  <si>
    <t xml:space="preserve">[sh] (not pronounced)</t>
  </si>
  <si>
    <t xml:space="preserve">míshásta</t>
  </si>
  <si>
    <t xml:space="preserve">unhappy</t>
  </si>
  <si>
    <t xml:space="preserve">mo shaol</t>
  </si>
  <si>
    <t xml:space="preserve">my life</t>
  </si>
  <si>
    <t xml:space="preserve">dúshlán</t>
  </si>
  <si>
    <t xml:space="preserve">challenge</t>
  </si>
  <si>
    <t xml:space="preserve">[adh] (at the end - pronounced ú)</t>
  </si>
  <si>
    <t xml:space="preserve">[amh]  (at the end - pronounced ú)</t>
  </si>
  <si>
    <t xml:space="preserve">to throw, throwing</t>
  </si>
  <si>
    <t xml:space="preserve">Eclipses </t>
  </si>
  <si>
    <t xml:space="preserve">[bhf]</t>
  </si>
  <si>
    <t xml:space="preserve">are, is</t>
  </si>
  <si>
    <t xml:space="preserve">did...see?</t>
  </si>
  <si>
    <t xml:space="preserve">[mb]</t>
  </si>
  <si>
    <t xml:space="preserve">ár mbád</t>
  </si>
  <si>
    <t xml:space="preserve">our boat</t>
  </si>
  <si>
    <t xml:space="preserve">i mBéal Feirste</t>
  </si>
  <si>
    <t xml:space="preserve">in Belfast</t>
  </si>
  <si>
    <t xml:space="preserve">[gc]</t>
  </si>
  <si>
    <t xml:space="preserve">ár gcúrsaí</t>
  </si>
  <si>
    <t xml:space="preserve">our courses, our affairs</t>
  </si>
  <si>
    <t xml:space="preserve">seacht gcupán</t>
  </si>
  <si>
    <t xml:space="preserve">seven cups</t>
  </si>
  <si>
    <t xml:space="preserve">[nd]</t>
  </si>
  <si>
    <t xml:space="preserve">ár ndaltaí</t>
  </si>
  <si>
    <t xml:space="preserve">our students </t>
  </si>
  <si>
    <t xml:space="preserve">i nDoire</t>
  </si>
  <si>
    <t xml:space="preserve">in Derry</t>
  </si>
  <si>
    <t xml:space="preserve">[ng]</t>
  </si>
  <si>
    <t xml:space="preserve">i ngrúpa</t>
  </si>
  <si>
    <t xml:space="preserve">in a group</t>
  </si>
  <si>
    <t xml:space="preserve">ár ngáire</t>
  </si>
  <si>
    <t xml:space="preserve">our laughter</t>
  </si>
  <si>
    <t xml:space="preserve">i nGaillimh</t>
  </si>
  <si>
    <t xml:space="preserve">in Galway</t>
  </si>
  <si>
    <t xml:space="preserve">[bp]</t>
  </si>
  <si>
    <t xml:space="preserve">i bpictiúr</t>
  </si>
  <si>
    <t xml:space="preserve">in a picture </t>
  </si>
  <si>
    <t xml:space="preserve">ár bplean</t>
  </si>
  <si>
    <t xml:space="preserve">our plan</t>
  </si>
  <si>
    <t xml:space="preserve">i bPáirc an Chrócaigh</t>
  </si>
  <si>
    <t xml:space="preserve">in Croke Park</t>
  </si>
  <si>
    <t xml:space="preserve">[dt] </t>
  </si>
  <si>
    <t xml:space="preserve">i dteach</t>
  </si>
  <si>
    <t xml:space="preserve">in a house</t>
  </si>
  <si>
    <t xml:space="preserve">naoi dturas</t>
  </si>
  <si>
    <t xml:space="preserve">nine  trips</t>
  </si>
  <si>
    <t xml:space="preserve">i dTír Eoghain</t>
  </si>
  <si>
    <t xml:space="preserve">in Tyrone</t>
  </si>
  <si>
    <t xml:space="preserve">Term</t>
  </si>
  <si>
    <t xml:space="preserve">Irish grammar features</t>
  </si>
  <si>
    <t xml:space="preserve">KG01</t>
  </si>
  <si>
    <t xml:space="preserve">Masculine and feminine nouns (fear, post, bean, fuinneog)
Common plurals: seachtainí, fir, mná, páirceanna, bróga
Commonly used genitive phrases such as: bean an tí, fear an tí, deireadh sechtaine, lár na cathrach, lá breithe</t>
  </si>
  <si>
    <t xml:space="preserve">KG02</t>
  </si>
  <si>
    <t xml:space="preserve">Articles</t>
  </si>
  <si>
    <t xml:space="preserve">Effect on masculine nouns: an fear, an clár, an t-am, an t-ainm, an sagart
Effect on feminine nouns: an bhean, an fhuinneog, an aimsir, an tseachtain, an deoch
Plural form and effects: na fuinneoga, na hainmhithe</t>
  </si>
  <si>
    <t xml:space="preserve">KG03</t>
  </si>
  <si>
    <t xml:space="preserve">Adjectival phrases</t>
  </si>
  <si>
    <t xml:space="preserve">Position of adjective: clár bán, buachaill ard
Agreement with noun: múinteoir deas, múinteoirí deasa, fuinneog dheas, fuinneoga deasa
Verbal adjective: críochnaithe, déanta, curtha
Comparative (relevant to common adjectives): níos airde, níos sine, níos óige
Superlative (relevant to common adjectives):  is óige, is fearr
Demonstrative adjective: sin, seo
Possessive adjective mo, do, a (his), a (hers), ár, bhur, a (their)</t>
  </si>
  <si>
    <t xml:space="preserve">KG04</t>
  </si>
  <si>
    <t xml:space="preserve">Adverbial phrases</t>
  </si>
  <si>
    <t xml:space="preserve">Adverbs of place/direction: ar chlé, ar dheis, istigh, amuigh, suas, síos, isteach, amach
Temporal Adverbs:  inné, inniu, amárach
Adverbs from adjectives: go gasta, go mall, go maith, 
Interrogative adverbs: cá huair, cén fáth, cá háit</t>
  </si>
  <si>
    <t xml:space="preserve">KG05</t>
  </si>
  <si>
    <t xml:space="preserve">Subjective: mé, tú, sé, sí, muid, sibh, siad 
Objective: mé, thú, é, í, muid, sibh, iad  
Interrogative: cé, cad é                                                                                                                                                                                                                                                           </t>
  </si>
  <si>
    <t xml:space="preserve">KG06</t>
  </si>
  <si>
    <t xml:space="preserve">With classification: is múinteoir Seán, ní doras é, is múinteoirí (iad) mo thuismitheoirí
With identification: is mise Seán, is tusa an múinteoir 
With adjectives: is maith liom, is maith liom a bheith,  ní maith liom , is fearr linn, ba mhaith liom
To show ownership: is liomsa, is leatsa 
Other frequent phrases: is cuimhin liom, is cuma leat </t>
  </si>
  <si>
    <t xml:space="preserve">KG07</t>
  </si>
  <si>
    <t xml:space="preserve">Prepositions and Prepositional Pronouns</t>
  </si>
  <si>
    <t xml:space="preserve">ag - agam, agat, aige, aici, againn, agaibh, acu  
ar - orm, ort, air, uirthi, orainn, oraibh, orthu, 
do - dom, duit, dó, di, dúinn, daoibh, dóibh
le - liom, leat, leis, léi, linn, libh, leo
Simple prepositions plus noun: ag bean, as Doire, go Béal Feirste, le Máire, ar thábla, do Sheán, faoi bhosca
Simple preposition plus definite article: ag an fhear, ar an bhus, leis an mhadadh, sa rang, faoin tábla, don mhúinteoir, ón tsiopa,
chuig an otharlann</t>
  </si>
  <si>
    <t xml:space="preserve">KG08</t>
  </si>
  <si>
    <t xml:space="preserve">Verb order:-Verb-subject-object:  Cheannaigh mé milseáin 
Regular and irregular - imperative (in 2nd person singular and 2nd person plural), past, present habitual, and future, in both the positive, negative and interrogative forms,  for example:
Short Verbs (regular): tóg, caith
Long Verbs (regular): ceannaigh, éirigh
Irregular: abair, beir, bí, cluin, déan, fiagh, feic, ith, tabhair, tar, téigh
Present tense of the verb bí: tá, níl, an bhfuil
Common infinitive: ba mhaith liom dul ...is maith liom a bheith...
Verbs which require a preposition: is liom, amharc ar, buail le, éist le
Verbal Nouns
With bí: across three tenses as above: bí ag caint, bhí mé ag caint, beidh mé ag caint, tá mé ag caint etc., 
As infinitive: déanamh, cur, imirt etc.(for example, ba mhaith liom foghlaim, ba mhaith liom imirt) le déanamh, 
With direct object and infinitive: is maith liom uisce a ól
As matter of state: i mo shuí, i do shuí, ina shuí, ina suí, inár suí(relative to selected pronouns)
</t>
  </si>
  <si>
    <t xml:space="preserve">KG09</t>
  </si>
  <si>
    <t xml:space="preserve">Counting: numbers 1-100
Time: 1 hour, half, quarter, 5 minute intervals
Personal Numbers: 1-10 
Counting Objects:1-10
Ordinal Number: 1-31 in context of dates </t>
  </si>
</sst>
</file>

<file path=xl/styles.xml><?xml version="1.0" encoding="utf-8"?>
<styleSheet xmlns="http://schemas.openxmlformats.org/spreadsheetml/2006/main">
  <numFmts count="2">
    <numFmt numFmtId="164" formatCode="General"/>
    <numFmt numFmtId="165" formatCode="General"/>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i val="true"/>
      <sz val="9"/>
      <name val="Arial"/>
      <family val="0"/>
      <charset val="1"/>
    </font>
    <font>
      <b val="true"/>
      <sz val="11"/>
      <color rgb="FFFFFFFF"/>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5"/>
  </cols>
  <sheetData>
    <row r="1" customFormat="false" ht="17.35" hidden="false" customHeight="false" outlineLevel="0" collapsed="false">
      <c r="A1" s="1" t="s">
        <v>0</v>
      </c>
    </row>
    <row r="2" customFormat="false" ht="15" hidden="false" customHeight="false" outlineLevel="0" collapsed="false">
      <c r="A2" s="2"/>
    </row>
    <row r="3" customFormat="false" ht="26.85" hidden="false" customHeight="false" outlineLevel="0" collapsed="false">
      <c r="A3" s="3" t="s">
        <v>1</v>
      </c>
      <c r="B3" s="4" t="s">
        <v>2</v>
      </c>
    </row>
    <row r="4" customFormat="false" ht="15" hidden="false" customHeight="false" outlineLevel="0" collapsed="false">
      <c r="A4" s="3" t="s">
        <v>3</v>
      </c>
      <c r="B4" s="4" t="s">
        <v>4</v>
      </c>
    </row>
    <row r="5" customFormat="false" ht="26.85" hidden="false" customHeight="false" outlineLevel="0" collapsed="false">
      <c r="A5" s="3" t="s">
        <v>5</v>
      </c>
      <c r="B5" s="4" t="s">
        <v>6</v>
      </c>
    </row>
    <row r="6" customFormat="false" ht="26.85" hidden="false" customHeight="false" outlineLevel="0" collapsed="false">
      <c r="A6" s="3" t="s">
        <v>7</v>
      </c>
      <c r="B6" s="4" t="s">
        <v>8</v>
      </c>
    </row>
    <row r="7" customFormat="false" ht="26.85" hidden="false" customHeight="false" outlineLevel="0" collapsed="false">
      <c r="A7" s="3" t="s">
        <v>9</v>
      </c>
      <c r="B7" s="4" t="s">
        <v>10</v>
      </c>
    </row>
    <row r="8" customFormat="false" ht="26.85" hidden="false" customHeight="false" outlineLevel="0" collapsed="false">
      <c r="A8" s="3" t="s">
        <v>11</v>
      </c>
      <c r="B8" s="4" t="s">
        <v>12</v>
      </c>
    </row>
    <row r="9" customFormat="false" ht="26.85" hidden="false" customHeight="false" outlineLevel="0" collapsed="false">
      <c r="A9" s="3" t="s">
        <v>13</v>
      </c>
      <c r="B9" s="4" t="s">
        <v>14</v>
      </c>
    </row>
    <row r="10" customFormat="false" ht="26.85" hidden="false" customHeight="false" outlineLevel="0" collapsed="false">
      <c r="A10" s="3" t="s">
        <v>15</v>
      </c>
      <c r="B10" s="4" t="s">
        <v>16</v>
      </c>
    </row>
    <row r="11" customFormat="false" ht="15" hidden="false" customHeight="false" outlineLevel="0" collapsed="false">
      <c r="A11" s="3" t="s">
        <v>17</v>
      </c>
      <c r="B11" s="4" t="s">
        <v>18</v>
      </c>
    </row>
    <row r="12" customFormat="false" ht="15" hidden="false" customHeight="false" outlineLevel="0" collapsed="false">
      <c r="A12" s="3" t="s">
        <v>19</v>
      </c>
      <c r="B12" s="4" t="s">
        <v>20</v>
      </c>
    </row>
    <row r="13" customFormat="false" ht="15" hidden="false" customHeight="false" outlineLevel="0" collapsed="false">
      <c r="A13" s="3" t="s">
        <v>21</v>
      </c>
      <c r="B13" s="4" t="s">
        <v>22</v>
      </c>
    </row>
    <row r="14" customFormat="false" ht="15" hidden="false" customHeight="false" outlineLevel="0" collapsed="false">
      <c r="A14" s="3" t="s">
        <v>23</v>
      </c>
      <c r="B14" s="4" t="s">
        <v>24</v>
      </c>
    </row>
    <row r="15" customFormat="false" ht="26.85" hidden="false" customHeight="false" outlineLevel="0" collapsed="false">
      <c r="A15" s="3" t="s">
        <v>25</v>
      </c>
      <c r="B15" s="4" t="s">
        <v>26</v>
      </c>
    </row>
    <row r="16" customFormat="false" ht="26.85" hidden="false" customHeight="false" outlineLevel="0" collapsed="false">
      <c r="A16" s="3" t="s">
        <v>27</v>
      </c>
      <c r="B16" s="4" t="s">
        <v>28</v>
      </c>
    </row>
    <row r="17" customFormat="false" ht="15" hidden="false" customHeight="false" outlineLevel="0" collapsed="false">
      <c r="A17" s="3" t="s">
        <v>29</v>
      </c>
      <c r="B17" s="4" t="s">
        <v>30</v>
      </c>
    </row>
    <row r="18" customFormat="false" ht="26.85" hidden="false" customHeight="false" outlineLevel="0" collapsed="false">
      <c r="A18" s="3" t="s">
        <v>31</v>
      </c>
      <c r="B18" s="4" t="s">
        <v>32</v>
      </c>
    </row>
    <row r="19" customFormat="false" ht="15" hidden="false" customHeight="false" outlineLevel="0" collapsed="false">
      <c r="A19" s="2"/>
    </row>
    <row r="20" customFormat="false" ht="15" hidden="false" customHeight="false" outlineLevel="0" collapsed="false">
      <c r="A20" s="3" t="s">
        <v>33</v>
      </c>
    </row>
    <row r="21" customFormat="false" ht="26.85" hidden="false" customHeight="false" outlineLevel="0" collapsed="false">
      <c r="A21" s="3"/>
      <c r="B21" s="4" t="s">
        <v>34</v>
      </c>
    </row>
    <row r="22" customFormat="false" ht="15" hidden="false" customHeight="false" outlineLevel="0" collapsed="false">
      <c r="A22" s="2"/>
    </row>
    <row r="23" customFormat="false" ht="15" hidden="false" customHeight="false" outlineLevel="0" collapsed="false">
      <c r="A23" s="3" t="s">
        <v>35</v>
      </c>
    </row>
    <row r="24" customFormat="false" ht="15" hidden="false" customHeight="false" outlineLevel="0" collapsed="false">
      <c r="A24" s="2" t="s">
        <v>36</v>
      </c>
      <c r="B24" s="5" t="n">
        <f aca="false">COUNTA(Vocabulary!A2:A4000)</f>
        <v>2247</v>
      </c>
    </row>
    <row r="25" customFormat="false" ht="15" hidden="false" customHeight="false" outlineLevel="0" collapsed="false">
      <c r="A25" s="2" t="s">
        <v>37</v>
      </c>
      <c r="B25" s="5" t="n">
        <f aca="false">COUNTIF(Vocabulary!N2:N4000,"Raw")</f>
        <v>2247</v>
      </c>
    </row>
    <row r="26" customFormat="false" ht="15" hidden="false" customHeight="false" outlineLevel="0" collapsed="false">
      <c r="A26" s="2" t="s">
        <v>38</v>
      </c>
      <c r="B26" s="5" t="n">
        <f aca="false">COUNTIF(Vocabulary!N2:N4000,"Checked")</f>
        <v>0</v>
      </c>
    </row>
    <row r="27" customFormat="false" ht="15" hidden="false" customHeight="false" outlineLevel="0" collapsed="false">
      <c r="A27" s="2" t="s">
        <v>39</v>
      </c>
      <c r="B27" s="5" t="n">
        <f aca="false">COUNTIF(Vocabulary!N2:N4000,"Edited")</f>
        <v>0</v>
      </c>
    </row>
    <row r="28" customFormat="false" ht="15" hidden="false" customHeight="false" outlineLevel="0" collapsed="false">
      <c r="A28" s="2" t="s">
        <v>40</v>
      </c>
      <c r="B28" s="5" t="n">
        <f aca="false">COUNTIF(Vocabulary!N2:N4000,"Added")</f>
        <v>0</v>
      </c>
    </row>
    <row r="29" customFormat="false" ht="15" hidden="false" customHeight="false" outlineLevel="0" collapsed="false">
      <c r="A29" s="2" t="s">
        <v>41</v>
      </c>
      <c r="B29" s="5" t="n">
        <f aca="false">COUNTIF(Vocabulary!N2:N4000,"Remove")</f>
        <v>0</v>
      </c>
    </row>
    <row r="30" customFormat="false" ht="15" hidden="false" customHeight="false" outlineLevel="0" collapsed="false">
      <c r="A30" s="2" t="s">
        <v>42</v>
      </c>
      <c r="B30" s="5" t="n">
        <f aca="false">COUNTIF(Vocabulary!E2:E4000,"verb")</f>
        <v>347</v>
      </c>
    </row>
    <row r="31" customFormat="false" ht="15" hidden="false" customHeight="false" outlineLevel="0" collapsed="false">
      <c r="A31" s="2" t="s">
        <v>43</v>
      </c>
      <c r="B31" s="5" t="n">
        <f aca="false">COUNTIF(Vocabulary!C2:C4000,"m")</f>
        <v>825</v>
      </c>
    </row>
    <row r="32" customFormat="false" ht="15" hidden="false" customHeight="false" outlineLevel="0" collapsed="false">
      <c r="A32" s="2" t="s">
        <v>44</v>
      </c>
      <c r="B32" s="5" t="n">
        <f aca="false">COUNTIF(Vocabulary!C2:C4000,"f")</f>
        <v>13</v>
      </c>
    </row>
    <row r="33" customFormat="false" ht="15" hidden="false" customHeight="false" outlineLevel="0" collapsed="false">
      <c r="A33" s="2" t="s">
        <v>45</v>
      </c>
      <c r="B33" s="5" t="n">
        <f aca="false">COUNTIFS(Vocabulary!A2:A4000,"&lt;&gt;",Vocabulary!I2:I4000,"")</f>
        <v>14</v>
      </c>
    </row>
    <row r="34" customFormat="false" ht="15" hidden="false" customHeight="false" outlineLevel="0" collapsed="false">
      <c r="A34" s="2" t="s">
        <v>17</v>
      </c>
      <c r="B34" s="5" t="n">
        <f aca="false">COUNTA('Speaking questions'!A2:A800)</f>
        <v>270</v>
      </c>
    </row>
    <row r="35" customFormat="false" ht="15" hidden="false" customHeight="false" outlineLevel="0" collapsed="false">
      <c r="A35" s="2" t="s">
        <v>46</v>
      </c>
      <c r="B35" s="5" t="n">
        <f aca="false">COUNTIFS('Speaking questions'!A2:A800,"&lt;&gt;",'Speaking questions'!G2:G800,"&lt;&gt;")</f>
        <v>0</v>
      </c>
    </row>
    <row r="36" customFormat="false" ht="15" hidden="false" customHeight="false" outlineLevel="0" collapsed="false">
      <c r="A36" s="2" t="s">
        <v>47</v>
      </c>
      <c r="B36" s="5" t="n">
        <f aca="false">COUNTA(Grammar!A2:A300)</f>
        <v>48</v>
      </c>
    </row>
    <row r="37" customFormat="false" ht="15" hidden="false" customHeight="false" outlineLevel="0" collapsed="false">
      <c r="A37" s="2" t="s">
        <v>21</v>
      </c>
      <c r="B37" s="5" t="n">
        <f aca="false">COUNTA(Rubrics!A2:A200)</f>
        <v>19</v>
      </c>
    </row>
    <row r="38" customFormat="false" ht="15" hidden="false" customHeight="false" outlineLevel="0" collapsed="false">
      <c r="A38" s="2" t="s">
        <v>48</v>
      </c>
      <c r="B38" s="5" t="n">
        <f aca="false">COUNTA('KS3 vocabulary'!A2:A1500)</f>
        <v>829</v>
      </c>
    </row>
    <row r="39" customFormat="false" ht="15" hidden="false" customHeight="false" outlineLevel="0" collapsed="false">
      <c r="A39" s="2" t="s">
        <v>49</v>
      </c>
      <c r="B39" s="5" t="n">
        <f aca="false">COUNT(Vocabulary!S2:S4000)</f>
        <v>439</v>
      </c>
    </row>
    <row r="40" customFormat="false" ht="15" hidden="false" customHeight="false" outlineLevel="0" collapsed="false">
      <c r="A40" s="2" t="s">
        <v>50</v>
      </c>
      <c r="B40" s="5" t="n">
        <f aca="false">COUNTIF('KS3 phonics'!K2:K300,"Raw")</f>
        <v>62</v>
      </c>
    </row>
    <row r="41" customFormat="false" ht="15" hidden="false" customHeight="false" outlineLevel="0" collapsed="false">
      <c r="A41" s="2" t="s">
        <v>51</v>
      </c>
      <c r="B41" s="5" t="n">
        <f aca="false">COUNTA('KS3 grammar'!A2:A200)</f>
        <v>9</v>
      </c>
    </row>
    <row r="43" customFormat="false" ht="15" hidden="false" customHeight="false" outlineLevel="0" collapsed="false">
      <c r="A43" s="6" t="s">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6" min="1" style="0" width="14"/>
    <col collapsed="false" customWidth="true" hidden="false" outlineLevel="0" max="7" min="7" style="0" width="46"/>
    <col collapsed="false" customWidth="true" hidden="false" outlineLevel="0" max="8" min="8" style="0" width="14"/>
  </cols>
  <sheetData>
    <row r="1" customFormat="false" ht="15" hidden="false" customHeight="false" outlineLevel="0" collapsed="false">
      <c r="A1" s="3" t="s">
        <v>9</v>
      </c>
      <c r="B1" s="3" t="s">
        <v>53</v>
      </c>
      <c r="C1" s="3" t="s">
        <v>13</v>
      </c>
      <c r="D1" s="3" t="s">
        <v>54</v>
      </c>
      <c r="E1" s="3" t="s">
        <v>5</v>
      </c>
      <c r="F1" s="3" t="s">
        <v>55</v>
      </c>
      <c r="G1" s="3" t="s">
        <v>56</v>
      </c>
      <c r="H1" s="3" t="s">
        <v>57</v>
      </c>
    </row>
    <row r="2" customFormat="false" ht="15" hidden="false" customHeight="false" outlineLevel="0" collapsed="false">
      <c r="A2" s="2" t="s">
        <v>58</v>
      </c>
      <c r="B2" s="2" t="s">
        <v>59</v>
      </c>
      <c r="C2" s="2" t="s">
        <v>60</v>
      </c>
      <c r="D2" s="2" t="s">
        <v>61</v>
      </c>
      <c r="E2" s="2" t="s">
        <v>62</v>
      </c>
      <c r="F2" s="2" t="s">
        <v>63</v>
      </c>
      <c r="G2" s="2" t="s">
        <v>64</v>
      </c>
      <c r="H2" s="2" t="s">
        <v>65</v>
      </c>
    </row>
    <row r="3" customFormat="false" ht="15" hidden="false" customHeight="false" outlineLevel="0" collapsed="false">
      <c r="A3" s="2" t="s">
        <v>66</v>
      </c>
      <c r="B3" s="2" t="s">
        <v>67</v>
      </c>
      <c r="C3" s="2" t="s">
        <v>68</v>
      </c>
      <c r="D3" s="2" t="s">
        <v>69</v>
      </c>
      <c r="E3" s="2" t="s">
        <v>70</v>
      </c>
      <c r="F3" s="2" t="s">
        <v>71</v>
      </c>
      <c r="G3" s="2" t="s">
        <v>72</v>
      </c>
      <c r="H3" s="2" t="s">
        <v>73</v>
      </c>
    </row>
    <row r="4" customFormat="false" ht="15" hidden="false" customHeight="false" outlineLevel="0" collapsed="false">
      <c r="C4" s="2" t="s">
        <v>74</v>
      </c>
      <c r="E4" s="2" t="s">
        <v>75</v>
      </c>
      <c r="G4" s="2" t="s">
        <v>76</v>
      </c>
    </row>
    <row r="5" customFormat="false" ht="15" hidden="false" customHeight="false" outlineLevel="0" collapsed="false">
      <c r="C5" s="2" t="s">
        <v>77</v>
      </c>
      <c r="E5" s="2" t="s">
        <v>71</v>
      </c>
      <c r="G5" s="2" t="s">
        <v>78</v>
      </c>
    </row>
    <row r="6" customFormat="false" ht="15" hidden="false" customHeight="false" outlineLevel="0" collapsed="false">
      <c r="C6" s="2" t="s">
        <v>79</v>
      </c>
      <c r="E6" s="2" t="s">
        <v>80</v>
      </c>
    </row>
    <row r="7" customFormat="false" ht="15" hidden="false" customHeight="false" outlineLevel="0" collapsed="false">
      <c r="C7" s="2" t="s">
        <v>81</v>
      </c>
    </row>
    <row r="8" customFormat="false" ht="15" hidden="false" customHeight="false" outlineLevel="0" collapsed="false">
      <c r="C8" s="2" t="s">
        <v>82</v>
      </c>
    </row>
    <row r="9" customFormat="false" ht="15" hidden="false" customHeight="false" outlineLevel="0" collapsed="false">
      <c r="C9" s="2" t="s">
        <v>83</v>
      </c>
    </row>
    <row r="10" customFormat="false" ht="15" hidden="false" customHeight="false" outlineLevel="0" collapsed="false">
      <c r="C10" s="2" t="s">
        <v>84</v>
      </c>
    </row>
    <row r="11" customFormat="false" ht="15" hidden="false" customHeight="false" outlineLevel="0" collapsed="false">
      <c r="C11" s="2" t="s">
        <v>85</v>
      </c>
    </row>
    <row r="12" customFormat="false" ht="15" hidden="false" customHeight="false" outlineLevel="0" collapsed="false">
      <c r="C12" s="2" t="s">
        <v>86</v>
      </c>
    </row>
    <row r="13" customFormat="false" ht="15" hidden="false" customHeight="false" outlineLevel="0" collapsed="false">
      <c r="C13" s="2"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2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34"/>
    <col collapsed="false" customWidth="true" hidden="false" outlineLevel="0" max="4" min="3" style="0" width="8"/>
    <col collapsed="false" customWidth="true" hidden="false" outlineLevel="0" max="5" min="5" style="0" width="13"/>
    <col collapsed="false" customWidth="true" hidden="false" outlineLevel="0" max="6" min="6" style="0" width="22"/>
    <col collapsed="false" customWidth="true" hidden="false" outlineLevel="0" max="7" min="7" style="0" width="24"/>
    <col collapsed="false" customWidth="true" hidden="false" outlineLevel="0" max="8" min="8" style="0" width="12"/>
    <col collapsed="false" customWidth="true" hidden="false" outlineLevel="0" max="9" min="9" style="0" width="38"/>
    <col collapsed="false" customWidth="true" hidden="false" outlineLevel="0" max="10" min="10" style="0" width="30"/>
    <col collapsed="false" customWidth="true" hidden="false" outlineLevel="0" max="11" min="11" style="0" width="32"/>
    <col collapsed="false" customWidth="true" hidden="false" outlineLevel="0" max="12" min="12" style="0" width="24"/>
    <col collapsed="false" customWidth="true" hidden="false" outlineLevel="0" max="13" min="13" style="0" width="6"/>
    <col collapsed="false" customWidth="true" hidden="false" outlineLevel="0" max="14" min="14" style="0" width="10"/>
    <col collapsed="false" customWidth="true" hidden="false" outlineLevel="0" max="15" min="15" style="0" width="12"/>
    <col collapsed="false" customWidth="true" hidden="false" outlineLevel="0" max="16" min="16" style="0" width="8"/>
    <col collapsed="false" customWidth="true" hidden="false" outlineLevel="0" max="17" min="17" style="0" width="30"/>
    <col collapsed="false" customWidth="true" hidden="false" outlineLevel="0" max="18" min="18" style="0" width="34"/>
    <col collapsed="false" customWidth="true" hidden="false" outlineLevel="0" max="19" min="19" style="0" width="9"/>
  </cols>
  <sheetData>
    <row r="1" customFormat="false" ht="31.5" hidden="false" customHeight="true" outlineLevel="0" collapsed="false">
      <c r="A1" s="7" t="s">
        <v>88</v>
      </c>
      <c r="B1" s="7" t="s">
        <v>89</v>
      </c>
      <c r="C1" s="7" t="s">
        <v>9</v>
      </c>
      <c r="D1" s="7" t="s">
        <v>53</v>
      </c>
      <c r="E1" s="7" t="s">
        <v>13</v>
      </c>
      <c r="F1" s="7" t="s">
        <v>90</v>
      </c>
      <c r="G1" s="7" t="s">
        <v>91</v>
      </c>
      <c r="H1" s="7" t="s">
        <v>92</v>
      </c>
      <c r="I1" s="7" t="s">
        <v>93</v>
      </c>
      <c r="J1" s="7" t="s">
        <v>56</v>
      </c>
      <c r="K1" s="7" t="s">
        <v>94</v>
      </c>
      <c r="L1" s="7" t="s">
        <v>95</v>
      </c>
      <c r="M1" s="7" t="s">
        <v>54</v>
      </c>
      <c r="N1" s="7" t="s">
        <v>5</v>
      </c>
      <c r="O1" s="7" t="s">
        <v>55</v>
      </c>
      <c r="P1" s="7" t="s">
        <v>96</v>
      </c>
      <c r="Q1" s="7" t="s">
        <v>97</v>
      </c>
      <c r="R1" s="7" t="s">
        <v>23</v>
      </c>
      <c r="S1" s="7" t="s">
        <v>25</v>
      </c>
    </row>
    <row r="2" customFormat="false" ht="26.85" hidden="false" customHeight="false" outlineLevel="0" collapsed="false">
      <c r="A2" s="4" t="s">
        <v>98</v>
      </c>
      <c r="B2" s="8" t="s">
        <v>99</v>
      </c>
      <c r="C2" s="8"/>
      <c r="D2" s="8"/>
      <c r="E2" s="8"/>
      <c r="F2" s="8"/>
      <c r="G2" s="8"/>
      <c r="H2" s="8"/>
      <c r="I2" s="8" t="s">
        <v>100</v>
      </c>
      <c r="J2" s="8" t="s">
        <v>64</v>
      </c>
      <c r="K2" s="8" t="s">
        <v>101</v>
      </c>
      <c r="L2" s="8" t="s">
        <v>102</v>
      </c>
      <c r="M2" s="8"/>
      <c r="N2" s="8" t="s">
        <v>62</v>
      </c>
      <c r="O2" s="8" t="s">
        <v>63</v>
      </c>
      <c r="P2" s="4" t="n">
        <v>18</v>
      </c>
      <c r="Q2" s="8"/>
      <c r="R2" s="4" t="s">
        <v>99</v>
      </c>
      <c r="S2" s="4"/>
    </row>
    <row r="3" customFormat="false" ht="26.85" hidden="false" customHeight="false" outlineLevel="0" collapsed="false">
      <c r="A3" s="4" t="s">
        <v>103</v>
      </c>
      <c r="B3" s="8" t="s">
        <v>104</v>
      </c>
      <c r="C3" s="8"/>
      <c r="D3" s="8"/>
      <c r="E3" s="8"/>
      <c r="F3" s="8"/>
      <c r="G3" s="8"/>
      <c r="H3" s="8"/>
      <c r="I3" s="8" t="s">
        <v>105</v>
      </c>
      <c r="J3" s="8" t="s">
        <v>64</v>
      </c>
      <c r="K3" s="8" t="s">
        <v>101</v>
      </c>
      <c r="L3" s="8" t="s">
        <v>102</v>
      </c>
      <c r="M3" s="8"/>
      <c r="N3" s="8" t="s">
        <v>62</v>
      </c>
      <c r="O3" s="8" t="s">
        <v>63</v>
      </c>
      <c r="P3" s="4" t="n">
        <v>18</v>
      </c>
      <c r="Q3" s="8"/>
      <c r="R3" s="4" t="s">
        <v>104</v>
      </c>
      <c r="S3" s="4" t="n">
        <v>23</v>
      </c>
    </row>
    <row r="4" customFormat="false" ht="26.85" hidden="false" customHeight="false" outlineLevel="0" collapsed="false">
      <c r="A4" s="4" t="s">
        <v>106</v>
      </c>
      <c r="B4" s="8" t="s">
        <v>107</v>
      </c>
      <c r="C4" s="8" t="s">
        <v>58</v>
      </c>
      <c r="D4" s="8"/>
      <c r="E4" s="8" t="s">
        <v>60</v>
      </c>
      <c r="F4" s="8"/>
      <c r="G4" s="8"/>
      <c r="H4" s="8"/>
      <c r="I4" s="8" t="s">
        <v>108</v>
      </c>
      <c r="J4" s="8" t="s">
        <v>64</v>
      </c>
      <c r="K4" s="8" t="s">
        <v>101</v>
      </c>
      <c r="L4" s="8" t="s">
        <v>102</v>
      </c>
      <c r="M4" s="8"/>
      <c r="N4" s="8" t="s">
        <v>62</v>
      </c>
      <c r="O4" s="8" t="s">
        <v>63</v>
      </c>
      <c r="P4" s="4" t="n">
        <v>18</v>
      </c>
      <c r="Q4" s="8"/>
      <c r="R4" s="4" t="s">
        <v>109</v>
      </c>
      <c r="S4" s="4"/>
    </row>
    <row r="5" customFormat="false" ht="26.85" hidden="false" customHeight="false" outlineLevel="0" collapsed="false">
      <c r="A5" s="4" t="s">
        <v>110</v>
      </c>
      <c r="B5" s="8" t="s">
        <v>111</v>
      </c>
      <c r="C5" s="8"/>
      <c r="D5" s="8"/>
      <c r="E5" s="8"/>
      <c r="F5" s="8"/>
      <c r="G5" s="8"/>
      <c r="H5" s="8"/>
      <c r="I5" s="8" t="s">
        <v>112</v>
      </c>
      <c r="J5" s="8" t="s">
        <v>64</v>
      </c>
      <c r="K5" s="8" t="s">
        <v>101</v>
      </c>
      <c r="L5" s="8" t="s">
        <v>102</v>
      </c>
      <c r="M5" s="8"/>
      <c r="N5" s="8" t="s">
        <v>62</v>
      </c>
      <c r="O5" s="8" t="s">
        <v>63</v>
      </c>
      <c r="P5" s="4" t="n">
        <v>18</v>
      </c>
      <c r="Q5" s="8"/>
      <c r="R5" s="4" t="s">
        <v>111</v>
      </c>
      <c r="S5" s="4" t="n">
        <v>325</v>
      </c>
    </row>
    <row r="6" customFormat="false" ht="26.85" hidden="false" customHeight="false" outlineLevel="0" collapsed="false">
      <c r="A6" s="4" t="s">
        <v>113</v>
      </c>
      <c r="B6" s="8" t="s">
        <v>114</v>
      </c>
      <c r="C6" s="8"/>
      <c r="D6" s="8"/>
      <c r="E6" s="8"/>
      <c r="F6" s="8"/>
      <c r="G6" s="8"/>
      <c r="H6" s="8"/>
      <c r="I6" s="8" t="s">
        <v>115</v>
      </c>
      <c r="J6" s="8" t="s">
        <v>64</v>
      </c>
      <c r="K6" s="8" t="s">
        <v>101</v>
      </c>
      <c r="L6" s="8" t="s">
        <v>102</v>
      </c>
      <c r="M6" s="8"/>
      <c r="N6" s="8" t="s">
        <v>62</v>
      </c>
      <c r="O6" s="8" t="s">
        <v>63</v>
      </c>
      <c r="P6" s="4" t="n">
        <v>18</v>
      </c>
      <c r="Q6" s="8"/>
      <c r="R6" s="4" t="s">
        <v>114</v>
      </c>
      <c r="S6" s="4" t="n">
        <v>8</v>
      </c>
    </row>
    <row r="7" customFormat="false" ht="26.85" hidden="false" customHeight="false" outlineLevel="0" collapsed="false">
      <c r="A7" s="4" t="s">
        <v>116</v>
      </c>
      <c r="B7" s="8" t="s">
        <v>117</v>
      </c>
      <c r="C7" s="8"/>
      <c r="D7" s="8"/>
      <c r="E7" s="8"/>
      <c r="F7" s="8"/>
      <c r="G7" s="8"/>
      <c r="H7" s="8"/>
      <c r="I7" s="8" t="s">
        <v>118</v>
      </c>
      <c r="J7" s="8" t="s">
        <v>64</v>
      </c>
      <c r="K7" s="8" t="s">
        <v>101</v>
      </c>
      <c r="L7" s="8" t="s">
        <v>102</v>
      </c>
      <c r="M7" s="8"/>
      <c r="N7" s="8" t="s">
        <v>62</v>
      </c>
      <c r="O7" s="8" t="s">
        <v>63</v>
      </c>
      <c r="P7" s="4" t="n">
        <v>18</v>
      </c>
      <c r="Q7" s="8"/>
      <c r="R7" s="4" t="s">
        <v>117</v>
      </c>
      <c r="S7" s="4" t="n">
        <v>2</v>
      </c>
    </row>
    <row r="8" customFormat="false" ht="26.85" hidden="false" customHeight="false" outlineLevel="0" collapsed="false">
      <c r="A8" s="4" t="s">
        <v>119</v>
      </c>
      <c r="B8" s="8" t="s">
        <v>120</v>
      </c>
      <c r="C8" s="8" t="s">
        <v>58</v>
      </c>
      <c r="D8" s="8"/>
      <c r="E8" s="8" t="s">
        <v>60</v>
      </c>
      <c r="F8" s="8"/>
      <c r="G8" s="8"/>
      <c r="H8" s="8"/>
      <c r="I8" s="8" t="s">
        <v>121</v>
      </c>
      <c r="J8" s="8" t="s">
        <v>64</v>
      </c>
      <c r="K8" s="8" t="s">
        <v>101</v>
      </c>
      <c r="L8" s="8" t="s">
        <v>102</v>
      </c>
      <c r="M8" s="8"/>
      <c r="N8" s="8" t="s">
        <v>62</v>
      </c>
      <c r="O8" s="8" t="s">
        <v>63</v>
      </c>
      <c r="P8" s="4" t="n">
        <v>18</v>
      </c>
      <c r="Q8" s="8"/>
      <c r="R8" s="4" t="s">
        <v>122</v>
      </c>
      <c r="S8" s="4" t="n">
        <v>1080</v>
      </c>
    </row>
    <row r="9" customFormat="false" ht="26.85" hidden="false" customHeight="false" outlineLevel="0" collapsed="false">
      <c r="A9" s="4" t="s">
        <v>123</v>
      </c>
      <c r="B9" s="8" t="s">
        <v>124</v>
      </c>
      <c r="C9" s="8" t="s">
        <v>58</v>
      </c>
      <c r="D9" s="8"/>
      <c r="E9" s="8" t="s">
        <v>60</v>
      </c>
      <c r="F9" s="8"/>
      <c r="G9" s="8"/>
      <c r="H9" s="8"/>
      <c r="I9" s="8" t="s">
        <v>125</v>
      </c>
      <c r="J9" s="8" t="s">
        <v>64</v>
      </c>
      <c r="K9" s="8" t="s">
        <v>101</v>
      </c>
      <c r="L9" s="8" t="s">
        <v>102</v>
      </c>
      <c r="M9" s="8"/>
      <c r="N9" s="8" t="s">
        <v>62</v>
      </c>
      <c r="O9" s="8" t="s">
        <v>63</v>
      </c>
      <c r="P9" s="4" t="n">
        <v>18</v>
      </c>
      <c r="Q9" s="8"/>
      <c r="R9" s="4" t="s">
        <v>126</v>
      </c>
      <c r="S9" s="4"/>
    </row>
    <row r="10" customFormat="false" ht="26.85" hidden="false" customHeight="false" outlineLevel="0" collapsed="false">
      <c r="A10" s="4" t="s">
        <v>127</v>
      </c>
      <c r="B10" s="8" t="s">
        <v>128</v>
      </c>
      <c r="C10" s="8" t="s">
        <v>58</v>
      </c>
      <c r="D10" s="8"/>
      <c r="E10" s="8" t="s">
        <v>60</v>
      </c>
      <c r="F10" s="8"/>
      <c r="G10" s="8"/>
      <c r="H10" s="8"/>
      <c r="I10" s="8" t="s">
        <v>129</v>
      </c>
      <c r="J10" s="8" t="s">
        <v>64</v>
      </c>
      <c r="K10" s="8" t="s">
        <v>101</v>
      </c>
      <c r="L10" s="8" t="s">
        <v>102</v>
      </c>
      <c r="M10" s="8"/>
      <c r="N10" s="8" t="s">
        <v>62</v>
      </c>
      <c r="O10" s="8" t="s">
        <v>63</v>
      </c>
      <c r="P10" s="4" t="n">
        <v>18</v>
      </c>
      <c r="Q10" s="8"/>
      <c r="R10" s="4" t="s">
        <v>130</v>
      </c>
      <c r="S10" s="4" t="n">
        <v>239</v>
      </c>
    </row>
    <row r="11" customFormat="false" ht="26.85" hidden="false" customHeight="false" outlineLevel="0" collapsed="false">
      <c r="A11" s="4" t="s">
        <v>131</v>
      </c>
      <c r="B11" s="8" t="s">
        <v>132</v>
      </c>
      <c r="C11" s="8"/>
      <c r="D11" s="8"/>
      <c r="E11" s="8"/>
      <c r="F11" s="8"/>
      <c r="G11" s="8"/>
      <c r="H11" s="8"/>
      <c r="I11" s="8" t="s">
        <v>133</v>
      </c>
      <c r="J11" s="8" t="s">
        <v>64</v>
      </c>
      <c r="K11" s="8" t="s">
        <v>101</v>
      </c>
      <c r="L11" s="8" t="s">
        <v>102</v>
      </c>
      <c r="M11" s="8"/>
      <c r="N11" s="8" t="s">
        <v>62</v>
      </c>
      <c r="O11" s="8" t="s">
        <v>63</v>
      </c>
      <c r="P11" s="4" t="n">
        <v>18</v>
      </c>
      <c r="Q11" s="8"/>
      <c r="R11" s="4" t="s">
        <v>132</v>
      </c>
      <c r="S11" s="4" t="n">
        <v>8578</v>
      </c>
    </row>
    <row r="12" customFormat="false" ht="26.85" hidden="false" customHeight="false" outlineLevel="0" collapsed="false">
      <c r="A12" s="4" t="s">
        <v>134</v>
      </c>
      <c r="B12" s="8" t="s">
        <v>135</v>
      </c>
      <c r="C12" s="8"/>
      <c r="D12" s="8"/>
      <c r="E12" s="8"/>
      <c r="F12" s="8"/>
      <c r="G12" s="8"/>
      <c r="H12" s="8"/>
      <c r="I12" s="8" t="s">
        <v>136</v>
      </c>
      <c r="J12" s="8" t="s">
        <v>64</v>
      </c>
      <c r="K12" s="8" t="s">
        <v>101</v>
      </c>
      <c r="L12" s="8" t="s">
        <v>102</v>
      </c>
      <c r="M12" s="8"/>
      <c r="N12" s="8" t="s">
        <v>62</v>
      </c>
      <c r="O12" s="8" t="s">
        <v>63</v>
      </c>
      <c r="P12" s="4" t="n">
        <v>18</v>
      </c>
      <c r="Q12" s="8"/>
      <c r="R12" s="4" t="s">
        <v>135</v>
      </c>
      <c r="S12" s="4" t="n">
        <v>602</v>
      </c>
    </row>
    <row r="13" customFormat="false" ht="26.85" hidden="false" customHeight="false" outlineLevel="0" collapsed="false">
      <c r="A13" s="4" t="s">
        <v>137</v>
      </c>
      <c r="B13" s="8" t="s">
        <v>138</v>
      </c>
      <c r="C13" s="8"/>
      <c r="D13" s="8"/>
      <c r="E13" s="8"/>
      <c r="F13" s="8"/>
      <c r="G13" s="8"/>
      <c r="H13" s="8"/>
      <c r="I13" s="8" t="s">
        <v>139</v>
      </c>
      <c r="J13" s="8" t="s">
        <v>64</v>
      </c>
      <c r="K13" s="8" t="s">
        <v>101</v>
      </c>
      <c r="L13" s="8" t="s">
        <v>102</v>
      </c>
      <c r="M13" s="8"/>
      <c r="N13" s="8" t="s">
        <v>62</v>
      </c>
      <c r="O13" s="8" t="s">
        <v>63</v>
      </c>
      <c r="P13" s="4" t="n">
        <v>18</v>
      </c>
      <c r="Q13" s="8"/>
      <c r="R13" s="4" t="s">
        <v>138</v>
      </c>
      <c r="S13" s="4" t="n">
        <v>88</v>
      </c>
    </row>
    <row r="14" customFormat="false" ht="26.85" hidden="false" customHeight="false" outlineLevel="0" collapsed="false">
      <c r="A14" s="4" t="s">
        <v>140</v>
      </c>
      <c r="B14" s="8" t="s">
        <v>141</v>
      </c>
      <c r="C14" s="8"/>
      <c r="D14" s="8"/>
      <c r="E14" s="8"/>
      <c r="F14" s="8"/>
      <c r="G14" s="8"/>
      <c r="H14" s="8"/>
      <c r="I14" s="8" t="s">
        <v>142</v>
      </c>
      <c r="J14" s="8" t="s">
        <v>64</v>
      </c>
      <c r="K14" s="8" t="s">
        <v>101</v>
      </c>
      <c r="L14" s="8" t="s">
        <v>102</v>
      </c>
      <c r="M14" s="8"/>
      <c r="N14" s="8" t="s">
        <v>62</v>
      </c>
      <c r="O14" s="8" t="s">
        <v>63</v>
      </c>
      <c r="P14" s="4" t="n">
        <v>18</v>
      </c>
      <c r="Q14" s="8"/>
      <c r="R14" s="4" t="s">
        <v>141</v>
      </c>
      <c r="S14" s="4"/>
    </row>
    <row r="15" customFormat="false" ht="26.85" hidden="false" customHeight="false" outlineLevel="0" collapsed="false">
      <c r="A15" s="4" t="s">
        <v>143</v>
      </c>
      <c r="B15" s="8" t="s">
        <v>144</v>
      </c>
      <c r="C15" s="8"/>
      <c r="D15" s="8"/>
      <c r="E15" s="8"/>
      <c r="F15" s="8"/>
      <c r="G15" s="8"/>
      <c r="H15" s="8"/>
      <c r="I15" s="8" t="s">
        <v>145</v>
      </c>
      <c r="J15" s="8" t="s">
        <v>64</v>
      </c>
      <c r="K15" s="8" t="s">
        <v>101</v>
      </c>
      <c r="L15" s="8" t="s">
        <v>102</v>
      </c>
      <c r="M15" s="8"/>
      <c r="N15" s="8" t="s">
        <v>62</v>
      </c>
      <c r="O15" s="8" t="s">
        <v>63</v>
      </c>
      <c r="P15" s="4" t="n">
        <v>18</v>
      </c>
      <c r="Q15" s="8"/>
      <c r="R15" s="4" t="s">
        <v>144</v>
      </c>
      <c r="S15" s="4"/>
    </row>
    <row r="16" customFormat="false" ht="26.85" hidden="false" customHeight="false" outlineLevel="0" collapsed="false">
      <c r="A16" s="4" t="s">
        <v>146</v>
      </c>
      <c r="B16" s="8" t="s">
        <v>147</v>
      </c>
      <c r="C16" s="8"/>
      <c r="D16" s="8"/>
      <c r="E16" s="8"/>
      <c r="F16" s="8"/>
      <c r="G16" s="8"/>
      <c r="H16" s="8"/>
      <c r="I16" s="8" t="s">
        <v>148</v>
      </c>
      <c r="J16" s="8" t="s">
        <v>64</v>
      </c>
      <c r="K16" s="8" t="s">
        <v>101</v>
      </c>
      <c r="L16" s="8" t="s">
        <v>102</v>
      </c>
      <c r="M16" s="8"/>
      <c r="N16" s="8" t="s">
        <v>62</v>
      </c>
      <c r="O16" s="8" t="s">
        <v>63</v>
      </c>
      <c r="P16" s="4" t="n">
        <v>18</v>
      </c>
      <c r="Q16" s="8"/>
      <c r="R16" s="4" t="s">
        <v>147</v>
      </c>
      <c r="S16" s="4"/>
    </row>
    <row r="17" customFormat="false" ht="26.85" hidden="false" customHeight="false" outlineLevel="0" collapsed="false">
      <c r="A17" s="4" t="s">
        <v>149</v>
      </c>
      <c r="B17" s="8" t="s">
        <v>150</v>
      </c>
      <c r="C17" s="8" t="s">
        <v>58</v>
      </c>
      <c r="D17" s="8"/>
      <c r="E17" s="8" t="s">
        <v>60</v>
      </c>
      <c r="F17" s="8"/>
      <c r="G17" s="8"/>
      <c r="H17" s="8"/>
      <c r="I17" s="8" t="s">
        <v>151</v>
      </c>
      <c r="J17" s="8" t="s">
        <v>64</v>
      </c>
      <c r="K17" s="8" t="s">
        <v>101</v>
      </c>
      <c r="L17" s="8" t="s">
        <v>102</v>
      </c>
      <c r="M17" s="8"/>
      <c r="N17" s="8" t="s">
        <v>62</v>
      </c>
      <c r="O17" s="8" t="s">
        <v>63</v>
      </c>
      <c r="P17" s="4" t="n">
        <v>18</v>
      </c>
      <c r="Q17" s="8"/>
      <c r="R17" s="4" t="s">
        <v>152</v>
      </c>
      <c r="S17" s="4"/>
    </row>
    <row r="18" customFormat="false" ht="26.85" hidden="false" customHeight="false" outlineLevel="0" collapsed="false">
      <c r="A18" s="4" t="s">
        <v>153</v>
      </c>
      <c r="B18" s="8" t="s">
        <v>154</v>
      </c>
      <c r="C18" s="8" t="s">
        <v>58</v>
      </c>
      <c r="D18" s="8"/>
      <c r="E18" s="8" t="s">
        <v>60</v>
      </c>
      <c r="F18" s="8"/>
      <c r="G18" s="8"/>
      <c r="H18" s="8"/>
      <c r="I18" s="8" t="s">
        <v>155</v>
      </c>
      <c r="J18" s="8" t="s">
        <v>64</v>
      </c>
      <c r="K18" s="8" t="s">
        <v>101</v>
      </c>
      <c r="L18" s="8" t="s">
        <v>102</v>
      </c>
      <c r="M18" s="8"/>
      <c r="N18" s="8" t="s">
        <v>62</v>
      </c>
      <c r="O18" s="8" t="s">
        <v>63</v>
      </c>
      <c r="P18" s="4" t="n">
        <v>18</v>
      </c>
      <c r="Q18" s="8"/>
      <c r="R18" s="4" t="s">
        <v>156</v>
      </c>
      <c r="S18" s="4"/>
    </row>
    <row r="19" customFormat="false" ht="26.85" hidden="false" customHeight="false" outlineLevel="0" collapsed="false">
      <c r="A19" s="4" t="s">
        <v>157</v>
      </c>
      <c r="B19" s="8" t="s">
        <v>158</v>
      </c>
      <c r="C19" s="8"/>
      <c r="D19" s="8"/>
      <c r="E19" s="8"/>
      <c r="F19" s="8"/>
      <c r="G19" s="8"/>
      <c r="H19" s="8"/>
      <c r="I19" s="8" t="s">
        <v>159</v>
      </c>
      <c r="J19" s="8" t="s">
        <v>64</v>
      </c>
      <c r="K19" s="8" t="s">
        <v>101</v>
      </c>
      <c r="L19" s="8" t="s">
        <v>102</v>
      </c>
      <c r="M19" s="8"/>
      <c r="N19" s="8" t="s">
        <v>62</v>
      </c>
      <c r="O19" s="8" t="s">
        <v>63</v>
      </c>
      <c r="P19" s="4" t="n">
        <v>18</v>
      </c>
      <c r="Q19" s="8"/>
      <c r="R19" s="4" t="s">
        <v>158</v>
      </c>
      <c r="S19" s="4"/>
    </row>
    <row r="20" customFormat="false" ht="26.85" hidden="false" customHeight="false" outlineLevel="0" collapsed="false">
      <c r="A20" s="4" t="s">
        <v>160</v>
      </c>
      <c r="B20" s="8" t="s">
        <v>161</v>
      </c>
      <c r="C20" s="8" t="s">
        <v>58</v>
      </c>
      <c r="D20" s="8"/>
      <c r="E20" s="8" t="s">
        <v>60</v>
      </c>
      <c r="F20" s="8"/>
      <c r="G20" s="8"/>
      <c r="H20" s="8"/>
      <c r="I20" s="8" t="s">
        <v>162</v>
      </c>
      <c r="J20" s="8" t="s">
        <v>64</v>
      </c>
      <c r="K20" s="8" t="s">
        <v>101</v>
      </c>
      <c r="L20" s="8" t="s">
        <v>102</v>
      </c>
      <c r="M20" s="8"/>
      <c r="N20" s="8" t="s">
        <v>62</v>
      </c>
      <c r="O20" s="8" t="s">
        <v>63</v>
      </c>
      <c r="P20" s="4" t="n">
        <v>18</v>
      </c>
      <c r="Q20" s="8"/>
      <c r="R20" s="4" t="s">
        <v>163</v>
      </c>
      <c r="S20" s="4"/>
    </row>
    <row r="21" customFormat="false" ht="26.85" hidden="false" customHeight="false" outlineLevel="0" collapsed="false">
      <c r="A21" s="4" t="s">
        <v>164</v>
      </c>
      <c r="B21" s="8" t="s">
        <v>165</v>
      </c>
      <c r="C21" s="8"/>
      <c r="D21" s="8"/>
      <c r="E21" s="8"/>
      <c r="F21" s="8"/>
      <c r="G21" s="8"/>
      <c r="H21" s="8"/>
      <c r="I21" s="8" t="s">
        <v>166</v>
      </c>
      <c r="J21" s="8" t="s">
        <v>64</v>
      </c>
      <c r="K21" s="8" t="s">
        <v>101</v>
      </c>
      <c r="L21" s="8" t="s">
        <v>102</v>
      </c>
      <c r="M21" s="8"/>
      <c r="N21" s="8" t="s">
        <v>62</v>
      </c>
      <c r="O21" s="8" t="s">
        <v>63</v>
      </c>
      <c r="P21" s="4" t="n">
        <v>18</v>
      </c>
      <c r="Q21" s="8"/>
      <c r="R21" s="4" t="s">
        <v>165</v>
      </c>
      <c r="S21" s="4"/>
    </row>
    <row r="22" customFormat="false" ht="26.85" hidden="false" customHeight="false" outlineLevel="0" collapsed="false">
      <c r="A22" s="4" t="s">
        <v>167</v>
      </c>
      <c r="B22" s="8" t="s">
        <v>168</v>
      </c>
      <c r="C22" s="8" t="s">
        <v>58</v>
      </c>
      <c r="D22" s="8"/>
      <c r="E22" s="8" t="s">
        <v>60</v>
      </c>
      <c r="F22" s="8"/>
      <c r="G22" s="8"/>
      <c r="H22" s="8"/>
      <c r="I22" s="8" t="s">
        <v>169</v>
      </c>
      <c r="J22" s="8" t="s">
        <v>64</v>
      </c>
      <c r="K22" s="8" t="s">
        <v>101</v>
      </c>
      <c r="L22" s="8" t="s">
        <v>102</v>
      </c>
      <c r="M22" s="8"/>
      <c r="N22" s="8" t="s">
        <v>62</v>
      </c>
      <c r="O22" s="8" t="s">
        <v>63</v>
      </c>
      <c r="P22" s="4" t="n">
        <v>18</v>
      </c>
      <c r="Q22" s="8"/>
      <c r="R22" s="4" t="s">
        <v>170</v>
      </c>
      <c r="S22" s="4" t="n">
        <v>657</v>
      </c>
    </row>
    <row r="23" customFormat="false" ht="26.85" hidden="false" customHeight="false" outlineLevel="0" collapsed="false">
      <c r="A23" s="4" t="s">
        <v>171</v>
      </c>
      <c r="B23" s="8" t="s">
        <v>172</v>
      </c>
      <c r="C23" s="8"/>
      <c r="D23" s="8"/>
      <c r="E23" s="8"/>
      <c r="F23" s="8"/>
      <c r="G23" s="8"/>
      <c r="H23" s="8"/>
      <c r="I23" s="8" t="s">
        <v>173</v>
      </c>
      <c r="J23" s="8" t="s">
        <v>64</v>
      </c>
      <c r="K23" s="8" t="s">
        <v>101</v>
      </c>
      <c r="L23" s="8" t="s">
        <v>102</v>
      </c>
      <c r="M23" s="8"/>
      <c r="N23" s="8" t="s">
        <v>62</v>
      </c>
      <c r="O23" s="8" t="s">
        <v>63</v>
      </c>
      <c r="P23" s="4" t="n">
        <v>18</v>
      </c>
      <c r="Q23" s="8"/>
      <c r="R23" s="4" t="s">
        <v>172</v>
      </c>
      <c r="S23" s="4"/>
    </row>
    <row r="24" customFormat="false" ht="26.85" hidden="false" customHeight="false" outlineLevel="0" collapsed="false">
      <c r="A24" s="4" t="s">
        <v>174</v>
      </c>
      <c r="B24" s="8" t="s">
        <v>175</v>
      </c>
      <c r="C24" s="8"/>
      <c r="D24" s="8"/>
      <c r="E24" s="8"/>
      <c r="F24" s="8"/>
      <c r="G24" s="8"/>
      <c r="H24" s="8"/>
      <c r="I24" s="8" t="s">
        <v>176</v>
      </c>
      <c r="J24" s="8" t="s">
        <v>64</v>
      </c>
      <c r="K24" s="8" t="s">
        <v>101</v>
      </c>
      <c r="L24" s="8" t="s">
        <v>102</v>
      </c>
      <c r="M24" s="8"/>
      <c r="N24" s="8" t="s">
        <v>62</v>
      </c>
      <c r="O24" s="8" t="s">
        <v>63</v>
      </c>
      <c r="P24" s="4" t="n">
        <v>18</v>
      </c>
      <c r="Q24" s="8"/>
      <c r="R24" s="4" t="s">
        <v>175</v>
      </c>
      <c r="S24" s="4"/>
    </row>
    <row r="25" customFormat="false" ht="26.85" hidden="false" customHeight="false" outlineLevel="0" collapsed="false">
      <c r="A25" s="4" t="s">
        <v>177</v>
      </c>
      <c r="B25" s="8" t="s">
        <v>178</v>
      </c>
      <c r="C25" s="8"/>
      <c r="D25" s="8"/>
      <c r="E25" s="8"/>
      <c r="F25" s="8"/>
      <c r="G25" s="8"/>
      <c r="H25" s="8"/>
      <c r="I25" s="8" t="s">
        <v>179</v>
      </c>
      <c r="J25" s="8" t="s">
        <v>64</v>
      </c>
      <c r="K25" s="8" t="s">
        <v>101</v>
      </c>
      <c r="L25" s="8" t="s">
        <v>102</v>
      </c>
      <c r="M25" s="8"/>
      <c r="N25" s="8" t="s">
        <v>62</v>
      </c>
      <c r="O25" s="8" t="s">
        <v>63</v>
      </c>
      <c r="P25" s="4" t="n">
        <v>18</v>
      </c>
      <c r="Q25" s="8"/>
      <c r="R25" s="4" t="s">
        <v>178</v>
      </c>
      <c r="S25" s="4" t="n">
        <v>741</v>
      </c>
    </row>
    <row r="26" customFormat="false" ht="26.85" hidden="false" customHeight="false" outlineLevel="0" collapsed="false">
      <c r="A26" s="4" t="s">
        <v>180</v>
      </c>
      <c r="B26" s="8" t="s">
        <v>181</v>
      </c>
      <c r="C26" s="8"/>
      <c r="D26" s="8"/>
      <c r="E26" s="8"/>
      <c r="F26" s="8"/>
      <c r="G26" s="8"/>
      <c r="H26" s="8"/>
      <c r="I26" s="8" t="s">
        <v>182</v>
      </c>
      <c r="J26" s="8" t="s">
        <v>64</v>
      </c>
      <c r="K26" s="8" t="s">
        <v>101</v>
      </c>
      <c r="L26" s="8" t="s">
        <v>102</v>
      </c>
      <c r="M26" s="8"/>
      <c r="N26" s="8" t="s">
        <v>62</v>
      </c>
      <c r="O26" s="8" t="s">
        <v>63</v>
      </c>
      <c r="P26" s="4" t="n">
        <v>18</v>
      </c>
      <c r="Q26" s="8"/>
      <c r="R26" s="4" t="s">
        <v>181</v>
      </c>
      <c r="S26" s="4" t="n">
        <v>504</v>
      </c>
    </row>
    <row r="27" customFormat="false" ht="26.85" hidden="false" customHeight="false" outlineLevel="0" collapsed="false">
      <c r="A27" s="4" t="s">
        <v>183</v>
      </c>
      <c r="B27" s="8" t="s">
        <v>184</v>
      </c>
      <c r="C27" s="8"/>
      <c r="D27" s="8"/>
      <c r="E27" s="8"/>
      <c r="F27" s="8"/>
      <c r="G27" s="8"/>
      <c r="H27" s="8"/>
      <c r="I27" s="8" t="s">
        <v>185</v>
      </c>
      <c r="J27" s="8" t="s">
        <v>64</v>
      </c>
      <c r="K27" s="8" t="s">
        <v>101</v>
      </c>
      <c r="L27" s="8" t="s">
        <v>102</v>
      </c>
      <c r="M27" s="8"/>
      <c r="N27" s="8" t="s">
        <v>62</v>
      </c>
      <c r="O27" s="8" t="s">
        <v>63</v>
      </c>
      <c r="P27" s="4" t="n">
        <v>18</v>
      </c>
      <c r="Q27" s="8"/>
      <c r="R27" s="4" t="s">
        <v>184</v>
      </c>
      <c r="S27" s="4"/>
    </row>
    <row r="28" customFormat="false" ht="26.85" hidden="false" customHeight="false" outlineLevel="0" collapsed="false">
      <c r="A28" s="4" t="s">
        <v>186</v>
      </c>
      <c r="B28" s="8" t="s">
        <v>187</v>
      </c>
      <c r="C28" s="8"/>
      <c r="D28" s="8"/>
      <c r="E28" s="8"/>
      <c r="F28" s="8"/>
      <c r="G28" s="8"/>
      <c r="H28" s="8"/>
      <c r="I28" s="8" t="s">
        <v>188</v>
      </c>
      <c r="J28" s="8" t="s">
        <v>64</v>
      </c>
      <c r="K28" s="8" t="s">
        <v>101</v>
      </c>
      <c r="L28" s="8" t="s">
        <v>102</v>
      </c>
      <c r="M28" s="8"/>
      <c r="N28" s="8" t="s">
        <v>62</v>
      </c>
      <c r="O28" s="8" t="s">
        <v>63</v>
      </c>
      <c r="P28" s="4" t="n">
        <v>18</v>
      </c>
      <c r="Q28" s="8"/>
      <c r="R28" s="4" t="s">
        <v>187</v>
      </c>
      <c r="S28" s="4"/>
    </row>
    <row r="29" customFormat="false" ht="26.85" hidden="false" customHeight="false" outlineLevel="0" collapsed="false">
      <c r="A29" s="4" t="s">
        <v>189</v>
      </c>
      <c r="B29" s="8" t="s">
        <v>190</v>
      </c>
      <c r="C29" s="8"/>
      <c r="D29" s="8"/>
      <c r="E29" s="8"/>
      <c r="F29" s="8"/>
      <c r="G29" s="8"/>
      <c r="H29" s="8"/>
      <c r="I29" s="8" t="s">
        <v>191</v>
      </c>
      <c r="J29" s="8" t="s">
        <v>64</v>
      </c>
      <c r="K29" s="8" t="s">
        <v>101</v>
      </c>
      <c r="L29" s="8" t="s">
        <v>102</v>
      </c>
      <c r="M29" s="8"/>
      <c r="N29" s="8" t="s">
        <v>62</v>
      </c>
      <c r="O29" s="8" t="s">
        <v>63</v>
      </c>
      <c r="P29" s="4" t="n">
        <v>18</v>
      </c>
      <c r="Q29" s="8"/>
      <c r="R29" s="4" t="s">
        <v>190</v>
      </c>
      <c r="S29" s="4"/>
    </row>
    <row r="30" customFormat="false" ht="26.85" hidden="false" customHeight="false" outlineLevel="0" collapsed="false">
      <c r="A30" s="4" t="s">
        <v>192</v>
      </c>
      <c r="B30" s="8" t="s">
        <v>193</v>
      </c>
      <c r="C30" s="8" t="s">
        <v>58</v>
      </c>
      <c r="D30" s="8"/>
      <c r="E30" s="8" t="s">
        <v>60</v>
      </c>
      <c r="F30" s="8"/>
      <c r="G30" s="8"/>
      <c r="H30" s="8"/>
      <c r="I30" s="8" t="s">
        <v>194</v>
      </c>
      <c r="J30" s="8" t="s">
        <v>64</v>
      </c>
      <c r="K30" s="8" t="s">
        <v>101</v>
      </c>
      <c r="L30" s="8" t="s">
        <v>102</v>
      </c>
      <c r="M30" s="8"/>
      <c r="N30" s="8" t="s">
        <v>62</v>
      </c>
      <c r="O30" s="8" t="s">
        <v>63</v>
      </c>
      <c r="P30" s="4" t="n">
        <v>18</v>
      </c>
      <c r="Q30" s="8"/>
      <c r="R30" s="4" t="s">
        <v>195</v>
      </c>
      <c r="S30" s="4"/>
    </row>
    <row r="31" customFormat="false" ht="26.85" hidden="false" customHeight="false" outlineLevel="0" collapsed="false">
      <c r="A31" s="4" t="s">
        <v>196</v>
      </c>
      <c r="B31" s="8" t="s">
        <v>197</v>
      </c>
      <c r="C31" s="8"/>
      <c r="D31" s="8"/>
      <c r="E31" s="8"/>
      <c r="F31" s="8"/>
      <c r="G31" s="8"/>
      <c r="H31" s="8"/>
      <c r="I31" s="8" t="s">
        <v>198</v>
      </c>
      <c r="J31" s="8" t="s">
        <v>64</v>
      </c>
      <c r="K31" s="8" t="s">
        <v>101</v>
      </c>
      <c r="L31" s="8" t="s">
        <v>102</v>
      </c>
      <c r="M31" s="8"/>
      <c r="N31" s="8" t="s">
        <v>62</v>
      </c>
      <c r="O31" s="8" t="s">
        <v>63</v>
      </c>
      <c r="P31" s="4" t="n">
        <v>18</v>
      </c>
      <c r="Q31" s="8"/>
      <c r="R31" s="4" t="s">
        <v>197</v>
      </c>
      <c r="S31" s="4" t="n">
        <v>579</v>
      </c>
    </row>
    <row r="32" customFormat="false" ht="26.85" hidden="false" customHeight="false" outlineLevel="0" collapsed="false">
      <c r="A32" s="4" t="s">
        <v>199</v>
      </c>
      <c r="B32" s="8" t="s">
        <v>200</v>
      </c>
      <c r="C32" s="8"/>
      <c r="D32" s="8"/>
      <c r="E32" s="8"/>
      <c r="F32" s="8"/>
      <c r="G32" s="8"/>
      <c r="H32" s="8"/>
      <c r="I32" s="8" t="s">
        <v>201</v>
      </c>
      <c r="J32" s="8" t="s">
        <v>64</v>
      </c>
      <c r="K32" s="8" t="s">
        <v>101</v>
      </c>
      <c r="L32" s="8" t="s">
        <v>102</v>
      </c>
      <c r="M32" s="8"/>
      <c r="N32" s="8" t="s">
        <v>62</v>
      </c>
      <c r="O32" s="8" t="s">
        <v>63</v>
      </c>
      <c r="P32" s="4" t="n">
        <v>18</v>
      </c>
      <c r="Q32" s="8"/>
      <c r="R32" s="4" t="s">
        <v>200</v>
      </c>
      <c r="S32" s="4" t="n">
        <v>344</v>
      </c>
    </row>
    <row r="33" customFormat="false" ht="26.85" hidden="false" customHeight="false" outlineLevel="0" collapsed="false">
      <c r="A33" s="4" t="s">
        <v>202</v>
      </c>
      <c r="B33" s="8" t="s">
        <v>203</v>
      </c>
      <c r="C33" s="8"/>
      <c r="D33" s="8"/>
      <c r="E33" s="8"/>
      <c r="F33" s="8"/>
      <c r="G33" s="8"/>
      <c r="H33" s="8"/>
      <c r="I33" s="8" t="s">
        <v>204</v>
      </c>
      <c r="J33" s="8" t="s">
        <v>64</v>
      </c>
      <c r="K33" s="8" t="s">
        <v>101</v>
      </c>
      <c r="L33" s="8" t="s">
        <v>102</v>
      </c>
      <c r="M33" s="8"/>
      <c r="N33" s="8" t="s">
        <v>62</v>
      </c>
      <c r="O33" s="8" t="s">
        <v>63</v>
      </c>
      <c r="P33" s="4" t="n">
        <v>18</v>
      </c>
      <c r="Q33" s="8"/>
      <c r="R33" s="4" t="s">
        <v>203</v>
      </c>
      <c r="S33" s="4" t="n">
        <v>134</v>
      </c>
    </row>
    <row r="34" customFormat="false" ht="26.85" hidden="false" customHeight="false" outlineLevel="0" collapsed="false">
      <c r="A34" s="4" t="s">
        <v>205</v>
      </c>
      <c r="B34" s="8" t="s">
        <v>206</v>
      </c>
      <c r="C34" s="8"/>
      <c r="D34" s="8"/>
      <c r="E34" s="8"/>
      <c r="F34" s="8"/>
      <c r="G34" s="8"/>
      <c r="H34" s="8"/>
      <c r="I34" s="8" t="s">
        <v>207</v>
      </c>
      <c r="J34" s="8" t="s">
        <v>64</v>
      </c>
      <c r="K34" s="8" t="s">
        <v>101</v>
      </c>
      <c r="L34" s="8" t="s">
        <v>102</v>
      </c>
      <c r="M34" s="8"/>
      <c r="N34" s="8" t="s">
        <v>62</v>
      </c>
      <c r="O34" s="8" t="s">
        <v>63</v>
      </c>
      <c r="P34" s="4" t="n">
        <v>18</v>
      </c>
      <c r="Q34" s="8"/>
      <c r="R34" s="4" t="s">
        <v>206</v>
      </c>
      <c r="S34" s="4"/>
    </row>
    <row r="35" customFormat="false" ht="26.85" hidden="false" customHeight="false" outlineLevel="0" collapsed="false">
      <c r="A35" s="4" t="s">
        <v>208</v>
      </c>
      <c r="B35" s="8" t="s">
        <v>209</v>
      </c>
      <c r="C35" s="8" t="s">
        <v>58</v>
      </c>
      <c r="D35" s="8"/>
      <c r="E35" s="8" t="s">
        <v>60</v>
      </c>
      <c r="F35" s="8"/>
      <c r="G35" s="8"/>
      <c r="H35" s="8"/>
      <c r="I35" s="8" t="s">
        <v>210</v>
      </c>
      <c r="J35" s="8" t="s">
        <v>64</v>
      </c>
      <c r="K35" s="8" t="s">
        <v>101</v>
      </c>
      <c r="L35" s="8" t="s">
        <v>102</v>
      </c>
      <c r="M35" s="8"/>
      <c r="N35" s="8" t="s">
        <v>62</v>
      </c>
      <c r="O35" s="8" t="s">
        <v>63</v>
      </c>
      <c r="P35" s="4" t="n">
        <v>18</v>
      </c>
      <c r="Q35" s="8"/>
      <c r="R35" s="4" t="s">
        <v>211</v>
      </c>
      <c r="S35" s="4" t="n">
        <v>13211</v>
      </c>
    </row>
    <row r="36" customFormat="false" ht="26.85" hidden="false" customHeight="false" outlineLevel="0" collapsed="false">
      <c r="A36" s="4" t="s">
        <v>212</v>
      </c>
      <c r="B36" s="8" t="s">
        <v>213</v>
      </c>
      <c r="C36" s="8"/>
      <c r="D36" s="8"/>
      <c r="E36" s="8"/>
      <c r="F36" s="8"/>
      <c r="G36" s="8"/>
      <c r="H36" s="8"/>
      <c r="I36" s="8" t="s">
        <v>214</v>
      </c>
      <c r="J36" s="8" t="s">
        <v>64</v>
      </c>
      <c r="K36" s="8" t="s">
        <v>101</v>
      </c>
      <c r="L36" s="8" t="s">
        <v>102</v>
      </c>
      <c r="M36" s="8"/>
      <c r="N36" s="8" t="s">
        <v>62</v>
      </c>
      <c r="O36" s="8" t="s">
        <v>63</v>
      </c>
      <c r="P36" s="4" t="n">
        <v>18</v>
      </c>
      <c r="Q36" s="8"/>
      <c r="R36" s="4" t="s">
        <v>213</v>
      </c>
      <c r="S36" s="4"/>
    </row>
    <row r="37" customFormat="false" ht="26.85" hidden="false" customHeight="false" outlineLevel="0" collapsed="false">
      <c r="A37" s="4" t="s">
        <v>215</v>
      </c>
      <c r="B37" s="8" t="s">
        <v>216</v>
      </c>
      <c r="C37" s="8" t="s">
        <v>58</v>
      </c>
      <c r="D37" s="8"/>
      <c r="E37" s="8" t="s">
        <v>60</v>
      </c>
      <c r="F37" s="8"/>
      <c r="G37" s="8"/>
      <c r="H37" s="8"/>
      <c r="I37" s="8" t="s">
        <v>217</v>
      </c>
      <c r="J37" s="8" t="s">
        <v>64</v>
      </c>
      <c r="K37" s="8" t="s">
        <v>101</v>
      </c>
      <c r="L37" s="8" t="s">
        <v>102</v>
      </c>
      <c r="M37" s="8"/>
      <c r="N37" s="8" t="s">
        <v>62</v>
      </c>
      <c r="O37" s="8" t="s">
        <v>63</v>
      </c>
      <c r="P37" s="4" t="n">
        <v>18</v>
      </c>
      <c r="Q37" s="8"/>
      <c r="R37" s="4" t="s">
        <v>218</v>
      </c>
      <c r="S37" s="4"/>
    </row>
    <row r="38" customFormat="false" ht="26.85" hidden="false" customHeight="false" outlineLevel="0" collapsed="false">
      <c r="A38" s="4" t="s">
        <v>219</v>
      </c>
      <c r="B38" s="8" t="s">
        <v>220</v>
      </c>
      <c r="C38" s="8"/>
      <c r="D38" s="8"/>
      <c r="E38" s="8" t="s">
        <v>82</v>
      </c>
      <c r="F38" s="8"/>
      <c r="G38" s="8"/>
      <c r="H38" s="8"/>
      <c r="I38" s="8" t="s">
        <v>221</v>
      </c>
      <c r="J38" s="8" t="s">
        <v>64</v>
      </c>
      <c r="K38" s="8" t="s">
        <v>101</v>
      </c>
      <c r="L38" s="8" t="s">
        <v>102</v>
      </c>
      <c r="M38" s="8"/>
      <c r="N38" s="8" t="s">
        <v>62</v>
      </c>
      <c r="O38" s="8" t="s">
        <v>63</v>
      </c>
      <c r="P38" s="4" t="n">
        <v>18</v>
      </c>
      <c r="Q38" s="8"/>
      <c r="R38" s="4" t="s">
        <v>220</v>
      </c>
      <c r="S38" s="4"/>
    </row>
    <row r="39" customFormat="false" ht="26.85" hidden="false" customHeight="false" outlineLevel="0" collapsed="false">
      <c r="A39" s="4" t="s">
        <v>222</v>
      </c>
      <c r="B39" s="8" t="s">
        <v>223</v>
      </c>
      <c r="C39" s="8"/>
      <c r="D39" s="8"/>
      <c r="E39" s="8" t="s">
        <v>82</v>
      </c>
      <c r="F39" s="8"/>
      <c r="G39" s="8"/>
      <c r="H39" s="8"/>
      <c r="I39" s="8" t="s">
        <v>224</v>
      </c>
      <c r="J39" s="8" t="s">
        <v>64</v>
      </c>
      <c r="K39" s="8" t="s">
        <v>101</v>
      </c>
      <c r="L39" s="8" t="s">
        <v>102</v>
      </c>
      <c r="M39" s="8"/>
      <c r="N39" s="8" t="s">
        <v>62</v>
      </c>
      <c r="O39" s="8" t="s">
        <v>63</v>
      </c>
      <c r="P39" s="4" t="n">
        <v>18</v>
      </c>
      <c r="Q39" s="8"/>
      <c r="R39" s="4" t="s">
        <v>223</v>
      </c>
      <c r="S39" s="4" t="n">
        <v>443</v>
      </c>
    </row>
    <row r="40" customFormat="false" ht="26.85" hidden="false" customHeight="false" outlineLevel="0" collapsed="false">
      <c r="A40" s="4" t="s">
        <v>225</v>
      </c>
      <c r="B40" s="8" t="s">
        <v>226</v>
      </c>
      <c r="C40" s="8"/>
      <c r="D40" s="8"/>
      <c r="E40" s="8" t="s">
        <v>82</v>
      </c>
      <c r="F40" s="8"/>
      <c r="G40" s="8"/>
      <c r="H40" s="8"/>
      <c r="I40" s="8" t="s">
        <v>227</v>
      </c>
      <c r="J40" s="8" t="s">
        <v>64</v>
      </c>
      <c r="K40" s="8" t="s">
        <v>101</v>
      </c>
      <c r="L40" s="8" t="s">
        <v>102</v>
      </c>
      <c r="M40" s="8"/>
      <c r="N40" s="8" t="s">
        <v>62</v>
      </c>
      <c r="O40" s="8" t="s">
        <v>63</v>
      </c>
      <c r="P40" s="4" t="n">
        <v>18</v>
      </c>
      <c r="Q40" s="8"/>
      <c r="R40" s="4" t="s">
        <v>226</v>
      </c>
      <c r="S40" s="4"/>
    </row>
    <row r="41" customFormat="false" ht="26.85" hidden="false" customHeight="false" outlineLevel="0" collapsed="false">
      <c r="A41" s="4" t="s">
        <v>228</v>
      </c>
      <c r="B41" s="8" t="s">
        <v>229</v>
      </c>
      <c r="C41" s="8" t="s">
        <v>58</v>
      </c>
      <c r="D41" s="8"/>
      <c r="E41" s="8" t="s">
        <v>60</v>
      </c>
      <c r="F41" s="8"/>
      <c r="G41" s="8"/>
      <c r="H41" s="8"/>
      <c r="I41" s="8" t="s">
        <v>230</v>
      </c>
      <c r="J41" s="8" t="s">
        <v>64</v>
      </c>
      <c r="K41" s="8" t="s">
        <v>101</v>
      </c>
      <c r="L41" s="8" t="s">
        <v>102</v>
      </c>
      <c r="M41" s="8"/>
      <c r="N41" s="8" t="s">
        <v>62</v>
      </c>
      <c r="O41" s="8" t="s">
        <v>63</v>
      </c>
      <c r="P41" s="4" t="n">
        <v>18</v>
      </c>
      <c r="Q41" s="8"/>
      <c r="R41" s="4" t="s">
        <v>231</v>
      </c>
      <c r="S41" s="4" t="n">
        <v>1449</v>
      </c>
    </row>
    <row r="42" customFormat="false" ht="26.85" hidden="false" customHeight="false" outlineLevel="0" collapsed="false">
      <c r="A42" s="4" t="s">
        <v>232</v>
      </c>
      <c r="B42" s="8" t="s">
        <v>233</v>
      </c>
      <c r="C42" s="8"/>
      <c r="D42" s="8"/>
      <c r="E42" s="8"/>
      <c r="F42" s="8"/>
      <c r="G42" s="8"/>
      <c r="H42" s="8"/>
      <c r="I42" s="8" t="s">
        <v>234</v>
      </c>
      <c r="J42" s="8" t="s">
        <v>64</v>
      </c>
      <c r="K42" s="8" t="s">
        <v>101</v>
      </c>
      <c r="L42" s="8" t="s">
        <v>102</v>
      </c>
      <c r="M42" s="8"/>
      <c r="N42" s="8" t="s">
        <v>62</v>
      </c>
      <c r="O42" s="8" t="s">
        <v>63</v>
      </c>
      <c r="P42" s="4" t="n">
        <v>19</v>
      </c>
      <c r="Q42" s="8"/>
      <c r="R42" s="4" t="s">
        <v>233</v>
      </c>
      <c r="S42" s="4" t="n">
        <v>339</v>
      </c>
    </row>
    <row r="43" customFormat="false" ht="26.85" hidden="false" customHeight="false" outlineLevel="0" collapsed="false">
      <c r="A43" s="4" t="s">
        <v>235</v>
      </c>
      <c r="B43" s="8" t="s">
        <v>236</v>
      </c>
      <c r="C43" s="8" t="s">
        <v>58</v>
      </c>
      <c r="D43" s="8"/>
      <c r="E43" s="8" t="s">
        <v>60</v>
      </c>
      <c r="F43" s="8"/>
      <c r="G43" s="8"/>
      <c r="H43" s="8"/>
      <c r="I43" s="8" t="s">
        <v>237</v>
      </c>
      <c r="J43" s="8" t="s">
        <v>64</v>
      </c>
      <c r="K43" s="8" t="s">
        <v>101</v>
      </c>
      <c r="L43" s="8" t="s">
        <v>102</v>
      </c>
      <c r="M43" s="8"/>
      <c r="N43" s="8" t="s">
        <v>62</v>
      </c>
      <c r="O43" s="8" t="s">
        <v>63</v>
      </c>
      <c r="P43" s="4" t="n">
        <v>19</v>
      </c>
      <c r="Q43" s="8"/>
      <c r="R43" s="4" t="s">
        <v>238</v>
      </c>
      <c r="S43" s="4" t="n">
        <v>1541</v>
      </c>
    </row>
    <row r="44" customFormat="false" ht="26.85" hidden="false" customHeight="false" outlineLevel="0" collapsed="false">
      <c r="A44" s="4" t="s">
        <v>239</v>
      </c>
      <c r="B44" s="8" t="s">
        <v>240</v>
      </c>
      <c r="C44" s="8" t="s">
        <v>58</v>
      </c>
      <c r="D44" s="8"/>
      <c r="E44" s="8" t="s">
        <v>60</v>
      </c>
      <c r="F44" s="8"/>
      <c r="G44" s="8"/>
      <c r="H44" s="8"/>
      <c r="I44" s="8" t="s">
        <v>241</v>
      </c>
      <c r="J44" s="8" t="s">
        <v>64</v>
      </c>
      <c r="K44" s="8" t="s">
        <v>101</v>
      </c>
      <c r="L44" s="8" t="s">
        <v>102</v>
      </c>
      <c r="M44" s="8"/>
      <c r="N44" s="8" t="s">
        <v>62</v>
      </c>
      <c r="O44" s="8" t="s">
        <v>63</v>
      </c>
      <c r="P44" s="4" t="n">
        <v>19</v>
      </c>
      <c r="Q44" s="8"/>
      <c r="R44" s="4" t="s">
        <v>242</v>
      </c>
      <c r="S44" s="4" t="n">
        <v>927</v>
      </c>
    </row>
    <row r="45" customFormat="false" ht="26.85" hidden="false" customHeight="false" outlineLevel="0" collapsed="false">
      <c r="A45" s="4" t="s">
        <v>243</v>
      </c>
      <c r="B45" s="8" t="s">
        <v>244</v>
      </c>
      <c r="C45" s="8" t="s">
        <v>58</v>
      </c>
      <c r="D45" s="8"/>
      <c r="E45" s="8" t="s">
        <v>60</v>
      </c>
      <c r="F45" s="8"/>
      <c r="G45" s="8"/>
      <c r="H45" s="8"/>
      <c r="I45" s="8" t="s">
        <v>245</v>
      </c>
      <c r="J45" s="8" t="s">
        <v>64</v>
      </c>
      <c r="K45" s="8" t="s">
        <v>101</v>
      </c>
      <c r="L45" s="8" t="s">
        <v>102</v>
      </c>
      <c r="M45" s="8"/>
      <c r="N45" s="8" t="s">
        <v>62</v>
      </c>
      <c r="O45" s="8" t="s">
        <v>63</v>
      </c>
      <c r="P45" s="4" t="n">
        <v>19</v>
      </c>
      <c r="Q45" s="8"/>
      <c r="R45" s="4" t="s">
        <v>246</v>
      </c>
      <c r="S45" s="4" t="n">
        <v>2002</v>
      </c>
    </row>
    <row r="46" customFormat="false" ht="26.85" hidden="false" customHeight="false" outlineLevel="0" collapsed="false">
      <c r="A46" s="4" t="s">
        <v>247</v>
      </c>
      <c r="B46" s="8" t="s">
        <v>248</v>
      </c>
      <c r="C46" s="8" t="s">
        <v>58</v>
      </c>
      <c r="D46" s="8"/>
      <c r="E46" s="8" t="s">
        <v>60</v>
      </c>
      <c r="F46" s="8"/>
      <c r="G46" s="8"/>
      <c r="H46" s="8"/>
      <c r="I46" s="8" t="s">
        <v>249</v>
      </c>
      <c r="J46" s="8" t="s">
        <v>64</v>
      </c>
      <c r="K46" s="8" t="s">
        <v>101</v>
      </c>
      <c r="L46" s="8" t="s">
        <v>102</v>
      </c>
      <c r="M46" s="8"/>
      <c r="N46" s="8" t="s">
        <v>62</v>
      </c>
      <c r="O46" s="8" t="s">
        <v>63</v>
      </c>
      <c r="P46" s="4" t="n">
        <v>19</v>
      </c>
      <c r="Q46" s="8"/>
      <c r="R46" s="4" t="s">
        <v>250</v>
      </c>
      <c r="S46" s="4" t="n">
        <v>1858</v>
      </c>
    </row>
    <row r="47" customFormat="false" ht="26.85" hidden="false" customHeight="false" outlineLevel="0" collapsed="false">
      <c r="A47" s="4" t="s">
        <v>251</v>
      </c>
      <c r="B47" s="8" t="s">
        <v>252</v>
      </c>
      <c r="C47" s="8" t="s">
        <v>58</v>
      </c>
      <c r="D47" s="8"/>
      <c r="E47" s="8" t="s">
        <v>60</v>
      </c>
      <c r="F47" s="8"/>
      <c r="G47" s="8"/>
      <c r="H47" s="8"/>
      <c r="I47" s="8" t="s">
        <v>253</v>
      </c>
      <c r="J47" s="8" t="s">
        <v>64</v>
      </c>
      <c r="K47" s="8" t="s">
        <v>101</v>
      </c>
      <c r="L47" s="8" t="s">
        <v>102</v>
      </c>
      <c r="M47" s="8"/>
      <c r="N47" s="8" t="s">
        <v>62</v>
      </c>
      <c r="O47" s="8" t="s">
        <v>63</v>
      </c>
      <c r="P47" s="4" t="n">
        <v>19</v>
      </c>
      <c r="Q47" s="8"/>
      <c r="R47" s="4" t="s">
        <v>254</v>
      </c>
      <c r="S47" s="4"/>
    </row>
    <row r="48" customFormat="false" ht="26.85" hidden="false" customHeight="false" outlineLevel="0" collapsed="false">
      <c r="A48" s="4" t="s">
        <v>255</v>
      </c>
      <c r="B48" s="8" t="s">
        <v>256</v>
      </c>
      <c r="C48" s="8"/>
      <c r="D48" s="8"/>
      <c r="E48" s="8"/>
      <c r="F48" s="8"/>
      <c r="G48" s="8"/>
      <c r="H48" s="8"/>
      <c r="I48" s="8" t="s">
        <v>257</v>
      </c>
      <c r="J48" s="8" t="s">
        <v>64</v>
      </c>
      <c r="K48" s="8" t="s">
        <v>101</v>
      </c>
      <c r="L48" s="8" t="s">
        <v>102</v>
      </c>
      <c r="M48" s="8"/>
      <c r="N48" s="8" t="s">
        <v>62</v>
      </c>
      <c r="O48" s="8" t="s">
        <v>63</v>
      </c>
      <c r="P48" s="4" t="n">
        <v>19</v>
      </c>
      <c r="Q48" s="8"/>
      <c r="R48" s="4" t="s">
        <v>256</v>
      </c>
      <c r="S48" s="4"/>
    </row>
    <row r="49" customFormat="false" ht="26.85" hidden="false" customHeight="false" outlineLevel="0" collapsed="false">
      <c r="A49" s="4" t="s">
        <v>258</v>
      </c>
      <c r="B49" s="8" t="s">
        <v>259</v>
      </c>
      <c r="C49" s="8" t="s">
        <v>58</v>
      </c>
      <c r="D49" s="8"/>
      <c r="E49" s="8" t="s">
        <v>60</v>
      </c>
      <c r="F49" s="8"/>
      <c r="G49" s="8"/>
      <c r="H49" s="8"/>
      <c r="I49" s="8" t="s">
        <v>260</v>
      </c>
      <c r="J49" s="8" t="s">
        <v>64</v>
      </c>
      <c r="K49" s="8" t="s">
        <v>101</v>
      </c>
      <c r="L49" s="8" t="s">
        <v>102</v>
      </c>
      <c r="M49" s="8"/>
      <c r="N49" s="8" t="s">
        <v>62</v>
      </c>
      <c r="O49" s="8" t="s">
        <v>63</v>
      </c>
      <c r="P49" s="4" t="n">
        <v>19</v>
      </c>
      <c r="Q49" s="8"/>
      <c r="R49" s="4" t="s">
        <v>261</v>
      </c>
      <c r="S49" s="4"/>
    </row>
    <row r="50" customFormat="false" ht="26.85" hidden="false" customHeight="false" outlineLevel="0" collapsed="false">
      <c r="A50" s="4" t="s">
        <v>262</v>
      </c>
      <c r="B50" s="8" t="s">
        <v>263</v>
      </c>
      <c r="C50" s="8" t="s">
        <v>58</v>
      </c>
      <c r="D50" s="8"/>
      <c r="E50" s="8" t="s">
        <v>60</v>
      </c>
      <c r="F50" s="8"/>
      <c r="G50" s="8"/>
      <c r="H50" s="8"/>
      <c r="I50" s="8" t="s">
        <v>264</v>
      </c>
      <c r="J50" s="8" t="s">
        <v>64</v>
      </c>
      <c r="K50" s="8" t="s">
        <v>101</v>
      </c>
      <c r="L50" s="8" t="s">
        <v>102</v>
      </c>
      <c r="M50" s="8"/>
      <c r="N50" s="8" t="s">
        <v>62</v>
      </c>
      <c r="O50" s="8" t="s">
        <v>63</v>
      </c>
      <c r="P50" s="4" t="n">
        <v>19</v>
      </c>
      <c r="Q50" s="8"/>
      <c r="R50" s="4" t="s">
        <v>265</v>
      </c>
      <c r="S50" s="4" t="n">
        <v>1625</v>
      </c>
    </row>
    <row r="51" customFormat="false" ht="26.85" hidden="false" customHeight="false" outlineLevel="0" collapsed="false">
      <c r="A51" s="4" t="s">
        <v>266</v>
      </c>
      <c r="B51" s="8" t="s">
        <v>267</v>
      </c>
      <c r="C51" s="8" t="s">
        <v>58</v>
      </c>
      <c r="D51" s="8"/>
      <c r="E51" s="8" t="s">
        <v>60</v>
      </c>
      <c r="F51" s="8"/>
      <c r="G51" s="8"/>
      <c r="H51" s="8"/>
      <c r="I51" s="8" t="s">
        <v>268</v>
      </c>
      <c r="J51" s="8" t="s">
        <v>64</v>
      </c>
      <c r="K51" s="8" t="s">
        <v>101</v>
      </c>
      <c r="L51" s="8" t="s">
        <v>102</v>
      </c>
      <c r="M51" s="8"/>
      <c r="N51" s="8" t="s">
        <v>62</v>
      </c>
      <c r="O51" s="8" t="s">
        <v>63</v>
      </c>
      <c r="P51" s="4" t="n">
        <v>19</v>
      </c>
      <c r="Q51" s="8"/>
      <c r="R51" s="4" t="s">
        <v>269</v>
      </c>
      <c r="S51" s="4" t="n">
        <v>1053</v>
      </c>
    </row>
    <row r="52" customFormat="false" ht="26.85" hidden="false" customHeight="false" outlineLevel="0" collapsed="false">
      <c r="A52" s="4" t="s">
        <v>270</v>
      </c>
      <c r="B52" s="8" t="s">
        <v>271</v>
      </c>
      <c r="C52" s="8"/>
      <c r="D52" s="8"/>
      <c r="E52" s="8"/>
      <c r="F52" s="8"/>
      <c r="G52" s="8"/>
      <c r="H52" s="8"/>
      <c r="I52" s="8" t="s">
        <v>272</v>
      </c>
      <c r="J52" s="8" t="s">
        <v>64</v>
      </c>
      <c r="K52" s="8" t="s">
        <v>101</v>
      </c>
      <c r="L52" s="8" t="s">
        <v>102</v>
      </c>
      <c r="M52" s="8"/>
      <c r="N52" s="8" t="s">
        <v>62</v>
      </c>
      <c r="O52" s="8" t="s">
        <v>63</v>
      </c>
      <c r="P52" s="4" t="n">
        <v>19</v>
      </c>
      <c r="Q52" s="8"/>
      <c r="R52" s="4" t="s">
        <v>271</v>
      </c>
      <c r="S52" s="4"/>
    </row>
    <row r="53" customFormat="false" ht="26.85" hidden="false" customHeight="false" outlineLevel="0" collapsed="false">
      <c r="A53" s="4" t="s">
        <v>273</v>
      </c>
      <c r="B53" s="8" t="s">
        <v>274</v>
      </c>
      <c r="C53" s="8"/>
      <c r="D53" s="8"/>
      <c r="E53" s="8"/>
      <c r="F53" s="8"/>
      <c r="G53" s="8"/>
      <c r="H53" s="8"/>
      <c r="I53" s="8" t="s">
        <v>275</v>
      </c>
      <c r="J53" s="8" t="s">
        <v>64</v>
      </c>
      <c r="K53" s="8" t="s">
        <v>101</v>
      </c>
      <c r="L53" s="8" t="s">
        <v>102</v>
      </c>
      <c r="M53" s="8"/>
      <c r="N53" s="8" t="s">
        <v>62</v>
      </c>
      <c r="O53" s="8" t="s">
        <v>63</v>
      </c>
      <c r="P53" s="4" t="n">
        <v>19</v>
      </c>
      <c r="Q53" s="8"/>
      <c r="R53" s="4" t="s">
        <v>274</v>
      </c>
      <c r="S53" s="4"/>
    </row>
    <row r="54" customFormat="false" ht="26.85" hidden="false" customHeight="false" outlineLevel="0" collapsed="false">
      <c r="A54" s="4" t="s">
        <v>276</v>
      </c>
      <c r="B54" s="8" t="s">
        <v>277</v>
      </c>
      <c r="C54" s="8" t="s">
        <v>58</v>
      </c>
      <c r="D54" s="8"/>
      <c r="E54" s="8" t="s">
        <v>60</v>
      </c>
      <c r="F54" s="8"/>
      <c r="G54" s="8"/>
      <c r="H54" s="8"/>
      <c r="I54" s="8" t="s">
        <v>278</v>
      </c>
      <c r="J54" s="8" t="s">
        <v>64</v>
      </c>
      <c r="K54" s="8" t="s">
        <v>101</v>
      </c>
      <c r="L54" s="8" t="s">
        <v>102</v>
      </c>
      <c r="M54" s="8"/>
      <c r="N54" s="8" t="s">
        <v>62</v>
      </c>
      <c r="O54" s="8" t="s">
        <v>63</v>
      </c>
      <c r="P54" s="4" t="n">
        <v>19</v>
      </c>
      <c r="Q54" s="8"/>
      <c r="R54" s="4" t="s">
        <v>279</v>
      </c>
      <c r="S54" s="4" t="n">
        <v>284</v>
      </c>
    </row>
    <row r="55" customFormat="false" ht="26.85" hidden="false" customHeight="false" outlineLevel="0" collapsed="false">
      <c r="A55" s="4" t="s">
        <v>280</v>
      </c>
      <c r="B55" s="8" t="s">
        <v>281</v>
      </c>
      <c r="C55" s="8" t="s">
        <v>58</v>
      </c>
      <c r="D55" s="8"/>
      <c r="E55" s="8" t="s">
        <v>60</v>
      </c>
      <c r="F55" s="8"/>
      <c r="G55" s="8"/>
      <c r="H55" s="8"/>
      <c r="I55" s="8" t="s">
        <v>282</v>
      </c>
      <c r="J55" s="8" t="s">
        <v>64</v>
      </c>
      <c r="K55" s="8" t="s">
        <v>101</v>
      </c>
      <c r="L55" s="8" t="s">
        <v>102</v>
      </c>
      <c r="M55" s="8"/>
      <c r="N55" s="8" t="s">
        <v>62</v>
      </c>
      <c r="O55" s="8" t="s">
        <v>63</v>
      </c>
      <c r="P55" s="4" t="n">
        <v>19</v>
      </c>
      <c r="Q55" s="8"/>
      <c r="R55" s="4" t="s">
        <v>283</v>
      </c>
      <c r="S55" s="4"/>
    </row>
    <row r="56" customFormat="false" ht="26.85" hidden="false" customHeight="false" outlineLevel="0" collapsed="false">
      <c r="A56" s="4" t="s">
        <v>284</v>
      </c>
      <c r="B56" s="8" t="s">
        <v>285</v>
      </c>
      <c r="C56" s="8" t="s">
        <v>58</v>
      </c>
      <c r="D56" s="8"/>
      <c r="E56" s="8" t="s">
        <v>60</v>
      </c>
      <c r="F56" s="8"/>
      <c r="G56" s="8"/>
      <c r="H56" s="8"/>
      <c r="I56" s="8" t="s">
        <v>286</v>
      </c>
      <c r="J56" s="8" t="s">
        <v>64</v>
      </c>
      <c r="K56" s="8" t="s">
        <v>101</v>
      </c>
      <c r="L56" s="8" t="s">
        <v>102</v>
      </c>
      <c r="M56" s="8"/>
      <c r="N56" s="8" t="s">
        <v>62</v>
      </c>
      <c r="O56" s="8" t="s">
        <v>63</v>
      </c>
      <c r="P56" s="4" t="n">
        <v>19</v>
      </c>
      <c r="Q56" s="8"/>
      <c r="R56" s="4" t="s">
        <v>287</v>
      </c>
      <c r="S56" s="4" t="n">
        <v>776</v>
      </c>
    </row>
    <row r="57" customFormat="false" ht="26.85" hidden="false" customHeight="false" outlineLevel="0" collapsed="false">
      <c r="A57" s="4" t="s">
        <v>288</v>
      </c>
      <c r="B57" s="8" t="s">
        <v>289</v>
      </c>
      <c r="C57" s="8" t="s">
        <v>58</v>
      </c>
      <c r="D57" s="8"/>
      <c r="E57" s="8" t="s">
        <v>60</v>
      </c>
      <c r="F57" s="8"/>
      <c r="G57" s="8"/>
      <c r="H57" s="8"/>
      <c r="I57" s="8" t="s">
        <v>290</v>
      </c>
      <c r="J57" s="8" t="s">
        <v>64</v>
      </c>
      <c r="K57" s="8" t="s">
        <v>101</v>
      </c>
      <c r="L57" s="8" t="s">
        <v>102</v>
      </c>
      <c r="M57" s="8"/>
      <c r="N57" s="8" t="s">
        <v>62</v>
      </c>
      <c r="O57" s="8" t="s">
        <v>63</v>
      </c>
      <c r="P57" s="4" t="n">
        <v>19</v>
      </c>
      <c r="Q57" s="8"/>
      <c r="R57" s="4" t="s">
        <v>291</v>
      </c>
      <c r="S57" s="4"/>
    </row>
    <row r="58" customFormat="false" ht="26.85" hidden="false" customHeight="false" outlineLevel="0" collapsed="false">
      <c r="A58" s="4" t="s">
        <v>292</v>
      </c>
      <c r="B58" s="8" t="s">
        <v>293</v>
      </c>
      <c r="C58" s="8"/>
      <c r="D58" s="8"/>
      <c r="E58" s="8"/>
      <c r="F58" s="8"/>
      <c r="G58" s="8"/>
      <c r="H58" s="8"/>
      <c r="I58" s="8" t="s">
        <v>294</v>
      </c>
      <c r="J58" s="8" t="s">
        <v>64</v>
      </c>
      <c r="K58" s="8" t="s">
        <v>101</v>
      </c>
      <c r="L58" s="8" t="s">
        <v>102</v>
      </c>
      <c r="M58" s="8"/>
      <c r="N58" s="8" t="s">
        <v>62</v>
      </c>
      <c r="O58" s="8" t="s">
        <v>63</v>
      </c>
      <c r="P58" s="4" t="n">
        <v>19</v>
      </c>
      <c r="Q58" s="8"/>
      <c r="R58" s="4" t="s">
        <v>293</v>
      </c>
      <c r="S58" s="4" t="n">
        <v>1538</v>
      </c>
    </row>
    <row r="59" customFormat="false" ht="26.85" hidden="false" customHeight="false" outlineLevel="0" collapsed="false">
      <c r="A59" s="4" t="s">
        <v>295</v>
      </c>
      <c r="B59" s="8" t="s">
        <v>296</v>
      </c>
      <c r="C59" s="8" t="s">
        <v>58</v>
      </c>
      <c r="D59" s="8"/>
      <c r="E59" s="8" t="s">
        <v>60</v>
      </c>
      <c r="F59" s="8"/>
      <c r="G59" s="8"/>
      <c r="H59" s="8"/>
      <c r="I59" s="8" t="s">
        <v>297</v>
      </c>
      <c r="J59" s="8" t="s">
        <v>64</v>
      </c>
      <c r="K59" s="8" t="s">
        <v>101</v>
      </c>
      <c r="L59" s="8" t="s">
        <v>102</v>
      </c>
      <c r="M59" s="8"/>
      <c r="N59" s="8" t="s">
        <v>62</v>
      </c>
      <c r="O59" s="8" t="s">
        <v>63</v>
      </c>
      <c r="P59" s="4" t="n">
        <v>19</v>
      </c>
      <c r="Q59" s="8"/>
      <c r="R59" s="4" t="s">
        <v>298</v>
      </c>
      <c r="S59" s="4" t="n">
        <v>3282</v>
      </c>
    </row>
    <row r="60" customFormat="false" ht="26.85" hidden="false" customHeight="false" outlineLevel="0" collapsed="false">
      <c r="A60" s="4" t="s">
        <v>299</v>
      </c>
      <c r="B60" s="8" t="s">
        <v>300</v>
      </c>
      <c r="C60" s="8"/>
      <c r="D60" s="8"/>
      <c r="E60" s="8"/>
      <c r="F60" s="8"/>
      <c r="G60" s="8"/>
      <c r="H60" s="8"/>
      <c r="I60" s="8" t="s">
        <v>301</v>
      </c>
      <c r="J60" s="8" t="s">
        <v>64</v>
      </c>
      <c r="K60" s="8" t="s">
        <v>101</v>
      </c>
      <c r="L60" s="8" t="s">
        <v>102</v>
      </c>
      <c r="M60" s="8"/>
      <c r="N60" s="8" t="s">
        <v>62</v>
      </c>
      <c r="O60" s="8" t="s">
        <v>63</v>
      </c>
      <c r="P60" s="4" t="n">
        <v>19</v>
      </c>
      <c r="Q60" s="8"/>
      <c r="R60" s="4" t="s">
        <v>300</v>
      </c>
      <c r="S60" s="4"/>
    </row>
    <row r="61" customFormat="false" ht="26.85" hidden="false" customHeight="false" outlineLevel="0" collapsed="false">
      <c r="A61" s="4" t="s">
        <v>302</v>
      </c>
      <c r="B61" s="8" t="s">
        <v>303</v>
      </c>
      <c r="C61" s="8"/>
      <c r="D61" s="8"/>
      <c r="E61" s="8"/>
      <c r="F61" s="8"/>
      <c r="G61" s="8"/>
      <c r="H61" s="8"/>
      <c r="I61" s="8" t="s">
        <v>304</v>
      </c>
      <c r="J61" s="8" t="s">
        <v>64</v>
      </c>
      <c r="K61" s="8" t="s">
        <v>101</v>
      </c>
      <c r="L61" s="8" t="s">
        <v>102</v>
      </c>
      <c r="M61" s="8"/>
      <c r="N61" s="8" t="s">
        <v>62</v>
      </c>
      <c r="O61" s="8" t="s">
        <v>63</v>
      </c>
      <c r="P61" s="4" t="n">
        <v>19</v>
      </c>
      <c r="Q61" s="8"/>
      <c r="R61" s="4" t="s">
        <v>303</v>
      </c>
      <c r="S61" s="4"/>
    </row>
    <row r="62" customFormat="false" ht="26.85" hidden="false" customHeight="false" outlineLevel="0" collapsed="false">
      <c r="A62" s="4" t="s">
        <v>305</v>
      </c>
      <c r="B62" s="8" t="s">
        <v>306</v>
      </c>
      <c r="C62" s="8"/>
      <c r="D62" s="8"/>
      <c r="E62" s="8"/>
      <c r="F62" s="8"/>
      <c r="G62" s="8"/>
      <c r="H62" s="8"/>
      <c r="I62" s="8" t="s">
        <v>307</v>
      </c>
      <c r="J62" s="8" t="s">
        <v>64</v>
      </c>
      <c r="K62" s="8" t="s">
        <v>101</v>
      </c>
      <c r="L62" s="8" t="s">
        <v>102</v>
      </c>
      <c r="M62" s="8"/>
      <c r="N62" s="8" t="s">
        <v>62</v>
      </c>
      <c r="O62" s="8" t="s">
        <v>63</v>
      </c>
      <c r="P62" s="4" t="n">
        <v>19</v>
      </c>
      <c r="Q62" s="8"/>
      <c r="R62" s="4" t="s">
        <v>306</v>
      </c>
      <c r="S62" s="4"/>
    </row>
    <row r="63" customFormat="false" ht="26.85" hidden="false" customHeight="false" outlineLevel="0" collapsed="false">
      <c r="A63" s="4" t="s">
        <v>308</v>
      </c>
      <c r="B63" s="8" t="s">
        <v>309</v>
      </c>
      <c r="C63" s="8"/>
      <c r="D63" s="8"/>
      <c r="E63" s="8"/>
      <c r="F63" s="8"/>
      <c r="G63" s="8"/>
      <c r="H63" s="8"/>
      <c r="I63" s="8" t="s">
        <v>310</v>
      </c>
      <c r="J63" s="8" t="s">
        <v>64</v>
      </c>
      <c r="K63" s="8" t="s">
        <v>101</v>
      </c>
      <c r="L63" s="8" t="s">
        <v>102</v>
      </c>
      <c r="M63" s="8"/>
      <c r="N63" s="8" t="s">
        <v>62</v>
      </c>
      <c r="O63" s="8" t="s">
        <v>63</v>
      </c>
      <c r="P63" s="4" t="n">
        <v>19</v>
      </c>
      <c r="Q63" s="8"/>
      <c r="R63" s="4" t="s">
        <v>309</v>
      </c>
      <c r="S63" s="4"/>
    </row>
    <row r="64" customFormat="false" ht="26.85" hidden="false" customHeight="false" outlineLevel="0" collapsed="false">
      <c r="A64" s="4" t="s">
        <v>311</v>
      </c>
      <c r="B64" s="8" t="s">
        <v>312</v>
      </c>
      <c r="C64" s="8" t="s">
        <v>58</v>
      </c>
      <c r="D64" s="8"/>
      <c r="E64" s="8" t="s">
        <v>60</v>
      </c>
      <c r="F64" s="8"/>
      <c r="G64" s="8"/>
      <c r="H64" s="8"/>
      <c r="I64" s="8" t="s">
        <v>313</v>
      </c>
      <c r="J64" s="8" t="s">
        <v>64</v>
      </c>
      <c r="K64" s="8" t="s">
        <v>101</v>
      </c>
      <c r="L64" s="8" t="s">
        <v>102</v>
      </c>
      <c r="M64" s="8"/>
      <c r="N64" s="8" t="s">
        <v>62</v>
      </c>
      <c r="O64" s="8" t="s">
        <v>63</v>
      </c>
      <c r="P64" s="4" t="n">
        <v>19</v>
      </c>
      <c r="Q64" s="8"/>
      <c r="R64" s="4" t="s">
        <v>314</v>
      </c>
      <c r="S64" s="4" t="n">
        <v>928</v>
      </c>
    </row>
    <row r="65" customFormat="false" ht="26.85" hidden="false" customHeight="false" outlineLevel="0" collapsed="false">
      <c r="A65" s="4" t="s">
        <v>315</v>
      </c>
      <c r="B65" s="8" t="s">
        <v>316</v>
      </c>
      <c r="C65" s="8"/>
      <c r="D65" s="8"/>
      <c r="E65" s="8"/>
      <c r="F65" s="8"/>
      <c r="G65" s="8"/>
      <c r="H65" s="8"/>
      <c r="I65" s="8" t="s">
        <v>317</v>
      </c>
      <c r="J65" s="8" t="s">
        <v>64</v>
      </c>
      <c r="K65" s="8" t="s">
        <v>101</v>
      </c>
      <c r="L65" s="8" t="s">
        <v>102</v>
      </c>
      <c r="M65" s="8"/>
      <c r="N65" s="8" t="s">
        <v>62</v>
      </c>
      <c r="O65" s="8" t="s">
        <v>63</v>
      </c>
      <c r="P65" s="4" t="n">
        <v>19</v>
      </c>
      <c r="Q65" s="8"/>
      <c r="R65" s="4" t="s">
        <v>316</v>
      </c>
      <c r="S65" s="4"/>
    </row>
    <row r="66" customFormat="false" ht="26.85" hidden="false" customHeight="false" outlineLevel="0" collapsed="false">
      <c r="A66" s="4" t="s">
        <v>318</v>
      </c>
      <c r="B66" s="8" t="s">
        <v>319</v>
      </c>
      <c r="C66" s="8"/>
      <c r="D66" s="8"/>
      <c r="E66" s="8"/>
      <c r="F66" s="8"/>
      <c r="G66" s="8"/>
      <c r="H66" s="8"/>
      <c r="I66" s="8" t="s">
        <v>320</v>
      </c>
      <c r="J66" s="8" t="s">
        <v>64</v>
      </c>
      <c r="K66" s="8" t="s">
        <v>101</v>
      </c>
      <c r="L66" s="8" t="s">
        <v>102</v>
      </c>
      <c r="M66" s="8"/>
      <c r="N66" s="8" t="s">
        <v>62</v>
      </c>
      <c r="O66" s="8" t="s">
        <v>63</v>
      </c>
      <c r="P66" s="4" t="n">
        <v>19</v>
      </c>
      <c r="Q66" s="8"/>
      <c r="R66" s="4" t="s">
        <v>319</v>
      </c>
      <c r="S66" s="4"/>
    </row>
    <row r="67" customFormat="false" ht="26.85" hidden="false" customHeight="false" outlineLevel="0" collapsed="false">
      <c r="A67" s="4" t="s">
        <v>321</v>
      </c>
      <c r="B67" s="8" t="s">
        <v>322</v>
      </c>
      <c r="C67" s="8"/>
      <c r="D67" s="8"/>
      <c r="E67" s="8"/>
      <c r="F67" s="8"/>
      <c r="G67" s="8"/>
      <c r="H67" s="8"/>
      <c r="I67" s="8" t="s">
        <v>323</v>
      </c>
      <c r="J67" s="8" t="s">
        <v>64</v>
      </c>
      <c r="K67" s="8" t="s">
        <v>101</v>
      </c>
      <c r="L67" s="8" t="s">
        <v>102</v>
      </c>
      <c r="M67" s="8"/>
      <c r="N67" s="8" t="s">
        <v>62</v>
      </c>
      <c r="O67" s="8" t="s">
        <v>63</v>
      </c>
      <c r="P67" s="4" t="n">
        <v>19</v>
      </c>
      <c r="Q67" s="8"/>
      <c r="R67" s="4" t="s">
        <v>322</v>
      </c>
      <c r="S67" s="4"/>
    </row>
    <row r="68" customFormat="false" ht="26.85" hidden="false" customHeight="false" outlineLevel="0" collapsed="false">
      <c r="A68" s="4" t="s">
        <v>324</v>
      </c>
      <c r="B68" s="8" t="s">
        <v>325</v>
      </c>
      <c r="C68" s="8"/>
      <c r="D68" s="8"/>
      <c r="E68" s="8"/>
      <c r="F68" s="8"/>
      <c r="G68" s="8"/>
      <c r="H68" s="8"/>
      <c r="I68" s="8" t="s">
        <v>326</v>
      </c>
      <c r="J68" s="8" t="s">
        <v>64</v>
      </c>
      <c r="K68" s="8" t="s">
        <v>101</v>
      </c>
      <c r="L68" s="8" t="s">
        <v>102</v>
      </c>
      <c r="M68" s="8"/>
      <c r="N68" s="8" t="s">
        <v>62</v>
      </c>
      <c r="O68" s="8" t="s">
        <v>63</v>
      </c>
      <c r="P68" s="4" t="n">
        <v>19</v>
      </c>
      <c r="Q68" s="8"/>
      <c r="R68" s="4" t="s">
        <v>325</v>
      </c>
      <c r="S68" s="4"/>
    </row>
    <row r="69" customFormat="false" ht="26.85" hidden="false" customHeight="false" outlineLevel="0" collapsed="false">
      <c r="A69" s="4" t="s">
        <v>327</v>
      </c>
      <c r="B69" s="8" t="s">
        <v>328</v>
      </c>
      <c r="C69" s="8" t="s">
        <v>58</v>
      </c>
      <c r="D69" s="8"/>
      <c r="E69" s="8" t="s">
        <v>60</v>
      </c>
      <c r="F69" s="8"/>
      <c r="G69" s="8"/>
      <c r="H69" s="8"/>
      <c r="I69" s="8" t="s">
        <v>329</v>
      </c>
      <c r="J69" s="8" t="s">
        <v>64</v>
      </c>
      <c r="K69" s="8" t="s">
        <v>101</v>
      </c>
      <c r="L69" s="8" t="s">
        <v>102</v>
      </c>
      <c r="M69" s="8"/>
      <c r="N69" s="8" t="s">
        <v>62</v>
      </c>
      <c r="O69" s="8" t="s">
        <v>63</v>
      </c>
      <c r="P69" s="4" t="n">
        <v>19</v>
      </c>
      <c r="Q69" s="8"/>
      <c r="R69" s="4" t="s">
        <v>330</v>
      </c>
      <c r="S69" s="4" t="n">
        <v>629</v>
      </c>
    </row>
    <row r="70" customFormat="false" ht="26.85" hidden="false" customHeight="false" outlineLevel="0" collapsed="false">
      <c r="A70" s="4" t="s">
        <v>331</v>
      </c>
      <c r="B70" s="8" t="s">
        <v>332</v>
      </c>
      <c r="C70" s="8"/>
      <c r="D70" s="8"/>
      <c r="E70" s="8"/>
      <c r="F70" s="8"/>
      <c r="G70" s="8"/>
      <c r="H70" s="8"/>
      <c r="I70" s="8" t="s">
        <v>333</v>
      </c>
      <c r="J70" s="8" t="s">
        <v>64</v>
      </c>
      <c r="K70" s="8" t="s">
        <v>101</v>
      </c>
      <c r="L70" s="8" t="s">
        <v>102</v>
      </c>
      <c r="M70" s="8"/>
      <c r="N70" s="8" t="s">
        <v>62</v>
      </c>
      <c r="O70" s="8" t="s">
        <v>63</v>
      </c>
      <c r="P70" s="4" t="n">
        <v>19</v>
      </c>
      <c r="Q70" s="8"/>
      <c r="R70" s="4" t="s">
        <v>332</v>
      </c>
      <c r="S70" s="4"/>
    </row>
    <row r="71" customFormat="false" ht="26.85" hidden="false" customHeight="false" outlineLevel="0" collapsed="false">
      <c r="A71" s="4" t="s">
        <v>334</v>
      </c>
      <c r="B71" s="8" t="s">
        <v>335</v>
      </c>
      <c r="C71" s="8" t="s">
        <v>58</v>
      </c>
      <c r="D71" s="8"/>
      <c r="E71" s="8" t="s">
        <v>60</v>
      </c>
      <c r="F71" s="8"/>
      <c r="G71" s="8"/>
      <c r="H71" s="8"/>
      <c r="I71" s="8" t="s">
        <v>336</v>
      </c>
      <c r="J71" s="8" t="s">
        <v>64</v>
      </c>
      <c r="K71" s="8" t="s">
        <v>101</v>
      </c>
      <c r="L71" s="8" t="s">
        <v>102</v>
      </c>
      <c r="M71" s="8"/>
      <c r="N71" s="8" t="s">
        <v>62</v>
      </c>
      <c r="O71" s="8" t="s">
        <v>63</v>
      </c>
      <c r="P71" s="4" t="n">
        <v>19</v>
      </c>
      <c r="Q71" s="8"/>
      <c r="R71" s="4" t="s">
        <v>337</v>
      </c>
      <c r="S71" s="4" t="n">
        <v>64</v>
      </c>
    </row>
    <row r="72" customFormat="false" ht="26.85" hidden="false" customHeight="false" outlineLevel="0" collapsed="false">
      <c r="A72" s="4" t="s">
        <v>338</v>
      </c>
      <c r="B72" s="8" t="s">
        <v>339</v>
      </c>
      <c r="C72" s="8"/>
      <c r="D72" s="8"/>
      <c r="E72" s="8"/>
      <c r="F72" s="8"/>
      <c r="G72" s="8"/>
      <c r="H72" s="8"/>
      <c r="I72" s="8" t="s">
        <v>340</v>
      </c>
      <c r="J72" s="8" t="s">
        <v>64</v>
      </c>
      <c r="K72" s="8" t="s">
        <v>101</v>
      </c>
      <c r="L72" s="8" t="s">
        <v>102</v>
      </c>
      <c r="M72" s="8"/>
      <c r="N72" s="8" t="s">
        <v>62</v>
      </c>
      <c r="O72" s="8" t="s">
        <v>63</v>
      </c>
      <c r="P72" s="4" t="n">
        <v>19</v>
      </c>
      <c r="Q72" s="8"/>
      <c r="R72" s="4" t="s">
        <v>339</v>
      </c>
      <c r="S72" s="4"/>
    </row>
    <row r="73" customFormat="false" ht="26.85" hidden="false" customHeight="false" outlineLevel="0" collapsed="false">
      <c r="A73" s="4" t="s">
        <v>341</v>
      </c>
      <c r="B73" s="8" t="s">
        <v>342</v>
      </c>
      <c r="C73" s="8" t="s">
        <v>58</v>
      </c>
      <c r="D73" s="8"/>
      <c r="E73" s="8" t="s">
        <v>60</v>
      </c>
      <c r="F73" s="8"/>
      <c r="G73" s="8"/>
      <c r="H73" s="8"/>
      <c r="I73" s="8" t="s">
        <v>343</v>
      </c>
      <c r="J73" s="8" t="s">
        <v>64</v>
      </c>
      <c r="K73" s="8" t="s">
        <v>101</v>
      </c>
      <c r="L73" s="8" t="s">
        <v>102</v>
      </c>
      <c r="M73" s="8"/>
      <c r="N73" s="8" t="s">
        <v>62</v>
      </c>
      <c r="O73" s="8" t="s">
        <v>63</v>
      </c>
      <c r="P73" s="4" t="n">
        <v>19</v>
      </c>
      <c r="Q73" s="8"/>
      <c r="R73" s="4" t="s">
        <v>344</v>
      </c>
      <c r="S73" s="4" t="n">
        <v>699</v>
      </c>
    </row>
    <row r="74" customFormat="false" ht="26.85" hidden="false" customHeight="false" outlineLevel="0" collapsed="false">
      <c r="A74" s="4" t="s">
        <v>345</v>
      </c>
      <c r="B74" s="8" t="s">
        <v>346</v>
      </c>
      <c r="C74" s="8" t="s">
        <v>58</v>
      </c>
      <c r="D74" s="8"/>
      <c r="E74" s="8" t="s">
        <v>60</v>
      </c>
      <c r="F74" s="8"/>
      <c r="G74" s="8"/>
      <c r="H74" s="8"/>
      <c r="I74" s="8" t="s">
        <v>347</v>
      </c>
      <c r="J74" s="8" t="s">
        <v>64</v>
      </c>
      <c r="K74" s="8" t="s">
        <v>101</v>
      </c>
      <c r="L74" s="8" t="s">
        <v>102</v>
      </c>
      <c r="M74" s="8"/>
      <c r="N74" s="8" t="s">
        <v>62</v>
      </c>
      <c r="O74" s="8" t="s">
        <v>63</v>
      </c>
      <c r="P74" s="4" t="n">
        <v>19</v>
      </c>
      <c r="Q74" s="8"/>
      <c r="R74" s="4" t="s">
        <v>348</v>
      </c>
      <c r="S74" s="4" t="n">
        <v>6828</v>
      </c>
    </row>
    <row r="75" customFormat="false" ht="26.85" hidden="false" customHeight="false" outlineLevel="0" collapsed="false">
      <c r="A75" s="4" t="s">
        <v>349</v>
      </c>
      <c r="B75" s="8" t="s">
        <v>350</v>
      </c>
      <c r="C75" s="8"/>
      <c r="D75" s="8"/>
      <c r="E75" s="8"/>
      <c r="F75" s="8"/>
      <c r="G75" s="8"/>
      <c r="H75" s="8"/>
      <c r="I75" s="8" t="s">
        <v>351</v>
      </c>
      <c r="J75" s="8" t="s">
        <v>64</v>
      </c>
      <c r="K75" s="8" t="s">
        <v>101</v>
      </c>
      <c r="L75" s="8" t="s">
        <v>102</v>
      </c>
      <c r="M75" s="8"/>
      <c r="N75" s="8" t="s">
        <v>62</v>
      </c>
      <c r="O75" s="8" t="s">
        <v>63</v>
      </c>
      <c r="P75" s="4" t="n">
        <v>19</v>
      </c>
      <c r="Q75" s="8"/>
      <c r="R75" s="4" t="s">
        <v>350</v>
      </c>
      <c r="S75" s="4" t="n">
        <v>669</v>
      </c>
    </row>
    <row r="76" customFormat="false" ht="26.85" hidden="false" customHeight="false" outlineLevel="0" collapsed="false">
      <c r="A76" s="4" t="s">
        <v>352</v>
      </c>
      <c r="B76" s="8" t="s">
        <v>353</v>
      </c>
      <c r="C76" s="8"/>
      <c r="D76" s="8"/>
      <c r="E76" s="8"/>
      <c r="F76" s="8"/>
      <c r="G76" s="8"/>
      <c r="H76" s="8"/>
      <c r="I76" s="8" t="s">
        <v>354</v>
      </c>
      <c r="J76" s="8" t="s">
        <v>64</v>
      </c>
      <c r="K76" s="8" t="s">
        <v>101</v>
      </c>
      <c r="L76" s="8" t="s">
        <v>102</v>
      </c>
      <c r="M76" s="8"/>
      <c r="N76" s="8" t="s">
        <v>62</v>
      </c>
      <c r="O76" s="8" t="s">
        <v>63</v>
      </c>
      <c r="P76" s="4" t="n">
        <v>19</v>
      </c>
      <c r="Q76" s="8"/>
      <c r="R76" s="4" t="s">
        <v>353</v>
      </c>
      <c r="S76" s="4" t="n">
        <v>909</v>
      </c>
    </row>
    <row r="77" customFormat="false" ht="26.85" hidden="false" customHeight="false" outlineLevel="0" collapsed="false">
      <c r="A77" s="4" t="s">
        <v>355</v>
      </c>
      <c r="B77" s="8" t="s">
        <v>356</v>
      </c>
      <c r="C77" s="8" t="s">
        <v>58</v>
      </c>
      <c r="D77" s="8"/>
      <c r="E77" s="8" t="s">
        <v>60</v>
      </c>
      <c r="F77" s="8"/>
      <c r="G77" s="8"/>
      <c r="H77" s="8"/>
      <c r="I77" s="8" t="s">
        <v>357</v>
      </c>
      <c r="J77" s="8" t="s">
        <v>64</v>
      </c>
      <c r="K77" s="8" t="s">
        <v>101</v>
      </c>
      <c r="L77" s="8" t="s">
        <v>102</v>
      </c>
      <c r="M77" s="8"/>
      <c r="N77" s="8" t="s">
        <v>62</v>
      </c>
      <c r="O77" s="8" t="s">
        <v>63</v>
      </c>
      <c r="P77" s="4" t="n">
        <v>19</v>
      </c>
      <c r="Q77" s="8"/>
      <c r="R77" s="4" t="s">
        <v>358</v>
      </c>
      <c r="S77" s="4" t="n">
        <v>200</v>
      </c>
    </row>
    <row r="78" customFormat="false" ht="26.85" hidden="false" customHeight="false" outlineLevel="0" collapsed="false">
      <c r="A78" s="4" t="s">
        <v>359</v>
      </c>
      <c r="B78" s="8" t="s">
        <v>360</v>
      </c>
      <c r="C78" s="8" t="s">
        <v>58</v>
      </c>
      <c r="D78" s="8"/>
      <c r="E78" s="8" t="s">
        <v>60</v>
      </c>
      <c r="F78" s="8"/>
      <c r="G78" s="8"/>
      <c r="H78" s="8"/>
      <c r="I78" s="8" t="s">
        <v>361</v>
      </c>
      <c r="J78" s="8" t="s">
        <v>64</v>
      </c>
      <c r="K78" s="8" t="s">
        <v>101</v>
      </c>
      <c r="L78" s="8" t="s">
        <v>102</v>
      </c>
      <c r="M78" s="8"/>
      <c r="N78" s="8" t="s">
        <v>62</v>
      </c>
      <c r="O78" s="8" t="s">
        <v>63</v>
      </c>
      <c r="P78" s="4" t="n">
        <v>19</v>
      </c>
      <c r="Q78" s="8"/>
      <c r="R78" s="4" t="s">
        <v>362</v>
      </c>
      <c r="S78" s="4"/>
    </row>
    <row r="79" customFormat="false" ht="26.85" hidden="false" customHeight="false" outlineLevel="0" collapsed="false">
      <c r="A79" s="4" t="s">
        <v>363</v>
      </c>
      <c r="B79" s="8" t="s">
        <v>364</v>
      </c>
      <c r="C79" s="8" t="s">
        <v>58</v>
      </c>
      <c r="D79" s="8"/>
      <c r="E79" s="8" t="s">
        <v>60</v>
      </c>
      <c r="F79" s="8"/>
      <c r="G79" s="8"/>
      <c r="H79" s="8"/>
      <c r="I79" s="8" t="s">
        <v>365</v>
      </c>
      <c r="J79" s="8" t="s">
        <v>64</v>
      </c>
      <c r="K79" s="8" t="s">
        <v>101</v>
      </c>
      <c r="L79" s="8" t="s">
        <v>102</v>
      </c>
      <c r="M79" s="8"/>
      <c r="N79" s="8" t="s">
        <v>62</v>
      </c>
      <c r="O79" s="8" t="s">
        <v>63</v>
      </c>
      <c r="P79" s="4" t="n">
        <v>19</v>
      </c>
      <c r="Q79" s="8"/>
      <c r="R79" s="4" t="s">
        <v>366</v>
      </c>
      <c r="S79" s="4"/>
    </row>
    <row r="80" customFormat="false" ht="26.85" hidden="false" customHeight="false" outlineLevel="0" collapsed="false">
      <c r="A80" s="4" t="s">
        <v>367</v>
      </c>
      <c r="B80" s="8" t="s">
        <v>368</v>
      </c>
      <c r="C80" s="8"/>
      <c r="D80" s="8"/>
      <c r="E80" s="8"/>
      <c r="F80" s="8"/>
      <c r="G80" s="8"/>
      <c r="H80" s="8"/>
      <c r="I80" s="8" t="s">
        <v>369</v>
      </c>
      <c r="J80" s="8" t="s">
        <v>64</v>
      </c>
      <c r="K80" s="8" t="s">
        <v>101</v>
      </c>
      <c r="L80" s="8" t="s">
        <v>102</v>
      </c>
      <c r="M80" s="8"/>
      <c r="N80" s="8" t="s">
        <v>62</v>
      </c>
      <c r="O80" s="8" t="s">
        <v>63</v>
      </c>
      <c r="P80" s="4" t="n">
        <v>19</v>
      </c>
      <c r="Q80" s="8"/>
      <c r="R80" s="4" t="s">
        <v>368</v>
      </c>
      <c r="S80" s="4"/>
    </row>
    <row r="81" customFormat="false" ht="26.85" hidden="false" customHeight="false" outlineLevel="0" collapsed="false">
      <c r="A81" s="4" t="s">
        <v>370</v>
      </c>
      <c r="B81" s="8" t="s">
        <v>371</v>
      </c>
      <c r="C81" s="8"/>
      <c r="D81" s="8"/>
      <c r="E81" s="8"/>
      <c r="F81" s="8"/>
      <c r="G81" s="8"/>
      <c r="H81" s="8"/>
      <c r="I81" s="8" t="s">
        <v>372</v>
      </c>
      <c r="J81" s="8" t="s">
        <v>64</v>
      </c>
      <c r="K81" s="8" t="s">
        <v>101</v>
      </c>
      <c r="L81" s="8" t="s">
        <v>102</v>
      </c>
      <c r="M81" s="8"/>
      <c r="N81" s="8" t="s">
        <v>62</v>
      </c>
      <c r="O81" s="8" t="s">
        <v>63</v>
      </c>
      <c r="P81" s="4" t="n">
        <v>19</v>
      </c>
      <c r="Q81" s="8"/>
      <c r="R81" s="4" t="s">
        <v>371</v>
      </c>
      <c r="S81" s="4" t="n">
        <v>40</v>
      </c>
    </row>
    <row r="82" customFormat="false" ht="26.85" hidden="false" customHeight="false" outlineLevel="0" collapsed="false">
      <c r="A82" s="4" t="s">
        <v>373</v>
      </c>
      <c r="B82" s="8" t="s">
        <v>374</v>
      </c>
      <c r="C82" s="8" t="s">
        <v>58</v>
      </c>
      <c r="D82" s="8"/>
      <c r="E82" s="8" t="s">
        <v>60</v>
      </c>
      <c r="F82" s="8"/>
      <c r="G82" s="8"/>
      <c r="H82" s="8"/>
      <c r="I82" s="8" t="s">
        <v>375</v>
      </c>
      <c r="J82" s="8" t="s">
        <v>64</v>
      </c>
      <c r="K82" s="8" t="s">
        <v>101</v>
      </c>
      <c r="L82" s="8" t="s">
        <v>102</v>
      </c>
      <c r="M82" s="8"/>
      <c r="N82" s="8" t="s">
        <v>62</v>
      </c>
      <c r="O82" s="8" t="s">
        <v>63</v>
      </c>
      <c r="P82" s="4" t="n">
        <v>19</v>
      </c>
      <c r="Q82" s="8"/>
      <c r="R82" s="4" t="s">
        <v>376</v>
      </c>
      <c r="S82" s="4" t="n">
        <v>381</v>
      </c>
    </row>
    <row r="83" customFormat="false" ht="26.85" hidden="false" customHeight="false" outlineLevel="0" collapsed="false">
      <c r="A83" s="4" t="s">
        <v>377</v>
      </c>
      <c r="B83" s="8" t="s">
        <v>378</v>
      </c>
      <c r="C83" s="8"/>
      <c r="D83" s="8"/>
      <c r="E83" s="8"/>
      <c r="F83" s="8"/>
      <c r="G83" s="8"/>
      <c r="H83" s="8"/>
      <c r="I83" s="8" t="s">
        <v>379</v>
      </c>
      <c r="J83" s="8" t="s">
        <v>64</v>
      </c>
      <c r="K83" s="8" t="s">
        <v>101</v>
      </c>
      <c r="L83" s="8" t="s">
        <v>102</v>
      </c>
      <c r="M83" s="8"/>
      <c r="N83" s="8" t="s">
        <v>62</v>
      </c>
      <c r="O83" s="8" t="s">
        <v>63</v>
      </c>
      <c r="P83" s="4" t="n">
        <v>19</v>
      </c>
      <c r="Q83" s="8"/>
      <c r="R83" s="4" t="s">
        <v>378</v>
      </c>
      <c r="S83" s="4" t="n">
        <v>1245</v>
      </c>
    </row>
    <row r="84" customFormat="false" ht="26.85" hidden="false" customHeight="false" outlineLevel="0" collapsed="false">
      <c r="A84" s="4" t="s">
        <v>380</v>
      </c>
      <c r="B84" s="8" t="s">
        <v>381</v>
      </c>
      <c r="C84" s="8" t="s">
        <v>58</v>
      </c>
      <c r="D84" s="8"/>
      <c r="E84" s="8" t="s">
        <v>60</v>
      </c>
      <c r="F84" s="8"/>
      <c r="G84" s="8"/>
      <c r="H84" s="8"/>
      <c r="I84" s="8" t="s">
        <v>382</v>
      </c>
      <c r="J84" s="8" t="s">
        <v>64</v>
      </c>
      <c r="K84" s="8" t="s">
        <v>101</v>
      </c>
      <c r="L84" s="8" t="s">
        <v>102</v>
      </c>
      <c r="M84" s="8"/>
      <c r="N84" s="8" t="s">
        <v>62</v>
      </c>
      <c r="O84" s="8" t="s">
        <v>63</v>
      </c>
      <c r="P84" s="4" t="n">
        <v>19</v>
      </c>
      <c r="Q84" s="8"/>
      <c r="R84" s="4" t="s">
        <v>383</v>
      </c>
      <c r="S84" s="4" t="n">
        <v>3219</v>
      </c>
    </row>
    <row r="85" customFormat="false" ht="26.85" hidden="false" customHeight="false" outlineLevel="0" collapsed="false">
      <c r="A85" s="4" t="s">
        <v>384</v>
      </c>
      <c r="B85" s="8" t="s">
        <v>385</v>
      </c>
      <c r="C85" s="8"/>
      <c r="D85" s="8"/>
      <c r="E85" s="8"/>
      <c r="F85" s="8"/>
      <c r="G85" s="8"/>
      <c r="H85" s="8"/>
      <c r="I85" s="8" t="s">
        <v>386</v>
      </c>
      <c r="J85" s="8" t="s">
        <v>64</v>
      </c>
      <c r="K85" s="8" t="s">
        <v>101</v>
      </c>
      <c r="L85" s="8" t="s">
        <v>102</v>
      </c>
      <c r="M85" s="8"/>
      <c r="N85" s="8" t="s">
        <v>62</v>
      </c>
      <c r="O85" s="8" t="s">
        <v>63</v>
      </c>
      <c r="P85" s="4" t="n">
        <v>19</v>
      </c>
      <c r="Q85" s="8"/>
      <c r="R85" s="4" t="s">
        <v>385</v>
      </c>
      <c r="S85" s="4"/>
    </row>
    <row r="86" customFormat="false" ht="26.85" hidden="false" customHeight="false" outlineLevel="0" collapsed="false">
      <c r="A86" s="4" t="s">
        <v>387</v>
      </c>
      <c r="B86" s="8" t="s">
        <v>388</v>
      </c>
      <c r="C86" s="8"/>
      <c r="D86" s="8"/>
      <c r="E86" s="8"/>
      <c r="F86" s="8"/>
      <c r="G86" s="8"/>
      <c r="H86" s="8"/>
      <c r="I86" s="8" t="s">
        <v>389</v>
      </c>
      <c r="J86" s="8" t="s">
        <v>64</v>
      </c>
      <c r="K86" s="8" t="s">
        <v>101</v>
      </c>
      <c r="L86" s="8" t="s">
        <v>102</v>
      </c>
      <c r="M86" s="8"/>
      <c r="N86" s="8" t="s">
        <v>62</v>
      </c>
      <c r="O86" s="8" t="s">
        <v>63</v>
      </c>
      <c r="P86" s="4" t="n">
        <v>19</v>
      </c>
      <c r="Q86" s="8"/>
      <c r="R86" s="4" t="s">
        <v>388</v>
      </c>
      <c r="S86" s="4"/>
    </row>
    <row r="87" customFormat="false" ht="26.85" hidden="false" customHeight="false" outlineLevel="0" collapsed="false">
      <c r="A87" s="4" t="s">
        <v>390</v>
      </c>
      <c r="B87" s="8" t="s">
        <v>391</v>
      </c>
      <c r="C87" s="8" t="s">
        <v>58</v>
      </c>
      <c r="D87" s="8"/>
      <c r="E87" s="8" t="s">
        <v>60</v>
      </c>
      <c r="F87" s="8"/>
      <c r="G87" s="8"/>
      <c r="H87" s="8"/>
      <c r="I87" s="8" t="s">
        <v>392</v>
      </c>
      <c r="J87" s="8" t="s">
        <v>64</v>
      </c>
      <c r="K87" s="8" t="s">
        <v>101</v>
      </c>
      <c r="L87" s="8" t="s">
        <v>102</v>
      </c>
      <c r="M87" s="8"/>
      <c r="N87" s="8" t="s">
        <v>62</v>
      </c>
      <c r="O87" s="8" t="s">
        <v>63</v>
      </c>
      <c r="P87" s="4" t="n">
        <v>19</v>
      </c>
      <c r="Q87" s="8"/>
      <c r="R87" s="4" t="s">
        <v>393</v>
      </c>
      <c r="S87" s="4" t="n">
        <v>7988</v>
      </c>
    </row>
    <row r="88" customFormat="false" ht="26.85" hidden="false" customHeight="false" outlineLevel="0" collapsed="false">
      <c r="A88" s="4" t="s">
        <v>394</v>
      </c>
      <c r="B88" s="8" t="s">
        <v>395</v>
      </c>
      <c r="C88" s="8"/>
      <c r="D88" s="8"/>
      <c r="E88" s="8"/>
      <c r="F88" s="8"/>
      <c r="G88" s="8"/>
      <c r="H88" s="8"/>
      <c r="I88" s="8" t="s">
        <v>396</v>
      </c>
      <c r="J88" s="8" t="s">
        <v>64</v>
      </c>
      <c r="K88" s="8" t="s">
        <v>101</v>
      </c>
      <c r="L88" s="8" t="s">
        <v>102</v>
      </c>
      <c r="M88" s="8"/>
      <c r="N88" s="8" t="s">
        <v>62</v>
      </c>
      <c r="O88" s="8" t="s">
        <v>63</v>
      </c>
      <c r="P88" s="4" t="n">
        <v>20</v>
      </c>
      <c r="Q88" s="8"/>
      <c r="R88" s="4" t="s">
        <v>395</v>
      </c>
      <c r="S88" s="4"/>
    </row>
    <row r="89" customFormat="false" ht="26.85" hidden="false" customHeight="false" outlineLevel="0" collapsed="false">
      <c r="A89" s="4" t="s">
        <v>397</v>
      </c>
      <c r="B89" s="8" t="s">
        <v>398</v>
      </c>
      <c r="C89" s="8"/>
      <c r="D89" s="8"/>
      <c r="E89" s="8"/>
      <c r="F89" s="8"/>
      <c r="G89" s="8"/>
      <c r="H89" s="8"/>
      <c r="I89" s="8" t="s">
        <v>399</v>
      </c>
      <c r="J89" s="8" t="s">
        <v>64</v>
      </c>
      <c r="K89" s="8" t="s">
        <v>101</v>
      </c>
      <c r="L89" s="8" t="s">
        <v>102</v>
      </c>
      <c r="M89" s="8"/>
      <c r="N89" s="8" t="s">
        <v>62</v>
      </c>
      <c r="O89" s="8" t="s">
        <v>63</v>
      </c>
      <c r="P89" s="4" t="n">
        <v>20</v>
      </c>
      <c r="Q89" s="8"/>
      <c r="R89" s="4" t="s">
        <v>398</v>
      </c>
      <c r="S89" s="4" t="n">
        <v>1583</v>
      </c>
    </row>
    <row r="90" customFormat="false" ht="26.85" hidden="false" customHeight="false" outlineLevel="0" collapsed="false">
      <c r="A90" s="4" t="s">
        <v>400</v>
      </c>
      <c r="B90" s="8" t="s">
        <v>401</v>
      </c>
      <c r="C90" s="8" t="s">
        <v>58</v>
      </c>
      <c r="D90" s="8"/>
      <c r="E90" s="8" t="s">
        <v>60</v>
      </c>
      <c r="F90" s="8"/>
      <c r="G90" s="8"/>
      <c r="H90" s="8"/>
      <c r="I90" s="8" t="s">
        <v>402</v>
      </c>
      <c r="J90" s="8" t="s">
        <v>64</v>
      </c>
      <c r="K90" s="8" t="s">
        <v>101</v>
      </c>
      <c r="L90" s="8" t="s">
        <v>102</v>
      </c>
      <c r="M90" s="8"/>
      <c r="N90" s="8" t="s">
        <v>62</v>
      </c>
      <c r="O90" s="8" t="s">
        <v>63</v>
      </c>
      <c r="P90" s="4" t="n">
        <v>20</v>
      </c>
      <c r="Q90" s="8"/>
      <c r="R90" s="4" t="s">
        <v>403</v>
      </c>
      <c r="S90" s="4" t="n">
        <v>755</v>
      </c>
    </row>
    <row r="91" customFormat="false" ht="26.85" hidden="false" customHeight="false" outlineLevel="0" collapsed="false">
      <c r="A91" s="4" t="s">
        <v>404</v>
      </c>
      <c r="B91" s="8" t="s">
        <v>405</v>
      </c>
      <c r="C91" s="8"/>
      <c r="D91" s="8"/>
      <c r="E91" s="8"/>
      <c r="F91" s="8"/>
      <c r="G91" s="8"/>
      <c r="H91" s="8"/>
      <c r="I91" s="8" t="s">
        <v>406</v>
      </c>
      <c r="J91" s="8" t="s">
        <v>64</v>
      </c>
      <c r="K91" s="8" t="s">
        <v>101</v>
      </c>
      <c r="L91" s="8" t="s">
        <v>102</v>
      </c>
      <c r="M91" s="8"/>
      <c r="N91" s="8" t="s">
        <v>62</v>
      </c>
      <c r="O91" s="8" t="s">
        <v>63</v>
      </c>
      <c r="P91" s="4" t="n">
        <v>20</v>
      </c>
      <c r="Q91" s="8"/>
      <c r="R91" s="4" t="s">
        <v>405</v>
      </c>
      <c r="S91" s="4"/>
    </row>
    <row r="92" customFormat="false" ht="26.85" hidden="false" customHeight="false" outlineLevel="0" collapsed="false">
      <c r="A92" s="4" t="s">
        <v>407</v>
      </c>
      <c r="B92" s="8" t="s">
        <v>408</v>
      </c>
      <c r="C92" s="8" t="s">
        <v>58</v>
      </c>
      <c r="D92" s="8"/>
      <c r="E92" s="8" t="s">
        <v>60</v>
      </c>
      <c r="F92" s="8"/>
      <c r="G92" s="8"/>
      <c r="H92" s="8"/>
      <c r="I92" s="8" t="s">
        <v>409</v>
      </c>
      <c r="J92" s="8" t="s">
        <v>64</v>
      </c>
      <c r="K92" s="8" t="s">
        <v>101</v>
      </c>
      <c r="L92" s="8" t="s">
        <v>102</v>
      </c>
      <c r="M92" s="8"/>
      <c r="N92" s="8" t="s">
        <v>62</v>
      </c>
      <c r="O92" s="8" t="s">
        <v>63</v>
      </c>
      <c r="P92" s="4" t="n">
        <v>20</v>
      </c>
      <c r="Q92" s="8"/>
      <c r="R92" s="4" t="s">
        <v>410</v>
      </c>
      <c r="S92" s="4" t="n">
        <v>1438</v>
      </c>
    </row>
    <row r="93" customFormat="false" ht="26.85" hidden="false" customHeight="false" outlineLevel="0" collapsed="false">
      <c r="A93" s="4" t="s">
        <v>411</v>
      </c>
      <c r="B93" s="8" t="s">
        <v>412</v>
      </c>
      <c r="C93" s="8"/>
      <c r="D93" s="8"/>
      <c r="E93" s="8"/>
      <c r="F93" s="8"/>
      <c r="G93" s="8"/>
      <c r="H93" s="8"/>
      <c r="I93" s="8" t="s">
        <v>413</v>
      </c>
      <c r="J93" s="8" t="s">
        <v>64</v>
      </c>
      <c r="K93" s="8" t="s">
        <v>101</v>
      </c>
      <c r="L93" s="8" t="s">
        <v>102</v>
      </c>
      <c r="M93" s="8"/>
      <c r="N93" s="8" t="s">
        <v>62</v>
      </c>
      <c r="O93" s="8" t="s">
        <v>63</v>
      </c>
      <c r="P93" s="4" t="n">
        <v>20</v>
      </c>
      <c r="Q93" s="8"/>
      <c r="R93" s="4" t="s">
        <v>412</v>
      </c>
      <c r="S93" s="4"/>
    </row>
    <row r="94" customFormat="false" ht="26.85" hidden="false" customHeight="false" outlineLevel="0" collapsed="false">
      <c r="A94" s="4" t="s">
        <v>414</v>
      </c>
      <c r="B94" s="8" t="s">
        <v>415</v>
      </c>
      <c r="C94" s="8"/>
      <c r="D94" s="8"/>
      <c r="E94" s="8"/>
      <c r="F94" s="8"/>
      <c r="G94" s="8"/>
      <c r="H94" s="8"/>
      <c r="I94" s="8" t="s">
        <v>416</v>
      </c>
      <c r="J94" s="8" t="s">
        <v>64</v>
      </c>
      <c r="K94" s="8" t="s">
        <v>101</v>
      </c>
      <c r="L94" s="8" t="s">
        <v>102</v>
      </c>
      <c r="M94" s="8"/>
      <c r="N94" s="8" t="s">
        <v>62</v>
      </c>
      <c r="O94" s="8" t="s">
        <v>63</v>
      </c>
      <c r="P94" s="4" t="n">
        <v>20</v>
      </c>
      <c r="Q94" s="8"/>
      <c r="R94" s="4" t="s">
        <v>415</v>
      </c>
      <c r="S94" s="4"/>
    </row>
    <row r="95" customFormat="false" ht="26.85" hidden="false" customHeight="false" outlineLevel="0" collapsed="false">
      <c r="A95" s="4" t="s">
        <v>417</v>
      </c>
      <c r="B95" s="8" t="s">
        <v>418</v>
      </c>
      <c r="C95" s="8" t="s">
        <v>58</v>
      </c>
      <c r="D95" s="8"/>
      <c r="E95" s="8" t="s">
        <v>60</v>
      </c>
      <c r="F95" s="8"/>
      <c r="G95" s="8"/>
      <c r="H95" s="8"/>
      <c r="I95" s="8" t="s">
        <v>419</v>
      </c>
      <c r="J95" s="8" t="s">
        <v>64</v>
      </c>
      <c r="K95" s="8" t="s">
        <v>101</v>
      </c>
      <c r="L95" s="8" t="s">
        <v>102</v>
      </c>
      <c r="M95" s="8"/>
      <c r="N95" s="8" t="s">
        <v>62</v>
      </c>
      <c r="O95" s="8" t="s">
        <v>63</v>
      </c>
      <c r="P95" s="4" t="n">
        <v>20</v>
      </c>
      <c r="Q95" s="8"/>
      <c r="R95" s="4" t="s">
        <v>420</v>
      </c>
      <c r="S95" s="4" t="n">
        <v>964</v>
      </c>
    </row>
    <row r="96" customFormat="false" ht="26.85" hidden="false" customHeight="false" outlineLevel="0" collapsed="false">
      <c r="A96" s="4" t="s">
        <v>421</v>
      </c>
      <c r="B96" s="8" t="s">
        <v>422</v>
      </c>
      <c r="C96" s="8"/>
      <c r="D96" s="8"/>
      <c r="E96" s="8"/>
      <c r="F96" s="8"/>
      <c r="G96" s="8"/>
      <c r="H96" s="8"/>
      <c r="I96" s="8" t="s">
        <v>423</v>
      </c>
      <c r="J96" s="8" t="s">
        <v>64</v>
      </c>
      <c r="K96" s="8" t="s">
        <v>101</v>
      </c>
      <c r="L96" s="8" t="s">
        <v>102</v>
      </c>
      <c r="M96" s="8"/>
      <c r="N96" s="8" t="s">
        <v>62</v>
      </c>
      <c r="O96" s="8" t="s">
        <v>63</v>
      </c>
      <c r="P96" s="4" t="n">
        <v>20</v>
      </c>
      <c r="Q96" s="8"/>
      <c r="R96" s="4" t="s">
        <v>422</v>
      </c>
      <c r="S96" s="4"/>
    </row>
    <row r="97" customFormat="false" ht="26.85" hidden="false" customHeight="false" outlineLevel="0" collapsed="false">
      <c r="A97" s="4" t="s">
        <v>424</v>
      </c>
      <c r="B97" s="8" t="s">
        <v>425</v>
      </c>
      <c r="C97" s="8"/>
      <c r="D97" s="8"/>
      <c r="E97" s="8"/>
      <c r="F97" s="8"/>
      <c r="G97" s="8"/>
      <c r="H97" s="8"/>
      <c r="I97" s="8" t="s">
        <v>426</v>
      </c>
      <c r="J97" s="8" t="s">
        <v>64</v>
      </c>
      <c r="K97" s="8" t="s">
        <v>101</v>
      </c>
      <c r="L97" s="8" t="s">
        <v>102</v>
      </c>
      <c r="M97" s="8"/>
      <c r="N97" s="8" t="s">
        <v>62</v>
      </c>
      <c r="O97" s="8" t="s">
        <v>63</v>
      </c>
      <c r="P97" s="4" t="n">
        <v>20</v>
      </c>
      <c r="Q97" s="8"/>
      <c r="R97" s="4" t="s">
        <v>425</v>
      </c>
      <c r="S97" s="4"/>
    </row>
    <row r="98" customFormat="false" ht="26.85" hidden="false" customHeight="false" outlineLevel="0" collapsed="false">
      <c r="A98" s="4" t="s">
        <v>427</v>
      </c>
      <c r="B98" s="8" t="s">
        <v>428</v>
      </c>
      <c r="C98" s="8"/>
      <c r="D98" s="8"/>
      <c r="E98" s="8"/>
      <c r="F98" s="8"/>
      <c r="G98" s="8"/>
      <c r="H98" s="8"/>
      <c r="I98" s="8" t="s">
        <v>429</v>
      </c>
      <c r="J98" s="8" t="s">
        <v>64</v>
      </c>
      <c r="K98" s="8" t="s">
        <v>101</v>
      </c>
      <c r="L98" s="8" t="s">
        <v>102</v>
      </c>
      <c r="M98" s="8"/>
      <c r="N98" s="8" t="s">
        <v>62</v>
      </c>
      <c r="O98" s="8" t="s">
        <v>63</v>
      </c>
      <c r="P98" s="4" t="n">
        <v>20</v>
      </c>
      <c r="Q98" s="8"/>
      <c r="R98" s="4" t="s">
        <v>428</v>
      </c>
      <c r="S98" s="4" t="n">
        <v>1957</v>
      </c>
    </row>
    <row r="99" customFormat="false" ht="26.85" hidden="false" customHeight="false" outlineLevel="0" collapsed="false">
      <c r="A99" s="4" t="s">
        <v>430</v>
      </c>
      <c r="B99" s="8" t="s">
        <v>431</v>
      </c>
      <c r="C99" s="8" t="s">
        <v>58</v>
      </c>
      <c r="D99" s="8"/>
      <c r="E99" s="8" t="s">
        <v>60</v>
      </c>
      <c r="F99" s="8"/>
      <c r="G99" s="8"/>
      <c r="H99" s="8"/>
      <c r="I99" s="8" t="s">
        <v>432</v>
      </c>
      <c r="J99" s="8" t="s">
        <v>64</v>
      </c>
      <c r="K99" s="8" t="s">
        <v>101</v>
      </c>
      <c r="L99" s="8" t="s">
        <v>102</v>
      </c>
      <c r="M99" s="8"/>
      <c r="N99" s="8" t="s">
        <v>62</v>
      </c>
      <c r="O99" s="8" t="s">
        <v>63</v>
      </c>
      <c r="P99" s="4" t="n">
        <v>20</v>
      </c>
      <c r="Q99" s="8"/>
      <c r="R99" s="4" t="s">
        <v>433</v>
      </c>
      <c r="S99" s="4" t="n">
        <v>888</v>
      </c>
    </row>
    <row r="100" customFormat="false" ht="26.85" hidden="false" customHeight="false" outlineLevel="0" collapsed="false">
      <c r="A100" s="4" t="s">
        <v>434</v>
      </c>
      <c r="B100" s="8" t="s">
        <v>435</v>
      </c>
      <c r="C100" s="8"/>
      <c r="D100" s="8"/>
      <c r="E100" s="8"/>
      <c r="F100" s="8"/>
      <c r="G100" s="8"/>
      <c r="H100" s="8"/>
      <c r="I100" s="8" t="s">
        <v>436</v>
      </c>
      <c r="J100" s="8" t="s">
        <v>64</v>
      </c>
      <c r="K100" s="8" t="s">
        <v>101</v>
      </c>
      <c r="L100" s="8" t="s">
        <v>102</v>
      </c>
      <c r="M100" s="8"/>
      <c r="N100" s="8" t="s">
        <v>62</v>
      </c>
      <c r="O100" s="8" t="s">
        <v>63</v>
      </c>
      <c r="P100" s="4" t="n">
        <v>20</v>
      </c>
      <c r="Q100" s="8"/>
      <c r="R100" s="4" t="s">
        <v>435</v>
      </c>
      <c r="S100" s="4" t="n">
        <v>840</v>
      </c>
    </row>
    <row r="101" customFormat="false" ht="26.85" hidden="false" customHeight="false" outlineLevel="0" collapsed="false">
      <c r="A101" s="4" t="s">
        <v>437</v>
      </c>
      <c r="B101" s="8" t="s">
        <v>438</v>
      </c>
      <c r="C101" s="8" t="s">
        <v>58</v>
      </c>
      <c r="D101" s="8"/>
      <c r="E101" s="8" t="s">
        <v>60</v>
      </c>
      <c r="F101" s="8"/>
      <c r="G101" s="8"/>
      <c r="H101" s="8"/>
      <c r="I101" s="8" t="s">
        <v>439</v>
      </c>
      <c r="J101" s="8" t="s">
        <v>64</v>
      </c>
      <c r="K101" s="8" t="s">
        <v>101</v>
      </c>
      <c r="L101" s="8" t="s">
        <v>102</v>
      </c>
      <c r="M101" s="8"/>
      <c r="N101" s="8" t="s">
        <v>62</v>
      </c>
      <c r="O101" s="8" t="s">
        <v>63</v>
      </c>
      <c r="P101" s="4" t="n">
        <v>20</v>
      </c>
      <c r="Q101" s="8"/>
      <c r="R101" s="4" t="s">
        <v>440</v>
      </c>
      <c r="S101" s="4" t="n">
        <v>970</v>
      </c>
    </row>
    <row r="102" customFormat="false" ht="26.85" hidden="false" customHeight="false" outlineLevel="0" collapsed="false">
      <c r="A102" s="4" t="s">
        <v>441</v>
      </c>
      <c r="B102" s="8" t="s">
        <v>442</v>
      </c>
      <c r="C102" s="8" t="s">
        <v>58</v>
      </c>
      <c r="D102" s="8"/>
      <c r="E102" s="8" t="s">
        <v>60</v>
      </c>
      <c r="F102" s="8"/>
      <c r="G102" s="8"/>
      <c r="H102" s="8"/>
      <c r="I102" s="8" t="s">
        <v>443</v>
      </c>
      <c r="J102" s="8" t="s">
        <v>64</v>
      </c>
      <c r="K102" s="8" t="s">
        <v>101</v>
      </c>
      <c r="L102" s="8" t="s">
        <v>102</v>
      </c>
      <c r="M102" s="8"/>
      <c r="N102" s="8" t="s">
        <v>62</v>
      </c>
      <c r="O102" s="8" t="s">
        <v>63</v>
      </c>
      <c r="P102" s="4" t="n">
        <v>20</v>
      </c>
      <c r="Q102" s="8"/>
      <c r="R102" s="4" t="s">
        <v>444</v>
      </c>
      <c r="S102" s="4" t="n">
        <v>967</v>
      </c>
    </row>
    <row r="103" customFormat="false" ht="26.85" hidden="false" customHeight="false" outlineLevel="0" collapsed="false">
      <c r="A103" s="4" t="s">
        <v>445</v>
      </c>
      <c r="B103" s="8" t="s">
        <v>446</v>
      </c>
      <c r="C103" s="8"/>
      <c r="D103" s="8"/>
      <c r="E103" s="8"/>
      <c r="F103" s="8"/>
      <c r="G103" s="8"/>
      <c r="H103" s="8"/>
      <c r="I103" s="8" t="s">
        <v>447</v>
      </c>
      <c r="J103" s="8" t="s">
        <v>64</v>
      </c>
      <c r="K103" s="8" t="s">
        <v>101</v>
      </c>
      <c r="L103" s="8" t="s">
        <v>102</v>
      </c>
      <c r="M103" s="8"/>
      <c r="N103" s="8" t="s">
        <v>62</v>
      </c>
      <c r="O103" s="8" t="s">
        <v>63</v>
      </c>
      <c r="P103" s="4" t="n">
        <v>20</v>
      </c>
      <c r="Q103" s="8"/>
      <c r="R103" s="4" t="s">
        <v>446</v>
      </c>
      <c r="S103" s="4" t="n">
        <v>254</v>
      </c>
    </row>
    <row r="104" customFormat="false" ht="26.85" hidden="false" customHeight="false" outlineLevel="0" collapsed="false">
      <c r="A104" s="4" t="s">
        <v>448</v>
      </c>
      <c r="B104" s="8" t="s">
        <v>449</v>
      </c>
      <c r="C104" s="8"/>
      <c r="D104" s="8"/>
      <c r="E104" s="8"/>
      <c r="F104" s="8"/>
      <c r="G104" s="8"/>
      <c r="H104" s="8"/>
      <c r="I104" s="8" t="s">
        <v>450</v>
      </c>
      <c r="J104" s="8" t="s">
        <v>64</v>
      </c>
      <c r="K104" s="8" t="s">
        <v>101</v>
      </c>
      <c r="L104" s="8" t="s">
        <v>102</v>
      </c>
      <c r="M104" s="8"/>
      <c r="N104" s="8" t="s">
        <v>62</v>
      </c>
      <c r="O104" s="8" t="s">
        <v>63</v>
      </c>
      <c r="P104" s="4" t="n">
        <v>20</v>
      </c>
      <c r="Q104" s="8"/>
      <c r="R104" s="4" t="s">
        <v>449</v>
      </c>
      <c r="S104" s="4" t="n">
        <v>569</v>
      </c>
    </row>
    <row r="105" customFormat="false" ht="26.85" hidden="false" customHeight="false" outlineLevel="0" collapsed="false">
      <c r="A105" s="4" t="s">
        <v>451</v>
      </c>
      <c r="B105" s="8" t="s">
        <v>452</v>
      </c>
      <c r="C105" s="8" t="s">
        <v>58</v>
      </c>
      <c r="D105" s="8"/>
      <c r="E105" s="8" t="s">
        <v>60</v>
      </c>
      <c r="F105" s="8"/>
      <c r="G105" s="8"/>
      <c r="H105" s="8"/>
      <c r="I105" s="8" t="s">
        <v>453</v>
      </c>
      <c r="J105" s="8" t="s">
        <v>64</v>
      </c>
      <c r="K105" s="8" t="s">
        <v>101</v>
      </c>
      <c r="L105" s="8" t="s">
        <v>102</v>
      </c>
      <c r="M105" s="8"/>
      <c r="N105" s="8" t="s">
        <v>62</v>
      </c>
      <c r="O105" s="8" t="s">
        <v>63</v>
      </c>
      <c r="P105" s="4" t="n">
        <v>20</v>
      </c>
      <c r="Q105" s="8"/>
      <c r="R105" s="4" t="s">
        <v>454</v>
      </c>
      <c r="S105" s="4"/>
    </row>
    <row r="106" customFormat="false" ht="26.85" hidden="false" customHeight="false" outlineLevel="0" collapsed="false">
      <c r="A106" s="4" t="s">
        <v>455</v>
      </c>
      <c r="B106" s="8" t="s">
        <v>456</v>
      </c>
      <c r="C106" s="8"/>
      <c r="D106" s="8"/>
      <c r="E106" s="8"/>
      <c r="F106" s="8"/>
      <c r="G106" s="8"/>
      <c r="H106" s="8"/>
      <c r="I106" s="8" t="s">
        <v>457</v>
      </c>
      <c r="J106" s="8" t="s">
        <v>64</v>
      </c>
      <c r="K106" s="8" t="s">
        <v>101</v>
      </c>
      <c r="L106" s="8" t="s">
        <v>102</v>
      </c>
      <c r="M106" s="8"/>
      <c r="N106" s="8" t="s">
        <v>62</v>
      </c>
      <c r="O106" s="8" t="s">
        <v>63</v>
      </c>
      <c r="P106" s="4" t="n">
        <v>20</v>
      </c>
      <c r="Q106" s="8"/>
      <c r="R106" s="4" t="s">
        <v>456</v>
      </c>
      <c r="S106" s="4"/>
    </row>
    <row r="107" customFormat="false" ht="26.85" hidden="false" customHeight="false" outlineLevel="0" collapsed="false">
      <c r="A107" s="4" t="s">
        <v>458</v>
      </c>
      <c r="B107" s="8" t="s">
        <v>459</v>
      </c>
      <c r="C107" s="8" t="s">
        <v>58</v>
      </c>
      <c r="D107" s="8"/>
      <c r="E107" s="8" t="s">
        <v>60</v>
      </c>
      <c r="F107" s="8"/>
      <c r="G107" s="8"/>
      <c r="H107" s="8"/>
      <c r="I107" s="8" t="s">
        <v>460</v>
      </c>
      <c r="J107" s="8" t="s">
        <v>64</v>
      </c>
      <c r="K107" s="8" t="s">
        <v>101</v>
      </c>
      <c r="L107" s="8" t="s">
        <v>102</v>
      </c>
      <c r="M107" s="8"/>
      <c r="N107" s="8" t="s">
        <v>62</v>
      </c>
      <c r="O107" s="8" t="s">
        <v>63</v>
      </c>
      <c r="P107" s="4" t="n">
        <v>20</v>
      </c>
      <c r="Q107" s="8"/>
      <c r="R107" s="4" t="s">
        <v>461</v>
      </c>
      <c r="S107" s="4"/>
    </row>
    <row r="108" customFormat="false" ht="26.85" hidden="false" customHeight="false" outlineLevel="0" collapsed="false">
      <c r="A108" s="4" t="s">
        <v>462</v>
      </c>
      <c r="B108" s="8" t="s">
        <v>463</v>
      </c>
      <c r="C108" s="8"/>
      <c r="D108" s="8"/>
      <c r="E108" s="8"/>
      <c r="F108" s="8"/>
      <c r="G108" s="8"/>
      <c r="H108" s="8"/>
      <c r="I108" s="8" t="s">
        <v>464</v>
      </c>
      <c r="J108" s="8" t="s">
        <v>64</v>
      </c>
      <c r="K108" s="8" t="s">
        <v>101</v>
      </c>
      <c r="L108" s="8" t="s">
        <v>102</v>
      </c>
      <c r="M108" s="8"/>
      <c r="N108" s="8" t="s">
        <v>62</v>
      </c>
      <c r="O108" s="8" t="s">
        <v>63</v>
      </c>
      <c r="P108" s="4" t="n">
        <v>20</v>
      </c>
      <c r="Q108" s="8"/>
      <c r="R108" s="4" t="s">
        <v>463</v>
      </c>
      <c r="S108" s="4" t="n">
        <v>431</v>
      </c>
    </row>
    <row r="109" customFormat="false" ht="26.85" hidden="false" customHeight="false" outlineLevel="0" collapsed="false">
      <c r="A109" s="4" t="s">
        <v>465</v>
      </c>
      <c r="B109" s="8" t="s">
        <v>466</v>
      </c>
      <c r="C109" s="8" t="s">
        <v>58</v>
      </c>
      <c r="D109" s="8"/>
      <c r="E109" s="8" t="s">
        <v>60</v>
      </c>
      <c r="F109" s="8"/>
      <c r="G109" s="8"/>
      <c r="H109" s="8"/>
      <c r="I109" s="8" t="s">
        <v>409</v>
      </c>
      <c r="J109" s="8" t="s">
        <v>64</v>
      </c>
      <c r="K109" s="8" t="s">
        <v>101</v>
      </c>
      <c r="L109" s="8" t="s">
        <v>102</v>
      </c>
      <c r="M109" s="8"/>
      <c r="N109" s="8" t="s">
        <v>62</v>
      </c>
      <c r="O109" s="8" t="s">
        <v>63</v>
      </c>
      <c r="P109" s="4" t="n">
        <v>20</v>
      </c>
      <c r="Q109" s="8"/>
      <c r="R109" s="4" t="s">
        <v>467</v>
      </c>
      <c r="S109" s="4" t="n">
        <v>526</v>
      </c>
    </row>
    <row r="110" customFormat="false" ht="26.85" hidden="false" customHeight="false" outlineLevel="0" collapsed="false">
      <c r="A110" s="4" t="s">
        <v>468</v>
      </c>
      <c r="B110" s="8" t="s">
        <v>469</v>
      </c>
      <c r="C110" s="8"/>
      <c r="D110" s="8"/>
      <c r="E110" s="8"/>
      <c r="F110" s="8"/>
      <c r="G110" s="8"/>
      <c r="H110" s="8"/>
      <c r="I110" s="8" t="s">
        <v>470</v>
      </c>
      <c r="J110" s="8" t="s">
        <v>64</v>
      </c>
      <c r="K110" s="8" t="s">
        <v>101</v>
      </c>
      <c r="L110" s="8" t="s">
        <v>102</v>
      </c>
      <c r="M110" s="8"/>
      <c r="N110" s="8" t="s">
        <v>62</v>
      </c>
      <c r="O110" s="8" t="s">
        <v>63</v>
      </c>
      <c r="P110" s="4" t="n">
        <v>20</v>
      </c>
      <c r="Q110" s="8"/>
      <c r="R110" s="4" t="s">
        <v>469</v>
      </c>
      <c r="S110" s="4" t="n">
        <v>1156</v>
      </c>
    </row>
    <row r="111" customFormat="false" ht="26.85" hidden="false" customHeight="false" outlineLevel="0" collapsed="false">
      <c r="A111" s="4" t="s">
        <v>471</v>
      </c>
      <c r="B111" s="8" t="s">
        <v>472</v>
      </c>
      <c r="C111" s="8" t="s">
        <v>58</v>
      </c>
      <c r="D111" s="8"/>
      <c r="E111" s="8" t="s">
        <v>60</v>
      </c>
      <c r="F111" s="8"/>
      <c r="G111" s="8"/>
      <c r="H111" s="8"/>
      <c r="I111" s="8" t="s">
        <v>473</v>
      </c>
      <c r="J111" s="8" t="s">
        <v>64</v>
      </c>
      <c r="K111" s="8" t="s">
        <v>101</v>
      </c>
      <c r="L111" s="8" t="s">
        <v>102</v>
      </c>
      <c r="M111" s="8"/>
      <c r="N111" s="8" t="s">
        <v>62</v>
      </c>
      <c r="O111" s="8" t="s">
        <v>63</v>
      </c>
      <c r="P111" s="4" t="n">
        <v>20</v>
      </c>
      <c r="Q111" s="8"/>
      <c r="R111" s="4" t="s">
        <v>474</v>
      </c>
      <c r="S111" s="4" t="n">
        <v>1752</v>
      </c>
    </row>
    <row r="112" customFormat="false" ht="26.85" hidden="false" customHeight="false" outlineLevel="0" collapsed="false">
      <c r="A112" s="4" t="s">
        <v>475</v>
      </c>
      <c r="B112" s="8" t="s">
        <v>476</v>
      </c>
      <c r="C112" s="8" t="s">
        <v>58</v>
      </c>
      <c r="D112" s="8"/>
      <c r="E112" s="8" t="s">
        <v>60</v>
      </c>
      <c r="F112" s="8"/>
      <c r="G112" s="8"/>
      <c r="H112" s="8"/>
      <c r="I112" s="8" t="s">
        <v>477</v>
      </c>
      <c r="J112" s="8" t="s">
        <v>64</v>
      </c>
      <c r="K112" s="8" t="s">
        <v>101</v>
      </c>
      <c r="L112" s="8" t="s">
        <v>102</v>
      </c>
      <c r="M112" s="8"/>
      <c r="N112" s="8" t="s">
        <v>62</v>
      </c>
      <c r="O112" s="8" t="s">
        <v>63</v>
      </c>
      <c r="P112" s="4" t="n">
        <v>20</v>
      </c>
      <c r="Q112" s="8"/>
      <c r="R112" s="4" t="s">
        <v>478</v>
      </c>
      <c r="S112" s="4" t="n">
        <v>13564</v>
      </c>
    </row>
    <row r="113" customFormat="false" ht="26.85" hidden="false" customHeight="false" outlineLevel="0" collapsed="false">
      <c r="A113" s="4" t="s">
        <v>479</v>
      </c>
      <c r="B113" s="8" t="s">
        <v>480</v>
      </c>
      <c r="C113" s="8"/>
      <c r="D113" s="8"/>
      <c r="E113" s="8"/>
      <c r="F113" s="8"/>
      <c r="G113" s="8"/>
      <c r="H113" s="8"/>
      <c r="I113" s="8" t="s">
        <v>481</v>
      </c>
      <c r="J113" s="8" t="s">
        <v>64</v>
      </c>
      <c r="K113" s="8" t="s">
        <v>101</v>
      </c>
      <c r="L113" s="8" t="s">
        <v>102</v>
      </c>
      <c r="M113" s="8"/>
      <c r="N113" s="8" t="s">
        <v>62</v>
      </c>
      <c r="O113" s="8" t="s">
        <v>63</v>
      </c>
      <c r="P113" s="4" t="n">
        <v>20</v>
      </c>
      <c r="Q113" s="8"/>
      <c r="R113" s="4" t="s">
        <v>480</v>
      </c>
      <c r="S113" s="4" t="n">
        <v>15496</v>
      </c>
    </row>
    <row r="114" customFormat="false" ht="26.85" hidden="false" customHeight="false" outlineLevel="0" collapsed="false">
      <c r="A114" s="4" t="s">
        <v>482</v>
      </c>
      <c r="B114" s="8" t="s">
        <v>483</v>
      </c>
      <c r="C114" s="8" t="s">
        <v>58</v>
      </c>
      <c r="D114" s="8"/>
      <c r="E114" s="8" t="s">
        <v>60</v>
      </c>
      <c r="F114" s="8"/>
      <c r="G114" s="8"/>
      <c r="H114" s="8"/>
      <c r="I114" s="8" t="s">
        <v>484</v>
      </c>
      <c r="J114" s="8" t="s">
        <v>64</v>
      </c>
      <c r="K114" s="8" t="s">
        <v>101</v>
      </c>
      <c r="L114" s="8" t="s">
        <v>102</v>
      </c>
      <c r="M114" s="8"/>
      <c r="N114" s="8" t="s">
        <v>62</v>
      </c>
      <c r="O114" s="8" t="s">
        <v>63</v>
      </c>
      <c r="P114" s="4" t="n">
        <v>20</v>
      </c>
      <c r="Q114" s="8"/>
      <c r="R114" s="4" t="s">
        <v>485</v>
      </c>
      <c r="S114" s="4"/>
    </row>
    <row r="115" customFormat="false" ht="26.85" hidden="false" customHeight="false" outlineLevel="0" collapsed="false">
      <c r="A115" s="4" t="s">
        <v>486</v>
      </c>
      <c r="B115" s="8" t="s">
        <v>487</v>
      </c>
      <c r="C115" s="8" t="s">
        <v>58</v>
      </c>
      <c r="D115" s="8"/>
      <c r="E115" s="8" t="s">
        <v>60</v>
      </c>
      <c r="F115" s="8"/>
      <c r="G115" s="8"/>
      <c r="H115" s="8"/>
      <c r="I115" s="8" t="s">
        <v>488</v>
      </c>
      <c r="J115" s="8" t="s">
        <v>64</v>
      </c>
      <c r="K115" s="8" t="s">
        <v>101</v>
      </c>
      <c r="L115" s="8" t="s">
        <v>102</v>
      </c>
      <c r="M115" s="8"/>
      <c r="N115" s="8" t="s">
        <v>62</v>
      </c>
      <c r="O115" s="8" t="s">
        <v>63</v>
      </c>
      <c r="P115" s="4" t="n">
        <v>20</v>
      </c>
      <c r="Q115" s="8"/>
      <c r="R115" s="4" t="s">
        <v>489</v>
      </c>
      <c r="S115" s="4"/>
    </row>
    <row r="116" customFormat="false" ht="26.85" hidden="false" customHeight="false" outlineLevel="0" collapsed="false">
      <c r="A116" s="4" t="s">
        <v>490</v>
      </c>
      <c r="B116" s="8" t="s">
        <v>491</v>
      </c>
      <c r="C116" s="8" t="s">
        <v>58</v>
      </c>
      <c r="D116" s="8"/>
      <c r="E116" s="8" t="s">
        <v>60</v>
      </c>
      <c r="F116" s="8"/>
      <c r="G116" s="8"/>
      <c r="H116" s="8"/>
      <c r="I116" s="8" t="s">
        <v>492</v>
      </c>
      <c r="J116" s="8" t="s">
        <v>64</v>
      </c>
      <c r="K116" s="8" t="s">
        <v>101</v>
      </c>
      <c r="L116" s="8" t="s">
        <v>102</v>
      </c>
      <c r="M116" s="8"/>
      <c r="N116" s="8" t="s">
        <v>62</v>
      </c>
      <c r="O116" s="8" t="s">
        <v>63</v>
      </c>
      <c r="P116" s="4" t="n">
        <v>20</v>
      </c>
      <c r="Q116" s="8"/>
      <c r="R116" s="4" t="s">
        <v>493</v>
      </c>
      <c r="S116" s="4" t="n">
        <v>523</v>
      </c>
    </row>
    <row r="117" customFormat="false" ht="26.85" hidden="false" customHeight="false" outlineLevel="0" collapsed="false">
      <c r="A117" s="4" t="s">
        <v>494</v>
      </c>
      <c r="B117" s="8" t="s">
        <v>495</v>
      </c>
      <c r="C117" s="8" t="s">
        <v>58</v>
      </c>
      <c r="D117" s="8"/>
      <c r="E117" s="8" t="s">
        <v>60</v>
      </c>
      <c r="F117" s="8"/>
      <c r="G117" s="8"/>
      <c r="H117" s="8"/>
      <c r="I117" s="8" t="s">
        <v>496</v>
      </c>
      <c r="J117" s="8" t="s">
        <v>64</v>
      </c>
      <c r="K117" s="8" t="s">
        <v>101</v>
      </c>
      <c r="L117" s="8" t="s">
        <v>102</v>
      </c>
      <c r="M117" s="8"/>
      <c r="N117" s="8" t="s">
        <v>62</v>
      </c>
      <c r="O117" s="8" t="s">
        <v>63</v>
      </c>
      <c r="P117" s="4" t="n">
        <v>20</v>
      </c>
      <c r="Q117" s="8"/>
      <c r="R117" s="4" t="s">
        <v>497</v>
      </c>
      <c r="S117" s="4" t="n">
        <v>1208</v>
      </c>
    </row>
    <row r="118" customFormat="false" ht="26.85" hidden="false" customHeight="false" outlineLevel="0" collapsed="false">
      <c r="A118" s="4" t="s">
        <v>498</v>
      </c>
      <c r="B118" s="8" t="s">
        <v>499</v>
      </c>
      <c r="C118" s="8" t="s">
        <v>58</v>
      </c>
      <c r="D118" s="8"/>
      <c r="E118" s="8" t="s">
        <v>60</v>
      </c>
      <c r="F118" s="8"/>
      <c r="G118" s="8"/>
      <c r="H118" s="8"/>
      <c r="I118" s="8" t="s">
        <v>500</v>
      </c>
      <c r="J118" s="8" t="s">
        <v>64</v>
      </c>
      <c r="K118" s="8" t="s">
        <v>101</v>
      </c>
      <c r="L118" s="8" t="s">
        <v>102</v>
      </c>
      <c r="M118" s="8"/>
      <c r="N118" s="8" t="s">
        <v>62</v>
      </c>
      <c r="O118" s="8" t="s">
        <v>63</v>
      </c>
      <c r="P118" s="4" t="n">
        <v>20</v>
      </c>
      <c r="Q118" s="8"/>
      <c r="R118" s="4" t="s">
        <v>501</v>
      </c>
      <c r="S118" s="4" t="n">
        <v>4546</v>
      </c>
    </row>
    <row r="119" customFormat="false" ht="26.85" hidden="false" customHeight="false" outlineLevel="0" collapsed="false">
      <c r="A119" s="4" t="s">
        <v>502</v>
      </c>
      <c r="B119" s="8" t="s">
        <v>503</v>
      </c>
      <c r="C119" s="8"/>
      <c r="D119" s="8"/>
      <c r="E119" s="8"/>
      <c r="F119" s="8"/>
      <c r="G119" s="8"/>
      <c r="H119" s="8"/>
      <c r="I119" s="8" t="s">
        <v>504</v>
      </c>
      <c r="J119" s="8" t="s">
        <v>64</v>
      </c>
      <c r="K119" s="8" t="s">
        <v>101</v>
      </c>
      <c r="L119" s="8" t="s">
        <v>505</v>
      </c>
      <c r="M119" s="8"/>
      <c r="N119" s="8" t="s">
        <v>62</v>
      </c>
      <c r="O119" s="8" t="s">
        <v>63</v>
      </c>
      <c r="P119" s="4" t="n">
        <v>20</v>
      </c>
      <c r="Q119" s="8"/>
      <c r="R119" s="4" t="s">
        <v>503</v>
      </c>
      <c r="S119" s="4"/>
    </row>
    <row r="120" customFormat="false" ht="26.85" hidden="false" customHeight="false" outlineLevel="0" collapsed="false">
      <c r="A120" s="4" t="s">
        <v>506</v>
      </c>
      <c r="B120" s="8" t="s">
        <v>507</v>
      </c>
      <c r="C120" s="8"/>
      <c r="D120" s="8"/>
      <c r="E120" s="8"/>
      <c r="F120" s="8"/>
      <c r="G120" s="8"/>
      <c r="H120" s="8"/>
      <c r="I120" s="8" t="s">
        <v>508</v>
      </c>
      <c r="J120" s="8" t="s">
        <v>64</v>
      </c>
      <c r="K120" s="8" t="s">
        <v>101</v>
      </c>
      <c r="L120" s="8" t="s">
        <v>505</v>
      </c>
      <c r="M120" s="8"/>
      <c r="N120" s="8" t="s">
        <v>62</v>
      </c>
      <c r="O120" s="8" t="s">
        <v>63</v>
      </c>
      <c r="P120" s="4" t="n">
        <v>20</v>
      </c>
      <c r="Q120" s="8"/>
      <c r="R120" s="4" t="s">
        <v>507</v>
      </c>
      <c r="S120" s="4"/>
    </row>
    <row r="121" customFormat="false" ht="26.85" hidden="false" customHeight="false" outlineLevel="0" collapsed="false">
      <c r="A121" s="4" t="s">
        <v>509</v>
      </c>
      <c r="B121" s="8" t="s">
        <v>510</v>
      </c>
      <c r="C121" s="8"/>
      <c r="D121" s="8"/>
      <c r="E121" s="8"/>
      <c r="F121" s="8"/>
      <c r="G121" s="8"/>
      <c r="H121" s="8"/>
      <c r="I121" s="8" t="s">
        <v>511</v>
      </c>
      <c r="J121" s="8" t="s">
        <v>64</v>
      </c>
      <c r="K121" s="8" t="s">
        <v>101</v>
      </c>
      <c r="L121" s="8" t="s">
        <v>505</v>
      </c>
      <c r="M121" s="8"/>
      <c r="N121" s="8" t="s">
        <v>62</v>
      </c>
      <c r="O121" s="8" t="s">
        <v>63</v>
      </c>
      <c r="P121" s="4" t="n">
        <v>20</v>
      </c>
      <c r="Q121" s="8"/>
      <c r="R121" s="4" t="s">
        <v>510</v>
      </c>
      <c r="S121" s="4"/>
    </row>
    <row r="122" customFormat="false" ht="26.85" hidden="false" customHeight="false" outlineLevel="0" collapsed="false">
      <c r="A122" s="4" t="s">
        <v>512</v>
      </c>
      <c r="B122" s="8" t="s">
        <v>513</v>
      </c>
      <c r="C122" s="8"/>
      <c r="D122" s="8"/>
      <c r="E122" s="8"/>
      <c r="F122" s="8"/>
      <c r="G122" s="8"/>
      <c r="H122" s="8"/>
      <c r="I122" s="8" t="s">
        <v>514</v>
      </c>
      <c r="J122" s="8" t="s">
        <v>64</v>
      </c>
      <c r="K122" s="8" t="s">
        <v>101</v>
      </c>
      <c r="L122" s="8" t="s">
        <v>505</v>
      </c>
      <c r="M122" s="8"/>
      <c r="N122" s="8" t="s">
        <v>62</v>
      </c>
      <c r="O122" s="8" t="s">
        <v>63</v>
      </c>
      <c r="P122" s="4" t="n">
        <v>20</v>
      </c>
      <c r="Q122" s="8"/>
      <c r="R122" s="4" t="s">
        <v>513</v>
      </c>
      <c r="S122" s="4"/>
    </row>
    <row r="123" customFormat="false" ht="26.85" hidden="false" customHeight="false" outlineLevel="0" collapsed="false">
      <c r="A123" s="4" t="s">
        <v>515</v>
      </c>
      <c r="B123" s="8" t="s">
        <v>516</v>
      </c>
      <c r="C123" s="8"/>
      <c r="D123" s="8"/>
      <c r="E123" s="8"/>
      <c r="F123" s="8"/>
      <c r="G123" s="8"/>
      <c r="H123" s="8"/>
      <c r="I123" s="8" t="s">
        <v>517</v>
      </c>
      <c r="J123" s="8" t="s">
        <v>64</v>
      </c>
      <c r="K123" s="8" t="s">
        <v>101</v>
      </c>
      <c r="L123" s="8" t="s">
        <v>505</v>
      </c>
      <c r="M123" s="8"/>
      <c r="N123" s="8" t="s">
        <v>62</v>
      </c>
      <c r="O123" s="8" t="s">
        <v>63</v>
      </c>
      <c r="P123" s="4" t="n">
        <v>20</v>
      </c>
      <c r="Q123" s="8"/>
      <c r="R123" s="4" t="s">
        <v>516</v>
      </c>
      <c r="S123" s="4"/>
    </row>
    <row r="124" customFormat="false" ht="26.85" hidden="false" customHeight="false" outlineLevel="0" collapsed="false">
      <c r="A124" s="4" t="s">
        <v>518</v>
      </c>
      <c r="B124" s="8" t="s">
        <v>519</v>
      </c>
      <c r="C124" s="8"/>
      <c r="D124" s="8"/>
      <c r="E124" s="8"/>
      <c r="F124" s="8"/>
      <c r="G124" s="8"/>
      <c r="H124" s="8"/>
      <c r="I124" s="8" t="s">
        <v>520</v>
      </c>
      <c r="J124" s="8" t="s">
        <v>64</v>
      </c>
      <c r="K124" s="8" t="s">
        <v>101</v>
      </c>
      <c r="L124" s="8" t="s">
        <v>505</v>
      </c>
      <c r="M124" s="8"/>
      <c r="N124" s="8" t="s">
        <v>62</v>
      </c>
      <c r="O124" s="8" t="s">
        <v>63</v>
      </c>
      <c r="P124" s="4" t="n">
        <v>20</v>
      </c>
      <c r="Q124" s="8"/>
      <c r="R124" s="4" t="s">
        <v>519</v>
      </c>
      <c r="S124" s="4"/>
    </row>
    <row r="125" customFormat="false" ht="26.85" hidden="false" customHeight="false" outlineLevel="0" collapsed="false">
      <c r="A125" s="4" t="s">
        <v>521</v>
      </c>
      <c r="B125" s="8" t="s">
        <v>522</v>
      </c>
      <c r="C125" s="8" t="s">
        <v>58</v>
      </c>
      <c r="D125" s="8"/>
      <c r="E125" s="8" t="s">
        <v>60</v>
      </c>
      <c r="F125" s="8"/>
      <c r="G125" s="8"/>
      <c r="H125" s="8"/>
      <c r="I125" s="8" t="s">
        <v>523</v>
      </c>
      <c r="J125" s="8" t="s">
        <v>64</v>
      </c>
      <c r="K125" s="8" t="s">
        <v>101</v>
      </c>
      <c r="L125" s="8" t="s">
        <v>505</v>
      </c>
      <c r="M125" s="8"/>
      <c r="N125" s="8" t="s">
        <v>62</v>
      </c>
      <c r="O125" s="8" t="s">
        <v>63</v>
      </c>
      <c r="P125" s="4" t="n">
        <v>20</v>
      </c>
      <c r="Q125" s="8"/>
      <c r="R125" s="4" t="s">
        <v>524</v>
      </c>
      <c r="S125" s="4" t="n">
        <v>545</v>
      </c>
    </row>
    <row r="126" customFormat="false" ht="26.85" hidden="false" customHeight="false" outlineLevel="0" collapsed="false">
      <c r="A126" s="4" t="s">
        <v>525</v>
      </c>
      <c r="B126" s="8" t="s">
        <v>526</v>
      </c>
      <c r="C126" s="8" t="s">
        <v>58</v>
      </c>
      <c r="D126" s="8"/>
      <c r="E126" s="8" t="s">
        <v>60</v>
      </c>
      <c r="F126" s="8"/>
      <c r="G126" s="8"/>
      <c r="H126" s="8"/>
      <c r="I126" s="8" t="s">
        <v>527</v>
      </c>
      <c r="J126" s="8" t="s">
        <v>64</v>
      </c>
      <c r="K126" s="8" t="s">
        <v>101</v>
      </c>
      <c r="L126" s="8" t="s">
        <v>505</v>
      </c>
      <c r="M126" s="8"/>
      <c r="N126" s="8" t="s">
        <v>62</v>
      </c>
      <c r="O126" s="8" t="s">
        <v>63</v>
      </c>
      <c r="P126" s="4" t="n">
        <v>20</v>
      </c>
      <c r="Q126" s="8"/>
      <c r="R126" s="4" t="s">
        <v>528</v>
      </c>
      <c r="S126" s="4" t="n">
        <v>1133</v>
      </c>
    </row>
    <row r="127" customFormat="false" ht="26.85" hidden="false" customHeight="false" outlineLevel="0" collapsed="false">
      <c r="A127" s="4" t="s">
        <v>529</v>
      </c>
      <c r="B127" s="8" t="s">
        <v>530</v>
      </c>
      <c r="C127" s="8"/>
      <c r="D127" s="8"/>
      <c r="E127" s="8"/>
      <c r="F127" s="8"/>
      <c r="G127" s="8"/>
      <c r="H127" s="8"/>
      <c r="I127" s="8" t="s">
        <v>531</v>
      </c>
      <c r="J127" s="8" t="s">
        <v>64</v>
      </c>
      <c r="K127" s="8" t="s">
        <v>101</v>
      </c>
      <c r="L127" s="8" t="s">
        <v>505</v>
      </c>
      <c r="M127" s="8"/>
      <c r="N127" s="8" t="s">
        <v>62</v>
      </c>
      <c r="O127" s="8" t="s">
        <v>63</v>
      </c>
      <c r="P127" s="4" t="n">
        <v>20</v>
      </c>
      <c r="Q127" s="8"/>
      <c r="R127" s="4" t="s">
        <v>530</v>
      </c>
      <c r="S127" s="4" t="n">
        <v>1725</v>
      </c>
    </row>
    <row r="128" customFormat="false" ht="26.85" hidden="false" customHeight="false" outlineLevel="0" collapsed="false">
      <c r="A128" s="4" t="s">
        <v>532</v>
      </c>
      <c r="B128" s="8" t="s">
        <v>533</v>
      </c>
      <c r="C128" s="8"/>
      <c r="D128" s="8"/>
      <c r="E128" s="8"/>
      <c r="F128" s="8"/>
      <c r="G128" s="8"/>
      <c r="H128" s="8"/>
      <c r="I128" s="8" t="s">
        <v>534</v>
      </c>
      <c r="J128" s="8" t="s">
        <v>64</v>
      </c>
      <c r="K128" s="8" t="s">
        <v>101</v>
      </c>
      <c r="L128" s="8" t="s">
        <v>505</v>
      </c>
      <c r="M128" s="8"/>
      <c r="N128" s="8" t="s">
        <v>62</v>
      </c>
      <c r="O128" s="8" t="s">
        <v>63</v>
      </c>
      <c r="P128" s="4" t="n">
        <v>20</v>
      </c>
      <c r="Q128" s="8"/>
      <c r="R128" s="4" t="s">
        <v>533</v>
      </c>
      <c r="S128" s="4"/>
    </row>
    <row r="129" customFormat="false" ht="26.85" hidden="false" customHeight="false" outlineLevel="0" collapsed="false">
      <c r="A129" s="4" t="s">
        <v>535</v>
      </c>
      <c r="B129" s="8" t="s">
        <v>536</v>
      </c>
      <c r="C129" s="8"/>
      <c r="D129" s="8"/>
      <c r="E129" s="8"/>
      <c r="F129" s="8"/>
      <c r="G129" s="8"/>
      <c r="H129" s="8"/>
      <c r="I129" s="8" t="s">
        <v>537</v>
      </c>
      <c r="J129" s="8" t="s">
        <v>64</v>
      </c>
      <c r="K129" s="8" t="s">
        <v>101</v>
      </c>
      <c r="L129" s="8" t="s">
        <v>505</v>
      </c>
      <c r="M129" s="8"/>
      <c r="N129" s="8" t="s">
        <v>62</v>
      </c>
      <c r="O129" s="8" t="s">
        <v>63</v>
      </c>
      <c r="P129" s="4" t="n">
        <v>20</v>
      </c>
      <c r="Q129" s="8"/>
      <c r="R129" s="4" t="s">
        <v>536</v>
      </c>
      <c r="S129" s="4"/>
    </row>
    <row r="130" customFormat="false" ht="26.85" hidden="false" customHeight="false" outlineLevel="0" collapsed="false">
      <c r="A130" s="4" t="s">
        <v>538</v>
      </c>
      <c r="B130" s="8" t="s">
        <v>539</v>
      </c>
      <c r="C130" s="8"/>
      <c r="D130" s="8"/>
      <c r="E130" s="8"/>
      <c r="F130" s="8"/>
      <c r="G130" s="8"/>
      <c r="H130" s="8"/>
      <c r="I130" s="8" t="s">
        <v>540</v>
      </c>
      <c r="J130" s="8" t="s">
        <v>64</v>
      </c>
      <c r="K130" s="8" t="s">
        <v>101</v>
      </c>
      <c r="L130" s="8" t="s">
        <v>505</v>
      </c>
      <c r="M130" s="8"/>
      <c r="N130" s="8" t="s">
        <v>62</v>
      </c>
      <c r="O130" s="8" t="s">
        <v>63</v>
      </c>
      <c r="P130" s="4" t="n">
        <v>20</v>
      </c>
      <c r="Q130" s="8"/>
      <c r="R130" s="4" t="s">
        <v>539</v>
      </c>
      <c r="S130" s="4"/>
    </row>
    <row r="131" customFormat="false" ht="26.85" hidden="false" customHeight="false" outlineLevel="0" collapsed="false">
      <c r="A131" s="4" t="s">
        <v>541</v>
      </c>
      <c r="B131" s="8" t="s">
        <v>542</v>
      </c>
      <c r="C131" s="8"/>
      <c r="D131" s="8"/>
      <c r="E131" s="8"/>
      <c r="F131" s="8"/>
      <c r="G131" s="8"/>
      <c r="H131" s="8"/>
      <c r="I131" s="8" t="s">
        <v>543</v>
      </c>
      <c r="J131" s="8" t="s">
        <v>64</v>
      </c>
      <c r="K131" s="8" t="s">
        <v>101</v>
      </c>
      <c r="L131" s="8" t="s">
        <v>505</v>
      </c>
      <c r="M131" s="8"/>
      <c r="N131" s="8" t="s">
        <v>62</v>
      </c>
      <c r="O131" s="8" t="s">
        <v>63</v>
      </c>
      <c r="P131" s="4" t="n">
        <v>20</v>
      </c>
      <c r="Q131" s="8"/>
      <c r="R131" s="4" t="s">
        <v>542</v>
      </c>
      <c r="S131" s="4"/>
    </row>
    <row r="132" customFormat="false" ht="26.85" hidden="false" customHeight="false" outlineLevel="0" collapsed="false">
      <c r="A132" s="4" t="s">
        <v>544</v>
      </c>
      <c r="B132" s="8" t="s">
        <v>545</v>
      </c>
      <c r="C132" s="8" t="s">
        <v>58</v>
      </c>
      <c r="D132" s="8"/>
      <c r="E132" s="8" t="s">
        <v>60</v>
      </c>
      <c r="F132" s="8"/>
      <c r="G132" s="8"/>
      <c r="H132" s="8"/>
      <c r="I132" s="8" t="s">
        <v>546</v>
      </c>
      <c r="J132" s="8" t="s">
        <v>64</v>
      </c>
      <c r="K132" s="8" t="s">
        <v>101</v>
      </c>
      <c r="L132" s="8" t="s">
        <v>505</v>
      </c>
      <c r="M132" s="8"/>
      <c r="N132" s="8" t="s">
        <v>62</v>
      </c>
      <c r="O132" s="8" t="s">
        <v>63</v>
      </c>
      <c r="P132" s="4" t="n">
        <v>20</v>
      </c>
      <c r="Q132" s="8"/>
      <c r="R132" s="4" t="s">
        <v>547</v>
      </c>
      <c r="S132" s="4" t="n">
        <v>1313</v>
      </c>
    </row>
    <row r="133" customFormat="false" ht="26.85" hidden="false" customHeight="false" outlineLevel="0" collapsed="false">
      <c r="A133" s="4" t="s">
        <v>548</v>
      </c>
      <c r="B133" s="8" t="s">
        <v>549</v>
      </c>
      <c r="C133" s="8"/>
      <c r="D133" s="8"/>
      <c r="E133" s="8"/>
      <c r="F133" s="8"/>
      <c r="G133" s="8"/>
      <c r="H133" s="8"/>
      <c r="I133" s="8" t="s">
        <v>550</v>
      </c>
      <c r="J133" s="8" t="s">
        <v>64</v>
      </c>
      <c r="K133" s="8" t="s">
        <v>101</v>
      </c>
      <c r="L133" s="8" t="s">
        <v>505</v>
      </c>
      <c r="M133" s="8"/>
      <c r="N133" s="8" t="s">
        <v>62</v>
      </c>
      <c r="O133" s="8" t="s">
        <v>63</v>
      </c>
      <c r="P133" s="4" t="n">
        <v>21</v>
      </c>
      <c r="Q133" s="8"/>
      <c r="R133" s="4" t="s">
        <v>549</v>
      </c>
      <c r="S133" s="4"/>
    </row>
    <row r="134" customFormat="false" ht="26.85" hidden="false" customHeight="false" outlineLevel="0" collapsed="false">
      <c r="A134" s="4" t="s">
        <v>551</v>
      </c>
      <c r="B134" s="8" t="s">
        <v>552</v>
      </c>
      <c r="C134" s="8" t="s">
        <v>58</v>
      </c>
      <c r="D134" s="8"/>
      <c r="E134" s="8" t="s">
        <v>60</v>
      </c>
      <c r="F134" s="8"/>
      <c r="G134" s="8"/>
      <c r="H134" s="8"/>
      <c r="I134" s="8" t="s">
        <v>553</v>
      </c>
      <c r="J134" s="8" t="s">
        <v>64</v>
      </c>
      <c r="K134" s="8" t="s">
        <v>101</v>
      </c>
      <c r="L134" s="8" t="s">
        <v>505</v>
      </c>
      <c r="M134" s="8"/>
      <c r="N134" s="8" t="s">
        <v>62</v>
      </c>
      <c r="O134" s="8" t="s">
        <v>63</v>
      </c>
      <c r="P134" s="4" t="n">
        <v>21</v>
      </c>
      <c r="Q134" s="8"/>
      <c r="R134" s="4" t="s">
        <v>554</v>
      </c>
      <c r="S134" s="4"/>
    </row>
    <row r="135" customFormat="false" ht="26.85" hidden="false" customHeight="false" outlineLevel="0" collapsed="false">
      <c r="A135" s="4" t="s">
        <v>555</v>
      </c>
      <c r="B135" s="8" t="s">
        <v>556</v>
      </c>
      <c r="C135" s="8"/>
      <c r="D135" s="8"/>
      <c r="E135" s="8"/>
      <c r="F135" s="8"/>
      <c r="G135" s="8"/>
      <c r="H135" s="8"/>
      <c r="I135" s="8" t="s">
        <v>557</v>
      </c>
      <c r="J135" s="8" t="s">
        <v>64</v>
      </c>
      <c r="K135" s="8" t="s">
        <v>101</v>
      </c>
      <c r="L135" s="8" t="s">
        <v>505</v>
      </c>
      <c r="M135" s="8"/>
      <c r="N135" s="8" t="s">
        <v>62</v>
      </c>
      <c r="O135" s="8" t="s">
        <v>63</v>
      </c>
      <c r="P135" s="4" t="n">
        <v>21</v>
      </c>
      <c r="Q135" s="8"/>
      <c r="R135" s="4" t="s">
        <v>556</v>
      </c>
      <c r="S135" s="4"/>
    </row>
    <row r="136" customFormat="false" ht="26.85" hidden="false" customHeight="false" outlineLevel="0" collapsed="false">
      <c r="A136" s="4" t="s">
        <v>558</v>
      </c>
      <c r="B136" s="8" t="s">
        <v>559</v>
      </c>
      <c r="C136" s="8"/>
      <c r="D136" s="8"/>
      <c r="E136" s="8"/>
      <c r="F136" s="8"/>
      <c r="G136" s="8"/>
      <c r="H136" s="8"/>
      <c r="I136" s="8" t="s">
        <v>560</v>
      </c>
      <c r="J136" s="8" t="s">
        <v>64</v>
      </c>
      <c r="K136" s="8" t="s">
        <v>101</v>
      </c>
      <c r="L136" s="8" t="s">
        <v>505</v>
      </c>
      <c r="M136" s="8"/>
      <c r="N136" s="8" t="s">
        <v>62</v>
      </c>
      <c r="O136" s="8" t="s">
        <v>63</v>
      </c>
      <c r="P136" s="4" t="n">
        <v>21</v>
      </c>
      <c r="Q136" s="8"/>
      <c r="R136" s="4" t="s">
        <v>559</v>
      </c>
      <c r="S136" s="4" t="n">
        <v>3457</v>
      </c>
    </row>
    <row r="137" customFormat="false" ht="26.85" hidden="false" customHeight="false" outlineLevel="0" collapsed="false">
      <c r="A137" s="4" t="s">
        <v>561</v>
      </c>
      <c r="B137" s="8" t="s">
        <v>562</v>
      </c>
      <c r="C137" s="8"/>
      <c r="D137" s="8"/>
      <c r="E137" s="8"/>
      <c r="F137" s="8"/>
      <c r="G137" s="8"/>
      <c r="H137" s="8"/>
      <c r="I137" s="8" t="s">
        <v>563</v>
      </c>
      <c r="J137" s="8" t="s">
        <v>64</v>
      </c>
      <c r="K137" s="8" t="s">
        <v>101</v>
      </c>
      <c r="L137" s="8" t="s">
        <v>505</v>
      </c>
      <c r="M137" s="8"/>
      <c r="N137" s="8" t="s">
        <v>62</v>
      </c>
      <c r="O137" s="8" t="s">
        <v>63</v>
      </c>
      <c r="P137" s="4" t="n">
        <v>21</v>
      </c>
      <c r="Q137" s="8"/>
      <c r="R137" s="4" t="s">
        <v>562</v>
      </c>
      <c r="S137" s="4" t="n">
        <v>591</v>
      </c>
    </row>
    <row r="138" customFormat="false" ht="26.85" hidden="false" customHeight="false" outlineLevel="0" collapsed="false">
      <c r="A138" s="4" t="s">
        <v>564</v>
      </c>
      <c r="B138" s="8" t="s">
        <v>565</v>
      </c>
      <c r="C138" s="8"/>
      <c r="D138" s="8"/>
      <c r="E138" s="8"/>
      <c r="F138" s="8"/>
      <c r="G138" s="8"/>
      <c r="H138" s="8"/>
      <c r="I138" s="8" t="s">
        <v>566</v>
      </c>
      <c r="J138" s="8" t="s">
        <v>64</v>
      </c>
      <c r="K138" s="8" t="s">
        <v>101</v>
      </c>
      <c r="L138" s="8" t="s">
        <v>505</v>
      </c>
      <c r="M138" s="8"/>
      <c r="N138" s="8" t="s">
        <v>62</v>
      </c>
      <c r="O138" s="8" t="s">
        <v>63</v>
      </c>
      <c r="P138" s="4" t="n">
        <v>21</v>
      </c>
      <c r="Q138" s="8"/>
      <c r="R138" s="4" t="s">
        <v>565</v>
      </c>
      <c r="S138" s="4"/>
    </row>
    <row r="139" customFormat="false" ht="26.85" hidden="false" customHeight="false" outlineLevel="0" collapsed="false">
      <c r="A139" s="4" t="s">
        <v>567</v>
      </c>
      <c r="B139" s="8" t="s">
        <v>568</v>
      </c>
      <c r="C139" s="8" t="s">
        <v>58</v>
      </c>
      <c r="D139" s="8"/>
      <c r="E139" s="8" t="s">
        <v>60</v>
      </c>
      <c r="F139" s="8"/>
      <c r="G139" s="8"/>
      <c r="H139" s="8"/>
      <c r="I139" s="8" t="s">
        <v>569</v>
      </c>
      <c r="J139" s="8" t="s">
        <v>64</v>
      </c>
      <c r="K139" s="8" t="s">
        <v>101</v>
      </c>
      <c r="L139" s="8" t="s">
        <v>505</v>
      </c>
      <c r="M139" s="8"/>
      <c r="N139" s="8" t="s">
        <v>62</v>
      </c>
      <c r="O139" s="8" t="s">
        <v>63</v>
      </c>
      <c r="P139" s="4" t="n">
        <v>21</v>
      </c>
      <c r="Q139" s="8"/>
      <c r="R139" s="4" t="s">
        <v>570</v>
      </c>
      <c r="S139" s="4" t="n">
        <v>1362</v>
      </c>
    </row>
    <row r="140" customFormat="false" ht="26.85" hidden="false" customHeight="false" outlineLevel="0" collapsed="false">
      <c r="A140" s="4" t="s">
        <v>571</v>
      </c>
      <c r="B140" s="8" t="s">
        <v>572</v>
      </c>
      <c r="C140" s="8"/>
      <c r="D140" s="8"/>
      <c r="E140" s="8"/>
      <c r="F140" s="8"/>
      <c r="G140" s="8"/>
      <c r="H140" s="8"/>
      <c r="I140" s="8" t="s">
        <v>573</v>
      </c>
      <c r="J140" s="8" t="s">
        <v>64</v>
      </c>
      <c r="K140" s="8" t="s">
        <v>101</v>
      </c>
      <c r="L140" s="8" t="s">
        <v>505</v>
      </c>
      <c r="M140" s="8"/>
      <c r="N140" s="8" t="s">
        <v>62</v>
      </c>
      <c r="O140" s="8" t="s">
        <v>63</v>
      </c>
      <c r="P140" s="4" t="n">
        <v>21</v>
      </c>
      <c r="Q140" s="8"/>
      <c r="R140" s="4" t="s">
        <v>572</v>
      </c>
      <c r="S140" s="4"/>
    </row>
    <row r="141" customFormat="false" ht="26.85" hidden="false" customHeight="false" outlineLevel="0" collapsed="false">
      <c r="A141" s="4" t="s">
        <v>574</v>
      </c>
      <c r="B141" s="8" t="s">
        <v>575</v>
      </c>
      <c r="C141" s="8"/>
      <c r="D141" s="8"/>
      <c r="E141" s="8"/>
      <c r="F141" s="8"/>
      <c r="G141" s="8"/>
      <c r="H141" s="8"/>
      <c r="I141" s="8" t="s">
        <v>576</v>
      </c>
      <c r="J141" s="8" t="s">
        <v>64</v>
      </c>
      <c r="K141" s="8" t="s">
        <v>101</v>
      </c>
      <c r="L141" s="8" t="s">
        <v>505</v>
      </c>
      <c r="M141" s="8"/>
      <c r="N141" s="8" t="s">
        <v>62</v>
      </c>
      <c r="O141" s="8" t="s">
        <v>63</v>
      </c>
      <c r="P141" s="4" t="n">
        <v>21</v>
      </c>
      <c r="Q141" s="8"/>
      <c r="R141" s="4" t="s">
        <v>575</v>
      </c>
      <c r="S141" s="4" t="n">
        <v>456</v>
      </c>
    </row>
    <row r="142" customFormat="false" ht="26.85" hidden="false" customHeight="false" outlineLevel="0" collapsed="false">
      <c r="A142" s="4" t="s">
        <v>577</v>
      </c>
      <c r="B142" s="8" t="s">
        <v>578</v>
      </c>
      <c r="C142" s="8"/>
      <c r="D142" s="8"/>
      <c r="E142" s="8"/>
      <c r="F142" s="8"/>
      <c r="G142" s="8"/>
      <c r="H142" s="8"/>
      <c r="I142" s="8" t="s">
        <v>579</v>
      </c>
      <c r="J142" s="8" t="s">
        <v>64</v>
      </c>
      <c r="K142" s="8" t="s">
        <v>101</v>
      </c>
      <c r="L142" s="8" t="s">
        <v>505</v>
      </c>
      <c r="M142" s="8"/>
      <c r="N142" s="8" t="s">
        <v>62</v>
      </c>
      <c r="O142" s="8" t="s">
        <v>63</v>
      </c>
      <c r="P142" s="4" t="n">
        <v>21</v>
      </c>
      <c r="Q142" s="8"/>
      <c r="R142" s="4" t="s">
        <v>578</v>
      </c>
      <c r="S142" s="4"/>
    </row>
    <row r="143" customFormat="false" ht="26.85" hidden="false" customHeight="false" outlineLevel="0" collapsed="false">
      <c r="A143" s="4" t="s">
        <v>580</v>
      </c>
      <c r="B143" s="8" t="s">
        <v>581</v>
      </c>
      <c r="C143" s="8"/>
      <c r="D143" s="8"/>
      <c r="E143" s="8"/>
      <c r="F143" s="8"/>
      <c r="G143" s="8"/>
      <c r="H143" s="8"/>
      <c r="I143" s="8" t="s">
        <v>582</v>
      </c>
      <c r="J143" s="8" t="s">
        <v>64</v>
      </c>
      <c r="K143" s="8" t="s">
        <v>101</v>
      </c>
      <c r="L143" s="8" t="s">
        <v>505</v>
      </c>
      <c r="M143" s="8"/>
      <c r="N143" s="8" t="s">
        <v>62</v>
      </c>
      <c r="O143" s="8" t="s">
        <v>63</v>
      </c>
      <c r="P143" s="4" t="n">
        <v>21</v>
      </c>
      <c r="Q143" s="8"/>
      <c r="R143" s="4" t="s">
        <v>581</v>
      </c>
      <c r="S143" s="4"/>
    </row>
    <row r="144" customFormat="false" ht="26.85" hidden="false" customHeight="false" outlineLevel="0" collapsed="false">
      <c r="A144" s="4" t="s">
        <v>583</v>
      </c>
      <c r="B144" s="8" t="s">
        <v>584</v>
      </c>
      <c r="C144" s="8"/>
      <c r="D144" s="8"/>
      <c r="E144" s="8"/>
      <c r="F144" s="8"/>
      <c r="G144" s="8"/>
      <c r="H144" s="8"/>
      <c r="I144" s="8" t="s">
        <v>585</v>
      </c>
      <c r="J144" s="8" t="s">
        <v>64</v>
      </c>
      <c r="K144" s="8" t="s">
        <v>101</v>
      </c>
      <c r="L144" s="8" t="s">
        <v>505</v>
      </c>
      <c r="M144" s="8"/>
      <c r="N144" s="8" t="s">
        <v>62</v>
      </c>
      <c r="O144" s="8" t="s">
        <v>63</v>
      </c>
      <c r="P144" s="4" t="n">
        <v>21</v>
      </c>
      <c r="Q144" s="8"/>
      <c r="R144" s="4" t="s">
        <v>584</v>
      </c>
      <c r="S144" s="4"/>
    </row>
    <row r="145" customFormat="false" ht="26.85" hidden="false" customHeight="false" outlineLevel="0" collapsed="false">
      <c r="A145" s="4" t="s">
        <v>586</v>
      </c>
      <c r="B145" s="8" t="s">
        <v>587</v>
      </c>
      <c r="C145" s="8"/>
      <c r="D145" s="8"/>
      <c r="E145" s="8"/>
      <c r="F145" s="8"/>
      <c r="G145" s="8"/>
      <c r="H145" s="8"/>
      <c r="I145" s="8" t="s">
        <v>588</v>
      </c>
      <c r="J145" s="8" t="s">
        <v>64</v>
      </c>
      <c r="K145" s="8" t="s">
        <v>101</v>
      </c>
      <c r="L145" s="8" t="s">
        <v>505</v>
      </c>
      <c r="M145" s="8"/>
      <c r="N145" s="8" t="s">
        <v>62</v>
      </c>
      <c r="O145" s="8" t="s">
        <v>63</v>
      </c>
      <c r="P145" s="4" t="n">
        <v>21</v>
      </c>
      <c r="Q145" s="8"/>
      <c r="R145" s="4" t="s">
        <v>587</v>
      </c>
      <c r="S145" s="4"/>
    </row>
    <row r="146" customFormat="false" ht="26.85" hidden="false" customHeight="false" outlineLevel="0" collapsed="false">
      <c r="A146" s="4" t="s">
        <v>589</v>
      </c>
      <c r="B146" s="8" t="s">
        <v>590</v>
      </c>
      <c r="C146" s="8"/>
      <c r="D146" s="8"/>
      <c r="E146" s="8"/>
      <c r="F146" s="8"/>
      <c r="G146" s="8"/>
      <c r="H146" s="8"/>
      <c r="I146" s="8" t="s">
        <v>591</v>
      </c>
      <c r="J146" s="8" t="s">
        <v>64</v>
      </c>
      <c r="K146" s="8" t="s">
        <v>101</v>
      </c>
      <c r="L146" s="8" t="s">
        <v>505</v>
      </c>
      <c r="M146" s="8"/>
      <c r="N146" s="8" t="s">
        <v>62</v>
      </c>
      <c r="O146" s="8" t="s">
        <v>63</v>
      </c>
      <c r="P146" s="4" t="n">
        <v>21</v>
      </c>
      <c r="Q146" s="8"/>
      <c r="R146" s="4" t="s">
        <v>590</v>
      </c>
      <c r="S146" s="4"/>
    </row>
    <row r="147" customFormat="false" ht="26.85" hidden="false" customHeight="false" outlineLevel="0" collapsed="false">
      <c r="A147" s="4" t="s">
        <v>592</v>
      </c>
      <c r="B147" s="8" t="s">
        <v>593</v>
      </c>
      <c r="C147" s="8" t="s">
        <v>58</v>
      </c>
      <c r="D147" s="8"/>
      <c r="E147" s="8" t="s">
        <v>60</v>
      </c>
      <c r="F147" s="8"/>
      <c r="G147" s="8"/>
      <c r="H147" s="8"/>
      <c r="I147" s="8" t="s">
        <v>594</v>
      </c>
      <c r="J147" s="8" t="s">
        <v>64</v>
      </c>
      <c r="K147" s="8" t="s">
        <v>101</v>
      </c>
      <c r="L147" s="8" t="s">
        <v>505</v>
      </c>
      <c r="M147" s="8"/>
      <c r="N147" s="8" t="s">
        <v>62</v>
      </c>
      <c r="O147" s="8" t="s">
        <v>63</v>
      </c>
      <c r="P147" s="4" t="n">
        <v>21</v>
      </c>
      <c r="Q147" s="8"/>
      <c r="R147" s="4" t="s">
        <v>595</v>
      </c>
      <c r="S147" s="4"/>
    </row>
    <row r="148" customFormat="false" ht="26.85" hidden="false" customHeight="false" outlineLevel="0" collapsed="false">
      <c r="A148" s="4" t="s">
        <v>596</v>
      </c>
      <c r="B148" s="8" t="s">
        <v>597</v>
      </c>
      <c r="C148" s="8"/>
      <c r="D148" s="8"/>
      <c r="E148" s="8"/>
      <c r="F148" s="8"/>
      <c r="G148" s="8"/>
      <c r="H148" s="8"/>
      <c r="I148" s="8" t="s">
        <v>598</v>
      </c>
      <c r="J148" s="8" t="s">
        <v>64</v>
      </c>
      <c r="K148" s="8" t="s">
        <v>101</v>
      </c>
      <c r="L148" s="8" t="s">
        <v>505</v>
      </c>
      <c r="M148" s="8"/>
      <c r="N148" s="8" t="s">
        <v>62</v>
      </c>
      <c r="O148" s="8" t="s">
        <v>63</v>
      </c>
      <c r="P148" s="4" t="n">
        <v>21</v>
      </c>
      <c r="Q148" s="8"/>
      <c r="R148" s="4" t="s">
        <v>597</v>
      </c>
      <c r="S148" s="4"/>
    </row>
    <row r="149" customFormat="false" ht="26.85" hidden="false" customHeight="false" outlineLevel="0" collapsed="false">
      <c r="A149" s="4" t="s">
        <v>599</v>
      </c>
      <c r="B149" s="8" t="s">
        <v>600</v>
      </c>
      <c r="C149" s="8"/>
      <c r="D149" s="8"/>
      <c r="E149" s="8"/>
      <c r="F149" s="8"/>
      <c r="G149" s="8"/>
      <c r="H149" s="8"/>
      <c r="I149" s="8" t="s">
        <v>601</v>
      </c>
      <c r="J149" s="8" t="s">
        <v>64</v>
      </c>
      <c r="K149" s="8" t="s">
        <v>101</v>
      </c>
      <c r="L149" s="8" t="s">
        <v>505</v>
      </c>
      <c r="M149" s="8"/>
      <c r="N149" s="8" t="s">
        <v>62</v>
      </c>
      <c r="O149" s="8" t="s">
        <v>63</v>
      </c>
      <c r="P149" s="4" t="n">
        <v>21</v>
      </c>
      <c r="Q149" s="8"/>
      <c r="R149" s="4" t="s">
        <v>600</v>
      </c>
      <c r="S149" s="4"/>
    </row>
    <row r="150" customFormat="false" ht="26.85" hidden="false" customHeight="false" outlineLevel="0" collapsed="false">
      <c r="A150" s="4" t="s">
        <v>602</v>
      </c>
      <c r="B150" s="8" t="s">
        <v>603</v>
      </c>
      <c r="C150" s="8"/>
      <c r="D150" s="8"/>
      <c r="E150" s="8"/>
      <c r="F150" s="8"/>
      <c r="G150" s="8"/>
      <c r="H150" s="8"/>
      <c r="I150" s="8" t="s">
        <v>604</v>
      </c>
      <c r="J150" s="8" t="s">
        <v>64</v>
      </c>
      <c r="K150" s="8" t="s">
        <v>101</v>
      </c>
      <c r="L150" s="8" t="s">
        <v>505</v>
      </c>
      <c r="M150" s="8"/>
      <c r="N150" s="8" t="s">
        <v>62</v>
      </c>
      <c r="O150" s="8" t="s">
        <v>63</v>
      </c>
      <c r="P150" s="4" t="n">
        <v>21</v>
      </c>
      <c r="Q150" s="8"/>
      <c r="R150" s="4" t="s">
        <v>603</v>
      </c>
      <c r="S150" s="4" t="n">
        <v>80</v>
      </c>
    </row>
    <row r="151" customFormat="false" ht="26.85" hidden="false" customHeight="false" outlineLevel="0" collapsed="false">
      <c r="A151" s="4" t="s">
        <v>605</v>
      </c>
      <c r="B151" s="8" t="s">
        <v>606</v>
      </c>
      <c r="C151" s="8"/>
      <c r="D151" s="8"/>
      <c r="E151" s="8"/>
      <c r="F151" s="8"/>
      <c r="G151" s="8"/>
      <c r="H151" s="8"/>
      <c r="I151" s="8" t="s">
        <v>607</v>
      </c>
      <c r="J151" s="8" t="s">
        <v>64</v>
      </c>
      <c r="K151" s="8" t="s">
        <v>101</v>
      </c>
      <c r="L151" s="8" t="s">
        <v>505</v>
      </c>
      <c r="M151" s="8"/>
      <c r="N151" s="8" t="s">
        <v>62</v>
      </c>
      <c r="O151" s="8" t="s">
        <v>63</v>
      </c>
      <c r="P151" s="4" t="n">
        <v>21</v>
      </c>
      <c r="Q151" s="8"/>
      <c r="R151" s="4" t="s">
        <v>606</v>
      </c>
      <c r="S151" s="4" t="n">
        <v>1955</v>
      </c>
    </row>
    <row r="152" customFormat="false" ht="26.85" hidden="false" customHeight="false" outlineLevel="0" collapsed="false">
      <c r="A152" s="4" t="s">
        <v>608</v>
      </c>
      <c r="B152" s="8" t="s">
        <v>609</v>
      </c>
      <c r="C152" s="8" t="s">
        <v>58</v>
      </c>
      <c r="D152" s="8"/>
      <c r="E152" s="8" t="s">
        <v>60</v>
      </c>
      <c r="F152" s="8"/>
      <c r="G152" s="8"/>
      <c r="H152" s="8"/>
      <c r="I152" s="8" t="s">
        <v>610</v>
      </c>
      <c r="J152" s="8" t="s">
        <v>64</v>
      </c>
      <c r="K152" s="8" t="s">
        <v>101</v>
      </c>
      <c r="L152" s="8" t="s">
        <v>505</v>
      </c>
      <c r="M152" s="8"/>
      <c r="N152" s="8" t="s">
        <v>62</v>
      </c>
      <c r="O152" s="8" t="s">
        <v>63</v>
      </c>
      <c r="P152" s="4" t="n">
        <v>21</v>
      </c>
      <c r="Q152" s="8"/>
      <c r="R152" s="4" t="s">
        <v>611</v>
      </c>
      <c r="S152" s="4" t="n">
        <v>4081</v>
      </c>
    </row>
    <row r="153" customFormat="false" ht="26.85" hidden="false" customHeight="false" outlineLevel="0" collapsed="false">
      <c r="A153" s="4" t="s">
        <v>612</v>
      </c>
      <c r="B153" s="8" t="s">
        <v>613</v>
      </c>
      <c r="C153" s="8"/>
      <c r="D153" s="8"/>
      <c r="E153" s="8"/>
      <c r="F153" s="8"/>
      <c r="G153" s="8"/>
      <c r="H153" s="8"/>
      <c r="I153" s="8" t="s">
        <v>614</v>
      </c>
      <c r="J153" s="8" t="s">
        <v>64</v>
      </c>
      <c r="K153" s="8" t="s">
        <v>101</v>
      </c>
      <c r="L153" s="8" t="s">
        <v>505</v>
      </c>
      <c r="M153" s="8"/>
      <c r="N153" s="8" t="s">
        <v>62</v>
      </c>
      <c r="O153" s="8" t="s">
        <v>63</v>
      </c>
      <c r="P153" s="4" t="n">
        <v>21</v>
      </c>
      <c r="Q153" s="8"/>
      <c r="R153" s="4" t="s">
        <v>613</v>
      </c>
      <c r="S153" s="4" t="n">
        <v>386</v>
      </c>
    </row>
    <row r="154" customFormat="false" ht="26.85" hidden="false" customHeight="false" outlineLevel="0" collapsed="false">
      <c r="A154" s="4" t="s">
        <v>615</v>
      </c>
      <c r="B154" s="8" t="s">
        <v>616</v>
      </c>
      <c r="C154" s="8" t="s">
        <v>58</v>
      </c>
      <c r="D154" s="8"/>
      <c r="E154" s="8" t="s">
        <v>60</v>
      </c>
      <c r="F154" s="8"/>
      <c r="G154" s="8"/>
      <c r="H154" s="8"/>
      <c r="I154" s="8" t="s">
        <v>617</v>
      </c>
      <c r="J154" s="8" t="s">
        <v>64</v>
      </c>
      <c r="K154" s="8" t="s">
        <v>101</v>
      </c>
      <c r="L154" s="8" t="s">
        <v>505</v>
      </c>
      <c r="M154" s="8"/>
      <c r="N154" s="8" t="s">
        <v>62</v>
      </c>
      <c r="O154" s="8" t="s">
        <v>63</v>
      </c>
      <c r="P154" s="4" t="n">
        <v>21</v>
      </c>
      <c r="Q154" s="8"/>
      <c r="R154" s="4" t="s">
        <v>618</v>
      </c>
      <c r="S154" s="4"/>
    </row>
    <row r="155" customFormat="false" ht="26.85" hidden="false" customHeight="false" outlineLevel="0" collapsed="false">
      <c r="A155" s="4" t="s">
        <v>619</v>
      </c>
      <c r="B155" s="8" t="s">
        <v>620</v>
      </c>
      <c r="C155" s="8" t="s">
        <v>58</v>
      </c>
      <c r="D155" s="8"/>
      <c r="E155" s="8" t="s">
        <v>60</v>
      </c>
      <c r="F155" s="8"/>
      <c r="G155" s="8"/>
      <c r="H155" s="8"/>
      <c r="I155" s="8" t="s">
        <v>621</v>
      </c>
      <c r="J155" s="8" t="s">
        <v>64</v>
      </c>
      <c r="K155" s="8" t="s">
        <v>101</v>
      </c>
      <c r="L155" s="8" t="s">
        <v>505</v>
      </c>
      <c r="M155" s="8"/>
      <c r="N155" s="8" t="s">
        <v>62</v>
      </c>
      <c r="O155" s="8" t="s">
        <v>63</v>
      </c>
      <c r="P155" s="4" t="n">
        <v>21</v>
      </c>
      <c r="Q155" s="8"/>
      <c r="R155" s="4" t="s">
        <v>622</v>
      </c>
      <c r="S155" s="4"/>
    </row>
    <row r="156" customFormat="false" ht="26.85" hidden="false" customHeight="false" outlineLevel="0" collapsed="false">
      <c r="A156" s="4" t="s">
        <v>623</v>
      </c>
      <c r="B156" s="8" t="s">
        <v>624</v>
      </c>
      <c r="C156" s="8"/>
      <c r="D156" s="8"/>
      <c r="E156" s="8"/>
      <c r="F156" s="8"/>
      <c r="G156" s="8"/>
      <c r="H156" s="8"/>
      <c r="I156" s="8" t="s">
        <v>625</v>
      </c>
      <c r="J156" s="8" t="s">
        <v>64</v>
      </c>
      <c r="K156" s="8" t="s">
        <v>101</v>
      </c>
      <c r="L156" s="8" t="s">
        <v>505</v>
      </c>
      <c r="M156" s="8"/>
      <c r="N156" s="8" t="s">
        <v>62</v>
      </c>
      <c r="O156" s="8" t="s">
        <v>63</v>
      </c>
      <c r="P156" s="4" t="n">
        <v>21</v>
      </c>
      <c r="Q156" s="8"/>
      <c r="R156" s="4" t="s">
        <v>624</v>
      </c>
      <c r="S156" s="4"/>
    </row>
    <row r="157" customFormat="false" ht="26.85" hidden="false" customHeight="false" outlineLevel="0" collapsed="false">
      <c r="A157" s="4" t="s">
        <v>626</v>
      </c>
      <c r="B157" s="8" t="s">
        <v>627</v>
      </c>
      <c r="C157" s="8"/>
      <c r="D157" s="8"/>
      <c r="E157" s="8"/>
      <c r="F157" s="8"/>
      <c r="G157" s="8"/>
      <c r="H157" s="8"/>
      <c r="I157" s="8" t="s">
        <v>628</v>
      </c>
      <c r="J157" s="8" t="s">
        <v>64</v>
      </c>
      <c r="K157" s="8" t="s">
        <v>101</v>
      </c>
      <c r="L157" s="8" t="s">
        <v>505</v>
      </c>
      <c r="M157" s="8"/>
      <c r="N157" s="8" t="s">
        <v>62</v>
      </c>
      <c r="O157" s="8" t="s">
        <v>63</v>
      </c>
      <c r="P157" s="4" t="n">
        <v>21</v>
      </c>
      <c r="Q157" s="8"/>
      <c r="R157" s="4" t="s">
        <v>627</v>
      </c>
      <c r="S157" s="4"/>
    </row>
    <row r="158" customFormat="false" ht="26.85" hidden="false" customHeight="false" outlineLevel="0" collapsed="false">
      <c r="A158" s="4" t="s">
        <v>629</v>
      </c>
      <c r="B158" s="8" t="s">
        <v>630</v>
      </c>
      <c r="C158" s="8"/>
      <c r="D158" s="8"/>
      <c r="E158" s="8"/>
      <c r="F158" s="8"/>
      <c r="G158" s="8"/>
      <c r="H158" s="8"/>
      <c r="I158" s="8" t="s">
        <v>631</v>
      </c>
      <c r="J158" s="8" t="s">
        <v>64</v>
      </c>
      <c r="K158" s="8" t="s">
        <v>101</v>
      </c>
      <c r="L158" s="8" t="s">
        <v>505</v>
      </c>
      <c r="M158" s="8"/>
      <c r="N158" s="8" t="s">
        <v>62</v>
      </c>
      <c r="O158" s="8" t="s">
        <v>63</v>
      </c>
      <c r="P158" s="4" t="n">
        <v>21</v>
      </c>
      <c r="Q158" s="8"/>
      <c r="R158" s="4" t="s">
        <v>630</v>
      </c>
      <c r="S158" s="4" t="n">
        <v>1477</v>
      </c>
    </row>
    <row r="159" customFormat="false" ht="26.85" hidden="false" customHeight="false" outlineLevel="0" collapsed="false">
      <c r="A159" s="4" t="s">
        <v>632</v>
      </c>
      <c r="B159" s="8" t="s">
        <v>633</v>
      </c>
      <c r="C159" s="8"/>
      <c r="D159" s="8"/>
      <c r="E159" s="8"/>
      <c r="F159" s="8"/>
      <c r="G159" s="8"/>
      <c r="H159" s="8"/>
      <c r="I159" s="8" t="s">
        <v>634</v>
      </c>
      <c r="J159" s="8" t="s">
        <v>64</v>
      </c>
      <c r="K159" s="8" t="s">
        <v>101</v>
      </c>
      <c r="L159" s="8" t="s">
        <v>505</v>
      </c>
      <c r="M159" s="8"/>
      <c r="N159" s="8" t="s">
        <v>62</v>
      </c>
      <c r="O159" s="8" t="s">
        <v>63</v>
      </c>
      <c r="P159" s="4" t="n">
        <v>21</v>
      </c>
      <c r="Q159" s="8"/>
      <c r="R159" s="4" t="s">
        <v>633</v>
      </c>
      <c r="S159" s="4"/>
    </row>
    <row r="160" customFormat="false" ht="26.85" hidden="false" customHeight="false" outlineLevel="0" collapsed="false">
      <c r="A160" s="4" t="s">
        <v>635</v>
      </c>
      <c r="B160" s="8" t="s">
        <v>636</v>
      </c>
      <c r="C160" s="8" t="s">
        <v>58</v>
      </c>
      <c r="D160" s="8"/>
      <c r="E160" s="8" t="s">
        <v>60</v>
      </c>
      <c r="F160" s="8"/>
      <c r="G160" s="8"/>
      <c r="H160" s="8"/>
      <c r="I160" s="8" t="s">
        <v>637</v>
      </c>
      <c r="J160" s="8" t="s">
        <v>64</v>
      </c>
      <c r="K160" s="8" t="s">
        <v>101</v>
      </c>
      <c r="L160" s="8" t="s">
        <v>505</v>
      </c>
      <c r="M160" s="8"/>
      <c r="N160" s="8" t="s">
        <v>62</v>
      </c>
      <c r="O160" s="8" t="s">
        <v>63</v>
      </c>
      <c r="P160" s="4" t="n">
        <v>21</v>
      </c>
      <c r="Q160" s="8"/>
      <c r="R160" s="4" t="s">
        <v>638</v>
      </c>
      <c r="S160" s="4"/>
    </row>
    <row r="161" customFormat="false" ht="26.85" hidden="false" customHeight="false" outlineLevel="0" collapsed="false">
      <c r="A161" s="4" t="s">
        <v>639</v>
      </c>
      <c r="B161" s="8" t="s">
        <v>640</v>
      </c>
      <c r="C161" s="8"/>
      <c r="D161" s="8"/>
      <c r="E161" s="8"/>
      <c r="F161" s="8"/>
      <c r="G161" s="8"/>
      <c r="H161" s="8"/>
      <c r="I161" s="8" t="s">
        <v>641</v>
      </c>
      <c r="J161" s="8" t="s">
        <v>64</v>
      </c>
      <c r="K161" s="8" t="s">
        <v>101</v>
      </c>
      <c r="L161" s="8" t="s">
        <v>505</v>
      </c>
      <c r="M161" s="8"/>
      <c r="N161" s="8" t="s">
        <v>62</v>
      </c>
      <c r="O161" s="8" t="s">
        <v>63</v>
      </c>
      <c r="P161" s="4" t="n">
        <v>21</v>
      </c>
      <c r="Q161" s="8"/>
      <c r="R161" s="4" t="s">
        <v>640</v>
      </c>
      <c r="S161" s="4"/>
    </row>
    <row r="162" customFormat="false" ht="26.85" hidden="false" customHeight="false" outlineLevel="0" collapsed="false">
      <c r="A162" s="4" t="s">
        <v>642</v>
      </c>
      <c r="B162" s="8" t="s">
        <v>643</v>
      </c>
      <c r="C162" s="8"/>
      <c r="D162" s="8"/>
      <c r="E162" s="8"/>
      <c r="F162" s="8"/>
      <c r="G162" s="8"/>
      <c r="H162" s="8"/>
      <c r="I162" s="8" t="s">
        <v>644</v>
      </c>
      <c r="J162" s="8" t="s">
        <v>64</v>
      </c>
      <c r="K162" s="8" t="s">
        <v>101</v>
      </c>
      <c r="L162" s="8" t="s">
        <v>505</v>
      </c>
      <c r="M162" s="8"/>
      <c r="N162" s="8" t="s">
        <v>62</v>
      </c>
      <c r="O162" s="8" t="s">
        <v>63</v>
      </c>
      <c r="P162" s="4" t="n">
        <v>21</v>
      </c>
      <c r="Q162" s="8"/>
      <c r="R162" s="4" t="s">
        <v>643</v>
      </c>
      <c r="S162" s="4"/>
    </row>
    <row r="163" customFormat="false" ht="26.85" hidden="false" customHeight="false" outlineLevel="0" collapsed="false">
      <c r="A163" s="4" t="s">
        <v>645</v>
      </c>
      <c r="B163" s="8" t="s">
        <v>646</v>
      </c>
      <c r="C163" s="8"/>
      <c r="D163" s="8"/>
      <c r="E163" s="8"/>
      <c r="F163" s="8"/>
      <c r="G163" s="8"/>
      <c r="H163" s="8"/>
      <c r="I163" s="8" t="s">
        <v>647</v>
      </c>
      <c r="J163" s="8" t="s">
        <v>64</v>
      </c>
      <c r="K163" s="8" t="s">
        <v>101</v>
      </c>
      <c r="L163" s="8" t="s">
        <v>505</v>
      </c>
      <c r="M163" s="8"/>
      <c r="N163" s="8" t="s">
        <v>62</v>
      </c>
      <c r="O163" s="8" t="s">
        <v>63</v>
      </c>
      <c r="P163" s="4" t="n">
        <v>21</v>
      </c>
      <c r="Q163" s="8"/>
      <c r="R163" s="4" t="s">
        <v>646</v>
      </c>
      <c r="S163" s="4"/>
    </row>
    <row r="164" customFormat="false" ht="26.85" hidden="false" customHeight="false" outlineLevel="0" collapsed="false">
      <c r="A164" s="4" t="s">
        <v>648</v>
      </c>
      <c r="B164" s="8" t="s">
        <v>649</v>
      </c>
      <c r="C164" s="8" t="s">
        <v>58</v>
      </c>
      <c r="D164" s="8"/>
      <c r="E164" s="8" t="s">
        <v>60</v>
      </c>
      <c r="F164" s="8"/>
      <c r="G164" s="8"/>
      <c r="H164" s="8"/>
      <c r="I164" s="8" t="s">
        <v>650</v>
      </c>
      <c r="J164" s="8" t="s">
        <v>64</v>
      </c>
      <c r="K164" s="8" t="s">
        <v>101</v>
      </c>
      <c r="L164" s="8" t="s">
        <v>505</v>
      </c>
      <c r="M164" s="8"/>
      <c r="N164" s="8" t="s">
        <v>62</v>
      </c>
      <c r="O164" s="8" t="s">
        <v>63</v>
      </c>
      <c r="P164" s="4" t="n">
        <v>21</v>
      </c>
      <c r="Q164" s="8"/>
      <c r="R164" s="4" t="s">
        <v>651</v>
      </c>
      <c r="S164" s="4"/>
    </row>
    <row r="165" customFormat="false" ht="26.85" hidden="false" customHeight="false" outlineLevel="0" collapsed="false">
      <c r="A165" s="4" t="s">
        <v>652</v>
      </c>
      <c r="B165" s="8" t="s">
        <v>653</v>
      </c>
      <c r="C165" s="8" t="s">
        <v>58</v>
      </c>
      <c r="D165" s="8" t="s">
        <v>67</v>
      </c>
      <c r="E165" s="8" t="s">
        <v>60</v>
      </c>
      <c r="F165" s="8"/>
      <c r="G165" s="8"/>
      <c r="H165" s="8"/>
      <c r="I165" s="8" t="s">
        <v>654</v>
      </c>
      <c r="J165" s="8" t="s">
        <v>64</v>
      </c>
      <c r="K165" s="8" t="s">
        <v>101</v>
      </c>
      <c r="L165" s="8" t="s">
        <v>505</v>
      </c>
      <c r="M165" s="8"/>
      <c r="N165" s="8" t="s">
        <v>62</v>
      </c>
      <c r="O165" s="8" t="s">
        <v>63</v>
      </c>
      <c r="P165" s="4" t="n">
        <v>21</v>
      </c>
      <c r="Q165" s="8"/>
      <c r="R165" s="4" t="s">
        <v>655</v>
      </c>
      <c r="S165" s="4"/>
    </row>
    <row r="166" customFormat="false" ht="26.85" hidden="false" customHeight="false" outlineLevel="0" collapsed="false">
      <c r="A166" s="4" t="s">
        <v>656</v>
      </c>
      <c r="B166" s="8" t="s">
        <v>657</v>
      </c>
      <c r="C166" s="8"/>
      <c r="D166" s="8"/>
      <c r="E166" s="8"/>
      <c r="F166" s="8"/>
      <c r="G166" s="8"/>
      <c r="H166" s="8"/>
      <c r="I166" s="8" t="s">
        <v>658</v>
      </c>
      <c r="J166" s="8" t="s">
        <v>64</v>
      </c>
      <c r="K166" s="8" t="s">
        <v>101</v>
      </c>
      <c r="L166" s="8" t="s">
        <v>505</v>
      </c>
      <c r="M166" s="8"/>
      <c r="N166" s="8" t="s">
        <v>62</v>
      </c>
      <c r="O166" s="8" t="s">
        <v>63</v>
      </c>
      <c r="P166" s="4" t="n">
        <v>21</v>
      </c>
      <c r="Q166" s="8"/>
      <c r="R166" s="4" t="s">
        <v>657</v>
      </c>
      <c r="S166" s="4"/>
    </row>
    <row r="167" customFormat="false" ht="26.85" hidden="false" customHeight="false" outlineLevel="0" collapsed="false">
      <c r="A167" s="4" t="s">
        <v>659</v>
      </c>
      <c r="B167" s="8" t="s">
        <v>660</v>
      </c>
      <c r="C167" s="8" t="s">
        <v>58</v>
      </c>
      <c r="D167" s="8"/>
      <c r="E167" s="8" t="s">
        <v>60</v>
      </c>
      <c r="F167" s="8"/>
      <c r="G167" s="8"/>
      <c r="H167" s="8"/>
      <c r="I167" s="8" t="s">
        <v>661</v>
      </c>
      <c r="J167" s="8" t="s">
        <v>64</v>
      </c>
      <c r="K167" s="8" t="s">
        <v>101</v>
      </c>
      <c r="L167" s="8" t="s">
        <v>505</v>
      </c>
      <c r="M167" s="8"/>
      <c r="N167" s="8" t="s">
        <v>62</v>
      </c>
      <c r="O167" s="8" t="s">
        <v>63</v>
      </c>
      <c r="P167" s="4" t="n">
        <v>21</v>
      </c>
      <c r="Q167" s="8"/>
      <c r="R167" s="4" t="s">
        <v>662</v>
      </c>
      <c r="S167" s="4"/>
    </row>
    <row r="168" customFormat="false" ht="26.85" hidden="false" customHeight="false" outlineLevel="0" collapsed="false">
      <c r="A168" s="4" t="s">
        <v>663</v>
      </c>
      <c r="B168" s="8" t="s">
        <v>664</v>
      </c>
      <c r="C168" s="8"/>
      <c r="D168" s="8"/>
      <c r="E168" s="8"/>
      <c r="F168" s="8"/>
      <c r="G168" s="8"/>
      <c r="H168" s="8"/>
      <c r="I168" s="8" t="s">
        <v>665</v>
      </c>
      <c r="J168" s="8" t="s">
        <v>64</v>
      </c>
      <c r="K168" s="8" t="s">
        <v>101</v>
      </c>
      <c r="L168" s="8" t="s">
        <v>505</v>
      </c>
      <c r="M168" s="8"/>
      <c r="N168" s="8" t="s">
        <v>62</v>
      </c>
      <c r="O168" s="8" t="s">
        <v>63</v>
      </c>
      <c r="P168" s="4" t="n">
        <v>21</v>
      </c>
      <c r="Q168" s="8"/>
      <c r="R168" s="4" t="s">
        <v>664</v>
      </c>
      <c r="S168" s="4"/>
    </row>
    <row r="169" customFormat="false" ht="26.85" hidden="false" customHeight="false" outlineLevel="0" collapsed="false">
      <c r="A169" s="4" t="s">
        <v>666</v>
      </c>
      <c r="B169" s="8" t="s">
        <v>667</v>
      </c>
      <c r="C169" s="8"/>
      <c r="D169" s="8"/>
      <c r="E169" s="8"/>
      <c r="F169" s="8"/>
      <c r="G169" s="8"/>
      <c r="H169" s="8"/>
      <c r="I169" s="8" t="s">
        <v>668</v>
      </c>
      <c r="J169" s="8" t="s">
        <v>64</v>
      </c>
      <c r="K169" s="8" t="s">
        <v>101</v>
      </c>
      <c r="L169" s="8" t="s">
        <v>505</v>
      </c>
      <c r="M169" s="8"/>
      <c r="N169" s="8" t="s">
        <v>62</v>
      </c>
      <c r="O169" s="8" t="s">
        <v>63</v>
      </c>
      <c r="P169" s="4" t="n">
        <v>21</v>
      </c>
      <c r="Q169" s="8"/>
      <c r="R169" s="4" t="s">
        <v>667</v>
      </c>
      <c r="S169" s="4"/>
    </row>
    <row r="170" customFormat="false" ht="26.85" hidden="false" customHeight="false" outlineLevel="0" collapsed="false">
      <c r="A170" s="4" t="s">
        <v>669</v>
      </c>
      <c r="B170" s="8" t="s">
        <v>670</v>
      </c>
      <c r="C170" s="8" t="s">
        <v>58</v>
      </c>
      <c r="D170" s="8"/>
      <c r="E170" s="8" t="s">
        <v>60</v>
      </c>
      <c r="F170" s="8"/>
      <c r="G170" s="8"/>
      <c r="H170" s="8"/>
      <c r="I170" s="8" t="s">
        <v>671</v>
      </c>
      <c r="J170" s="8" t="s">
        <v>64</v>
      </c>
      <c r="K170" s="8" t="s">
        <v>101</v>
      </c>
      <c r="L170" s="8" t="s">
        <v>505</v>
      </c>
      <c r="M170" s="8"/>
      <c r="N170" s="8" t="s">
        <v>62</v>
      </c>
      <c r="O170" s="8" t="s">
        <v>63</v>
      </c>
      <c r="P170" s="4" t="n">
        <v>21</v>
      </c>
      <c r="Q170" s="8"/>
      <c r="R170" s="4" t="s">
        <v>672</v>
      </c>
      <c r="S170" s="4"/>
    </row>
    <row r="171" customFormat="false" ht="26.85" hidden="false" customHeight="false" outlineLevel="0" collapsed="false">
      <c r="A171" s="4" t="s">
        <v>673</v>
      </c>
      <c r="B171" s="8" t="s">
        <v>674</v>
      </c>
      <c r="C171" s="8"/>
      <c r="D171" s="8"/>
      <c r="E171" s="8"/>
      <c r="F171" s="8"/>
      <c r="G171" s="8"/>
      <c r="H171" s="8"/>
      <c r="I171" s="8" t="s">
        <v>675</v>
      </c>
      <c r="J171" s="8" t="s">
        <v>64</v>
      </c>
      <c r="K171" s="8" t="s">
        <v>101</v>
      </c>
      <c r="L171" s="8" t="s">
        <v>505</v>
      </c>
      <c r="M171" s="8"/>
      <c r="N171" s="8" t="s">
        <v>62</v>
      </c>
      <c r="O171" s="8" t="s">
        <v>63</v>
      </c>
      <c r="P171" s="4" t="n">
        <v>21</v>
      </c>
      <c r="Q171" s="8"/>
      <c r="R171" s="4" t="s">
        <v>674</v>
      </c>
      <c r="S171" s="4"/>
    </row>
    <row r="172" customFormat="false" ht="26.85" hidden="false" customHeight="false" outlineLevel="0" collapsed="false">
      <c r="A172" s="4" t="s">
        <v>676</v>
      </c>
      <c r="B172" s="8" t="s">
        <v>677</v>
      </c>
      <c r="C172" s="8"/>
      <c r="D172" s="8"/>
      <c r="E172" s="8"/>
      <c r="F172" s="8"/>
      <c r="G172" s="8"/>
      <c r="H172" s="8"/>
      <c r="I172" s="8" t="s">
        <v>678</v>
      </c>
      <c r="J172" s="8" t="s">
        <v>64</v>
      </c>
      <c r="K172" s="8" t="s">
        <v>101</v>
      </c>
      <c r="L172" s="8" t="s">
        <v>505</v>
      </c>
      <c r="M172" s="8"/>
      <c r="N172" s="8" t="s">
        <v>62</v>
      </c>
      <c r="O172" s="8" t="s">
        <v>63</v>
      </c>
      <c r="P172" s="4" t="n">
        <v>21</v>
      </c>
      <c r="Q172" s="8"/>
      <c r="R172" s="4" t="s">
        <v>677</v>
      </c>
      <c r="S172" s="4" t="n">
        <v>6824</v>
      </c>
    </row>
    <row r="173" customFormat="false" ht="26.85" hidden="false" customHeight="false" outlineLevel="0" collapsed="false">
      <c r="A173" s="4" t="s">
        <v>679</v>
      </c>
      <c r="B173" s="8" t="s">
        <v>680</v>
      </c>
      <c r="C173" s="8" t="s">
        <v>58</v>
      </c>
      <c r="D173" s="8"/>
      <c r="E173" s="8" t="s">
        <v>60</v>
      </c>
      <c r="F173" s="8"/>
      <c r="G173" s="8"/>
      <c r="H173" s="8"/>
      <c r="I173" s="8" t="s">
        <v>681</v>
      </c>
      <c r="J173" s="8" t="s">
        <v>64</v>
      </c>
      <c r="K173" s="8" t="s">
        <v>101</v>
      </c>
      <c r="L173" s="8" t="s">
        <v>505</v>
      </c>
      <c r="M173" s="8"/>
      <c r="N173" s="8" t="s">
        <v>62</v>
      </c>
      <c r="O173" s="8" t="s">
        <v>63</v>
      </c>
      <c r="P173" s="4" t="n">
        <v>21</v>
      </c>
      <c r="Q173" s="8"/>
      <c r="R173" s="4" t="s">
        <v>682</v>
      </c>
      <c r="S173" s="4"/>
    </row>
    <row r="174" customFormat="false" ht="26.85" hidden="false" customHeight="false" outlineLevel="0" collapsed="false">
      <c r="A174" s="4" t="s">
        <v>683</v>
      </c>
      <c r="B174" s="8" t="s">
        <v>684</v>
      </c>
      <c r="C174" s="8"/>
      <c r="D174" s="8"/>
      <c r="E174" s="8" t="s">
        <v>68</v>
      </c>
      <c r="F174" s="8" t="s">
        <v>685</v>
      </c>
      <c r="G174" s="8" t="s">
        <v>686</v>
      </c>
      <c r="H174" s="8"/>
      <c r="I174" s="8" t="s">
        <v>687</v>
      </c>
      <c r="J174" s="8" t="s">
        <v>64</v>
      </c>
      <c r="K174" s="8" t="s">
        <v>101</v>
      </c>
      <c r="L174" s="8" t="s">
        <v>688</v>
      </c>
      <c r="M174" s="8"/>
      <c r="N174" s="8" t="s">
        <v>62</v>
      </c>
      <c r="O174" s="8" t="s">
        <v>63</v>
      </c>
      <c r="P174" s="4" t="n">
        <v>22</v>
      </c>
      <c r="Q174" s="8"/>
      <c r="R174" s="4" t="s">
        <v>684</v>
      </c>
      <c r="S174" s="4" t="n">
        <v>1811</v>
      </c>
    </row>
    <row r="175" customFormat="false" ht="26.85" hidden="false" customHeight="false" outlineLevel="0" collapsed="false">
      <c r="A175" s="4" t="s">
        <v>689</v>
      </c>
      <c r="B175" s="8" t="s">
        <v>690</v>
      </c>
      <c r="C175" s="8"/>
      <c r="D175" s="8"/>
      <c r="E175" s="8" t="s">
        <v>68</v>
      </c>
      <c r="F175" s="8" t="s">
        <v>691</v>
      </c>
      <c r="G175" s="8" t="s">
        <v>692</v>
      </c>
      <c r="H175" s="8"/>
      <c r="I175" s="8" t="s">
        <v>693</v>
      </c>
      <c r="J175" s="8" t="s">
        <v>64</v>
      </c>
      <c r="K175" s="8" t="s">
        <v>101</v>
      </c>
      <c r="L175" s="8" t="s">
        <v>688</v>
      </c>
      <c r="M175" s="8"/>
      <c r="N175" s="8" t="s">
        <v>62</v>
      </c>
      <c r="O175" s="8" t="s">
        <v>63</v>
      </c>
      <c r="P175" s="4" t="n">
        <v>22</v>
      </c>
      <c r="Q175" s="8"/>
      <c r="R175" s="4" t="s">
        <v>690</v>
      </c>
      <c r="S175" s="4"/>
    </row>
    <row r="176" customFormat="false" ht="26.85" hidden="false" customHeight="false" outlineLevel="0" collapsed="false">
      <c r="A176" s="4" t="s">
        <v>694</v>
      </c>
      <c r="B176" s="8" t="s">
        <v>695</v>
      </c>
      <c r="C176" s="8"/>
      <c r="D176" s="8"/>
      <c r="E176" s="8" t="s">
        <v>68</v>
      </c>
      <c r="F176" s="8" t="s">
        <v>696</v>
      </c>
      <c r="G176" s="8" t="s">
        <v>697</v>
      </c>
      <c r="H176" s="8" t="s">
        <v>698</v>
      </c>
      <c r="I176" s="8" t="s">
        <v>699</v>
      </c>
      <c r="J176" s="8" t="s">
        <v>64</v>
      </c>
      <c r="K176" s="8" t="s">
        <v>101</v>
      </c>
      <c r="L176" s="8" t="s">
        <v>688</v>
      </c>
      <c r="M176" s="8"/>
      <c r="N176" s="8" t="s">
        <v>62</v>
      </c>
      <c r="O176" s="8" t="s">
        <v>63</v>
      </c>
      <c r="P176" s="4" t="n">
        <v>22</v>
      </c>
      <c r="Q176" s="8"/>
      <c r="R176" s="4" t="s">
        <v>695</v>
      </c>
      <c r="S176" s="4"/>
    </row>
    <row r="177" customFormat="false" ht="26.85" hidden="false" customHeight="false" outlineLevel="0" collapsed="false">
      <c r="A177" s="4" t="s">
        <v>700</v>
      </c>
      <c r="B177" s="8" t="s">
        <v>701</v>
      </c>
      <c r="C177" s="8"/>
      <c r="D177" s="8"/>
      <c r="E177" s="8" t="s">
        <v>68</v>
      </c>
      <c r="F177" s="8" t="s">
        <v>702</v>
      </c>
      <c r="G177" s="8" t="s">
        <v>703</v>
      </c>
      <c r="H177" s="8" t="s">
        <v>704</v>
      </c>
      <c r="I177" s="8" t="s">
        <v>705</v>
      </c>
      <c r="J177" s="8" t="s">
        <v>64</v>
      </c>
      <c r="K177" s="8" t="s">
        <v>101</v>
      </c>
      <c r="L177" s="8" t="s">
        <v>688</v>
      </c>
      <c r="M177" s="8"/>
      <c r="N177" s="8" t="s">
        <v>62</v>
      </c>
      <c r="O177" s="8" t="s">
        <v>63</v>
      </c>
      <c r="P177" s="4" t="n">
        <v>22</v>
      </c>
      <c r="Q177" s="8"/>
      <c r="R177" s="4" t="s">
        <v>701</v>
      </c>
      <c r="S177" s="4" t="n">
        <v>1165</v>
      </c>
    </row>
    <row r="178" customFormat="false" ht="26.85" hidden="false" customHeight="false" outlineLevel="0" collapsed="false">
      <c r="A178" s="4" t="s">
        <v>706</v>
      </c>
      <c r="B178" s="8" t="s">
        <v>707</v>
      </c>
      <c r="C178" s="8"/>
      <c r="D178" s="8"/>
      <c r="E178" s="8" t="s">
        <v>68</v>
      </c>
      <c r="F178" s="8" t="s">
        <v>708</v>
      </c>
      <c r="G178" s="8" t="s">
        <v>709</v>
      </c>
      <c r="H178" s="8"/>
      <c r="I178" s="8" t="s">
        <v>710</v>
      </c>
      <c r="J178" s="8" t="s">
        <v>64</v>
      </c>
      <c r="K178" s="8" t="s">
        <v>101</v>
      </c>
      <c r="L178" s="8" t="s">
        <v>688</v>
      </c>
      <c r="M178" s="8"/>
      <c r="N178" s="8" t="s">
        <v>62</v>
      </c>
      <c r="O178" s="8" t="s">
        <v>63</v>
      </c>
      <c r="P178" s="4" t="n">
        <v>22</v>
      </c>
      <c r="Q178" s="8"/>
      <c r="R178" s="4" t="s">
        <v>707</v>
      </c>
      <c r="S178" s="4" t="n">
        <v>1274</v>
      </c>
    </row>
    <row r="179" customFormat="false" ht="26.85" hidden="false" customHeight="false" outlineLevel="0" collapsed="false">
      <c r="A179" s="4" t="s">
        <v>711</v>
      </c>
      <c r="B179" s="8" t="s">
        <v>712</v>
      </c>
      <c r="C179" s="8"/>
      <c r="D179" s="8"/>
      <c r="E179" s="8" t="s">
        <v>68</v>
      </c>
      <c r="F179" s="8" t="s">
        <v>713</v>
      </c>
      <c r="G179" s="8" t="s">
        <v>714</v>
      </c>
      <c r="H179" s="8"/>
      <c r="I179" s="8" t="s">
        <v>715</v>
      </c>
      <c r="J179" s="8" t="s">
        <v>64</v>
      </c>
      <c r="K179" s="8" t="s">
        <v>101</v>
      </c>
      <c r="L179" s="8" t="s">
        <v>688</v>
      </c>
      <c r="M179" s="8"/>
      <c r="N179" s="8" t="s">
        <v>62</v>
      </c>
      <c r="O179" s="8" t="s">
        <v>63</v>
      </c>
      <c r="P179" s="4" t="n">
        <v>22</v>
      </c>
      <c r="Q179" s="8"/>
      <c r="R179" s="4" t="s">
        <v>712</v>
      </c>
      <c r="S179" s="4"/>
    </row>
    <row r="180" customFormat="false" ht="26.85" hidden="false" customHeight="false" outlineLevel="0" collapsed="false">
      <c r="A180" s="4" t="s">
        <v>716</v>
      </c>
      <c r="B180" s="8" t="s">
        <v>717</v>
      </c>
      <c r="C180" s="8"/>
      <c r="D180" s="8"/>
      <c r="E180" s="8" t="s">
        <v>68</v>
      </c>
      <c r="F180" s="8" t="s">
        <v>718</v>
      </c>
      <c r="G180" s="8" t="s">
        <v>719</v>
      </c>
      <c r="H180" s="8"/>
      <c r="I180" s="8" t="s">
        <v>720</v>
      </c>
      <c r="J180" s="8" t="s">
        <v>64</v>
      </c>
      <c r="K180" s="8" t="s">
        <v>101</v>
      </c>
      <c r="L180" s="8" t="s">
        <v>688</v>
      </c>
      <c r="M180" s="8"/>
      <c r="N180" s="8" t="s">
        <v>62</v>
      </c>
      <c r="O180" s="8" t="s">
        <v>63</v>
      </c>
      <c r="P180" s="4" t="n">
        <v>22</v>
      </c>
      <c r="Q180" s="8"/>
      <c r="R180" s="4" t="s">
        <v>717</v>
      </c>
      <c r="S180" s="4"/>
    </row>
    <row r="181" customFormat="false" ht="26.85" hidden="false" customHeight="false" outlineLevel="0" collapsed="false">
      <c r="A181" s="4" t="s">
        <v>721</v>
      </c>
      <c r="B181" s="8" t="s">
        <v>722</v>
      </c>
      <c r="C181" s="8"/>
      <c r="D181" s="8"/>
      <c r="E181" s="8" t="s">
        <v>68</v>
      </c>
      <c r="F181" s="8" t="s">
        <v>723</v>
      </c>
      <c r="G181" s="8" t="s">
        <v>724</v>
      </c>
      <c r="H181" s="8"/>
      <c r="I181" s="8" t="s">
        <v>725</v>
      </c>
      <c r="J181" s="8" t="s">
        <v>64</v>
      </c>
      <c r="K181" s="8" t="s">
        <v>101</v>
      </c>
      <c r="L181" s="8" t="s">
        <v>688</v>
      </c>
      <c r="M181" s="8"/>
      <c r="N181" s="8" t="s">
        <v>62</v>
      </c>
      <c r="O181" s="8" t="s">
        <v>63</v>
      </c>
      <c r="P181" s="4" t="n">
        <v>22</v>
      </c>
      <c r="Q181" s="8"/>
      <c r="R181" s="4" t="s">
        <v>722</v>
      </c>
      <c r="S181" s="4"/>
    </row>
    <row r="182" customFormat="false" ht="26.85" hidden="false" customHeight="false" outlineLevel="0" collapsed="false">
      <c r="A182" s="4" t="s">
        <v>726</v>
      </c>
      <c r="B182" s="8" t="s">
        <v>727</v>
      </c>
      <c r="C182" s="8"/>
      <c r="D182" s="8"/>
      <c r="E182" s="8" t="s">
        <v>68</v>
      </c>
      <c r="F182" s="8" t="s">
        <v>728</v>
      </c>
      <c r="G182" s="8" t="s">
        <v>729</v>
      </c>
      <c r="H182" s="8" t="s">
        <v>704</v>
      </c>
      <c r="I182" s="8" t="s">
        <v>730</v>
      </c>
      <c r="J182" s="8" t="s">
        <v>64</v>
      </c>
      <c r="K182" s="8" t="s">
        <v>101</v>
      </c>
      <c r="L182" s="8" t="s">
        <v>688</v>
      </c>
      <c r="M182" s="8"/>
      <c r="N182" s="8" t="s">
        <v>62</v>
      </c>
      <c r="O182" s="8" t="s">
        <v>63</v>
      </c>
      <c r="P182" s="4" t="n">
        <v>22</v>
      </c>
      <c r="Q182" s="8"/>
      <c r="R182" s="4" t="s">
        <v>727</v>
      </c>
      <c r="S182" s="4" t="n">
        <v>972</v>
      </c>
    </row>
    <row r="183" customFormat="false" ht="26.85" hidden="false" customHeight="false" outlineLevel="0" collapsed="false">
      <c r="A183" s="4" t="s">
        <v>731</v>
      </c>
      <c r="B183" s="8" t="s">
        <v>732</v>
      </c>
      <c r="C183" s="8"/>
      <c r="D183" s="8"/>
      <c r="E183" s="8" t="s">
        <v>68</v>
      </c>
      <c r="F183" s="8" t="s">
        <v>733</v>
      </c>
      <c r="G183" s="8" t="s">
        <v>734</v>
      </c>
      <c r="H183" s="8"/>
      <c r="I183" s="8" t="s">
        <v>735</v>
      </c>
      <c r="J183" s="8" t="s">
        <v>64</v>
      </c>
      <c r="K183" s="8" t="s">
        <v>101</v>
      </c>
      <c r="L183" s="8" t="s">
        <v>688</v>
      </c>
      <c r="M183" s="8"/>
      <c r="N183" s="8" t="s">
        <v>62</v>
      </c>
      <c r="O183" s="8" t="s">
        <v>63</v>
      </c>
      <c r="P183" s="4" t="n">
        <v>22</v>
      </c>
      <c r="Q183" s="8"/>
      <c r="R183" s="4" t="s">
        <v>732</v>
      </c>
      <c r="S183" s="4"/>
    </row>
    <row r="184" customFormat="false" ht="26.85" hidden="false" customHeight="false" outlineLevel="0" collapsed="false">
      <c r="A184" s="4" t="s">
        <v>736</v>
      </c>
      <c r="B184" s="8" t="s">
        <v>737</v>
      </c>
      <c r="C184" s="8"/>
      <c r="D184" s="8"/>
      <c r="E184" s="8" t="s">
        <v>68</v>
      </c>
      <c r="F184" s="8" t="s">
        <v>738</v>
      </c>
      <c r="G184" s="8" t="s">
        <v>739</v>
      </c>
      <c r="H184" s="8" t="s">
        <v>704</v>
      </c>
      <c r="I184" s="8" t="s">
        <v>740</v>
      </c>
      <c r="J184" s="8" t="s">
        <v>64</v>
      </c>
      <c r="K184" s="8" t="s">
        <v>101</v>
      </c>
      <c r="L184" s="8" t="s">
        <v>688</v>
      </c>
      <c r="M184" s="8"/>
      <c r="N184" s="8" t="s">
        <v>62</v>
      </c>
      <c r="O184" s="8" t="s">
        <v>63</v>
      </c>
      <c r="P184" s="4" t="n">
        <v>22</v>
      </c>
      <c r="Q184" s="8"/>
      <c r="R184" s="4" t="s">
        <v>737</v>
      </c>
      <c r="S184" s="4"/>
    </row>
    <row r="185" customFormat="false" ht="26.85" hidden="false" customHeight="false" outlineLevel="0" collapsed="false">
      <c r="A185" s="4" t="s">
        <v>741</v>
      </c>
      <c r="B185" s="8" t="s">
        <v>742</v>
      </c>
      <c r="C185" s="8"/>
      <c r="D185" s="8"/>
      <c r="E185" s="8" t="s">
        <v>68</v>
      </c>
      <c r="F185" s="8" t="s">
        <v>743</v>
      </c>
      <c r="G185" s="8" t="s">
        <v>744</v>
      </c>
      <c r="H185" s="8"/>
      <c r="I185" s="8" t="s">
        <v>745</v>
      </c>
      <c r="J185" s="8" t="s">
        <v>64</v>
      </c>
      <c r="K185" s="8" t="s">
        <v>101</v>
      </c>
      <c r="L185" s="8" t="s">
        <v>688</v>
      </c>
      <c r="M185" s="8"/>
      <c r="N185" s="8" t="s">
        <v>62</v>
      </c>
      <c r="O185" s="8" t="s">
        <v>63</v>
      </c>
      <c r="P185" s="4" t="n">
        <v>22</v>
      </c>
      <c r="Q185" s="8"/>
      <c r="R185" s="4" t="s">
        <v>742</v>
      </c>
      <c r="S185" s="4"/>
    </row>
    <row r="186" customFormat="false" ht="26.85" hidden="false" customHeight="false" outlineLevel="0" collapsed="false">
      <c r="A186" s="4" t="s">
        <v>746</v>
      </c>
      <c r="B186" s="8" t="s">
        <v>747</v>
      </c>
      <c r="C186" s="8"/>
      <c r="D186" s="8"/>
      <c r="E186" s="8"/>
      <c r="F186" s="8"/>
      <c r="G186" s="8"/>
      <c r="H186" s="8"/>
      <c r="I186" s="8" t="s">
        <v>748</v>
      </c>
      <c r="J186" s="8" t="s">
        <v>64</v>
      </c>
      <c r="K186" s="8" t="s">
        <v>101</v>
      </c>
      <c r="L186" s="8" t="s">
        <v>688</v>
      </c>
      <c r="M186" s="8"/>
      <c r="N186" s="8" t="s">
        <v>62</v>
      </c>
      <c r="O186" s="8" t="s">
        <v>63</v>
      </c>
      <c r="P186" s="4" t="n">
        <v>22</v>
      </c>
      <c r="Q186" s="8"/>
      <c r="R186" s="4" t="s">
        <v>747</v>
      </c>
      <c r="S186" s="4"/>
    </row>
    <row r="187" customFormat="false" ht="26.85" hidden="false" customHeight="false" outlineLevel="0" collapsed="false">
      <c r="A187" s="4" t="s">
        <v>749</v>
      </c>
      <c r="B187" s="8" t="s">
        <v>750</v>
      </c>
      <c r="C187" s="8"/>
      <c r="D187" s="8"/>
      <c r="E187" s="8" t="s">
        <v>68</v>
      </c>
      <c r="F187" s="8" t="s">
        <v>751</v>
      </c>
      <c r="G187" s="8" t="s">
        <v>752</v>
      </c>
      <c r="H187" s="8"/>
      <c r="I187" s="8" t="s">
        <v>753</v>
      </c>
      <c r="J187" s="8" t="s">
        <v>64</v>
      </c>
      <c r="K187" s="8" t="s">
        <v>101</v>
      </c>
      <c r="L187" s="8" t="s">
        <v>688</v>
      </c>
      <c r="M187" s="8"/>
      <c r="N187" s="8" t="s">
        <v>62</v>
      </c>
      <c r="O187" s="8" t="s">
        <v>63</v>
      </c>
      <c r="P187" s="4" t="n">
        <v>22</v>
      </c>
      <c r="Q187" s="8"/>
      <c r="R187" s="4" t="s">
        <v>750</v>
      </c>
      <c r="S187" s="4" t="n">
        <v>1065</v>
      </c>
    </row>
    <row r="188" customFormat="false" ht="26.85" hidden="false" customHeight="false" outlineLevel="0" collapsed="false">
      <c r="A188" s="4" t="s">
        <v>754</v>
      </c>
      <c r="B188" s="8" t="s">
        <v>755</v>
      </c>
      <c r="C188" s="8"/>
      <c r="D188" s="8"/>
      <c r="E188" s="8" t="s">
        <v>81</v>
      </c>
      <c r="F188" s="8"/>
      <c r="G188" s="8"/>
      <c r="H188" s="8"/>
      <c r="I188" s="8" t="s">
        <v>756</v>
      </c>
      <c r="J188" s="8" t="s">
        <v>64</v>
      </c>
      <c r="K188" s="8" t="s">
        <v>101</v>
      </c>
      <c r="L188" s="8" t="s">
        <v>757</v>
      </c>
      <c r="M188" s="8"/>
      <c r="N188" s="8" t="s">
        <v>62</v>
      </c>
      <c r="O188" s="8" t="s">
        <v>63</v>
      </c>
      <c r="P188" s="4" t="n">
        <v>22</v>
      </c>
      <c r="Q188" s="8"/>
      <c r="R188" s="4" t="s">
        <v>755</v>
      </c>
      <c r="S188" s="4"/>
    </row>
    <row r="189" customFormat="false" ht="26.85" hidden="false" customHeight="false" outlineLevel="0" collapsed="false">
      <c r="A189" s="4" t="s">
        <v>758</v>
      </c>
      <c r="B189" s="8" t="s">
        <v>759</v>
      </c>
      <c r="C189" s="8"/>
      <c r="D189" s="8"/>
      <c r="E189" s="8" t="s">
        <v>81</v>
      </c>
      <c r="F189" s="8"/>
      <c r="G189" s="8"/>
      <c r="H189" s="8"/>
      <c r="I189" s="8" t="s">
        <v>760</v>
      </c>
      <c r="J189" s="8" t="s">
        <v>64</v>
      </c>
      <c r="K189" s="8" t="s">
        <v>101</v>
      </c>
      <c r="L189" s="8" t="s">
        <v>757</v>
      </c>
      <c r="M189" s="8"/>
      <c r="N189" s="8" t="s">
        <v>62</v>
      </c>
      <c r="O189" s="8" t="s">
        <v>63</v>
      </c>
      <c r="P189" s="4" t="n">
        <v>22</v>
      </c>
      <c r="Q189" s="8"/>
      <c r="R189" s="4" t="s">
        <v>759</v>
      </c>
      <c r="S189" s="4"/>
    </row>
    <row r="190" customFormat="false" ht="26.85" hidden="false" customHeight="false" outlineLevel="0" collapsed="false">
      <c r="A190" s="4" t="s">
        <v>761</v>
      </c>
      <c r="B190" s="8" t="s">
        <v>762</v>
      </c>
      <c r="C190" s="8"/>
      <c r="D190" s="8"/>
      <c r="E190" s="8" t="s">
        <v>81</v>
      </c>
      <c r="F190" s="8"/>
      <c r="G190" s="8"/>
      <c r="H190" s="8"/>
      <c r="I190" s="8" t="s">
        <v>763</v>
      </c>
      <c r="J190" s="8" t="s">
        <v>64</v>
      </c>
      <c r="K190" s="8" t="s">
        <v>101</v>
      </c>
      <c r="L190" s="8" t="s">
        <v>757</v>
      </c>
      <c r="M190" s="8"/>
      <c r="N190" s="8" t="s">
        <v>62</v>
      </c>
      <c r="O190" s="8" t="s">
        <v>63</v>
      </c>
      <c r="P190" s="4" t="n">
        <v>22</v>
      </c>
      <c r="Q190" s="8"/>
      <c r="R190" s="4" t="s">
        <v>762</v>
      </c>
      <c r="S190" s="4"/>
    </row>
    <row r="191" customFormat="false" ht="26.85" hidden="false" customHeight="false" outlineLevel="0" collapsed="false">
      <c r="A191" s="4" t="s">
        <v>764</v>
      </c>
      <c r="B191" s="8" t="s">
        <v>765</v>
      </c>
      <c r="C191" s="8"/>
      <c r="D191" s="8"/>
      <c r="E191" s="8" t="s">
        <v>81</v>
      </c>
      <c r="F191" s="8"/>
      <c r="G191" s="8"/>
      <c r="H191" s="8"/>
      <c r="I191" s="8" t="s">
        <v>766</v>
      </c>
      <c r="J191" s="8" t="s">
        <v>64</v>
      </c>
      <c r="K191" s="8" t="s">
        <v>101</v>
      </c>
      <c r="L191" s="8" t="s">
        <v>757</v>
      </c>
      <c r="M191" s="8"/>
      <c r="N191" s="8" t="s">
        <v>62</v>
      </c>
      <c r="O191" s="8" t="s">
        <v>63</v>
      </c>
      <c r="P191" s="4" t="n">
        <v>22</v>
      </c>
      <c r="Q191" s="8"/>
      <c r="R191" s="4" t="s">
        <v>765</v>
      </c>
      <c r="S191" s="4"/>
    </row>
    <row r="192" customFormat="false" ht="26.85" hidden="false" customHeight="false" outlineLevel="0" collapsed="false">
      <c r="A192" s="4" t="s">
        <v>767</v>
      </c>
      <c r="B192" s="8" t="s">
        <v>768</v>
      </c>
      <c r="C192" s="8"/>
      <c r="D192" s="8"/>
      <c r="E192" s="8" t="s">
        <v>81</v>
      </c>
      <c r="F192" s="8"/>
      <c r="G192" s="8"/>
      <c r="H192" s="8"/>
      <c r="I192" s="8" t="s">
        <v>769</v>
      </c>
      <c r="J192" s="8" t="s">
        <v>64</v>
      </c>
      <c r="K192" s="8" t="s">
        <v>101</v>
      </c>
      <c r="L192" s="8" t="s">
        <v>757</v>
      </c>
      <c r="M192" s="8"/>
      <c r="N192" s="8" t="s">
        <v>62</v>
      </c>
      <c r="O192" s="8" t="s">
        <v>63</v>
      </c>
      <c r="P192" s="4" t="n">
        <v>22</v>
      </c>
      <c r="Q192" s="8"/>
      <c r="R192" s="4" t="s">
        <v>768</v>
      </c>
      <c r="S192" s="4"/>
    </row>
    <row r="193" customFormat="false" ht="26.85" hidden="false" customHeight="false" outlineLevel="0" collapsed="false">
      <c r="A193" s="4" t="s">
        <v>770</v>
      </c>
      <c r="B193" s="8" t="s">
        <v>771</v>
      </c>
      <c r="C193" s="8"/>
      <c r="D193" s="8"/>
      <c r="E193" s="8" t="s">
        <v>81</v>
      </c>
      <c r="F193" s="8"/>
      <c r="G193" s="8"/>
      <c r="H193" s="8"/>
      <c r="I193" s="8" t="s">
        <v>756</v>
      </c>
      <c r="J193" s="8" t="s">
        <v>64</v>
      </c>
      <c r="K193" s="8" t="s">
        <v>101</v>
      </c>
      <c r="L193" s="8" t="s">
        <v>757</v>
      </c>
      <c r="M193" s="8"/>
      <c r="N193" s="8" t="s">
        <v>62</v>
      </c>
      <c r="O193" s="8" t="s">
        <v>63</v>
      </c>
      <c r="P193" s="4" t="n">
        <v>22</v>
      </c>
      <c r="Q193" s="8"/>
      <c r="R193" s="4" t="s">
        <v>771</v>
      </c>
      <c r="S193" s="4"/>
    </row>
    <row r="194" customFormat="false" ht="26.85" hidden="false" customHeight="false" outlineLevel="0" collapsed="false">
      <c r="A194" s="4" t="s">
        <v>772</v>
      </c>
      <c r="B194" s="8" t="s">
        <v>773</v>
      </c>
      <c r="C194" s="8"/>
      <c r="D194" s="8"/>
      <c r="E194" s="8" t="s">
        <v>81</v>
      </c>
      <c r="F194" s="8"/>
      <c r="G194" s="8"/>
      <c r="H194" s="8"/>
      <c r="I194" s="8" t="s">
        <v>774</v>
      </c>
      <c r="J194" s="8" t="s">
        <v>64</v>
      </c>
      <c r="K194" s="8" t="s">
        <v>101</v>
      </c>
      <c r="L194" s="8" t="s">
        <v>757</v>
      </c>
      <c r="M194" s="8"/>
      <c r="N194" s="8" t="s">
        <v>62</v>
      </c>
      <c r="O194" s="8" t="s">
        <v>63</v>
      </c>
      <c r="P194" s="4" t="n">
        <v>22</v>
      </c>
      <c r="Q194" s="8"/>
      <c r="R194" s="4" t="s">
        <v>773</v>
      </c>
      <c r="S194" s="4"/>
    </row>
    <row r="195" customFormat="false" ht="15" hidden="false" customHeight="false" outlineLevel="0" collapsed="false">
      <c r="A195" s="4" t="s">
        <v>775</v>
      </c>
      <c r="B195" s="8" t="s">
        <v>776</v>
      </c>
      <c r="C195" s="8" t="s">
        <v>58</v>
      </c>
      <c r="D195" s="8"/>
      <c r="E195" s="8" t="s">
        <v>60</v>
      </c>
      <c r="F195" s="8"/>
      <c r="G195" s="8"/>
      <c r="H195" s="8"/>
      <c r="I195" s="8" t="s">
        <v>777</v>
      </c>
      <c r="J195" s="8" t="s">
        <v>64</v>
      </c>
      <c r="K195" s="8" t="s">
        <v>778</v>
      </c>
      <c r="L195" s="8"/>
      <c r="M195" s="8"/>
      <c r="N195" s="8" t="s">
        <v>62</v>
      </c>
      <c r="O195" s="8" t="s">
        <v>63</v>
      </c>
      <c r="P195" s="4" t="n">
        <v>22</v>
      </c>
      <c r="Q195" s="8"/>
      <c r="R195" s="4" t="s">
        <v>779</v>
      </c>
      <c r="S195" s="4"/>
    </row>
    <row r="196" customFormat="false" ht="15" hidden="false" customHeight="false" outlineLevel="0" collapsed="false">
      <c r="A196" s="4" t="s">
        <v>780</v>
      </c>
      <c r="B196" s="8" t="s">
        <v>781</v>
      </c>
      <c r="C196" s="8"/>
      <c r="D196" s="8"/>
      <c r="E196" s="8"/>
      <c r="F196" s="8"/>
      <c r="G196" s="8"/>
      <c r="H196" s="8"/>
      <c r="I196" s="8" t="s">
        <v>782</v>
      </c>
      <c r="J196" s="8" t="s">
        <v>64</v>
      </c>
      <c r="K196" s="8" t="s">
        <v>778</v>
      </c>
      <c r="L196" s="8"/>
      <c r="M196" s="8"/>
      <c r="N196" s="8" t="s">
        <v>62</v>
      </c>
      <c r="O196" s="8" t="s">
        <v>63</v>
      </c>
      <c r="P196" s="4" t="n">
        <v>22</v>
      </c>
      <c r="Q196" s="8"/>
      <c r="R196" s="4" t="s">
        <v>781</v>
      </c>
      <c r="S196" s="4"/>
    </row>
    <row r="197" customFormat="false" ht="15" hidden="false" customHeight="false" outlineLevel="0" collapsed="false">
      <c r="A197" s="4" t="s">
        <v>783</v>
      </c>
      <c r="B197" s="8" t="s">
        <v>784</v>
      </c>
      <c r="C197" s="8"/>
      <c r="D197" s="8"/>
      <c r="E197" s="8"/>
      <c r="F197" s="8"/>
      <c r="G197" s="8"/>
      <c r="H197" s="8"/>
      <c r="I197" s="8" t="s">
        <v>785</v>
      </c>
      <c r="J197" s="8" t="s">
        <v>64</v>
      </c>
      <c r="K197" s="8" t="s">
        <v>778</v>
      </c>
      <c r="L197" s="8"/>
      <c r="M197" s="8"/>
      <c r="N197" s="8" t="s">
        <v>62</v>
      </c>
      <c r="O197" s="8" t="s">
        <v>63</v>
      </c>
      <c r="P197" s="4" t="n">
        <v>22</v>
      </c>
      <c r="Q197" s="8"/>
      <c r="R197" s="4" t="s">
        <v>784</v>
      </c>
      <c r="S197" s="4"/>
    </row>
    <row r="198" customFormat="false" ht="15" hidden="false" customHeight="false" outlineLevel="0" collapsed="false">
      <c r="A198" s="4" t="s">
        <v>786</v>
      </c>
      <c r="B198" s="8" t="s">
        <v>787</v>
      </c>
      <c r="C198" s="8" t="s">
        <v>58</v>
      </c>
      <c r="D198" s="8"/>
      <c r="E198" s="8" t="s">
        <v>60</v>
      </c>
      <c r="F198" s="8"/>
      <c r="G198" s="8"/>
      <c r="H198" s="8"/>
      <c r="I198" s="8" t="s">
        <v>788</v>
      </c>
      <c r="J198" s="8" t="s">
        <v>64</v>
      </c>
      <c r="K198" s="8" t="s">
        <v>778</v>
      </c>
      <c r="L198" s="8"/>
      <c r="M198" s="8"/>
      <c r="N198" s="8" t="s">
        <v>62</v>
      </c>
      <c r="O198" s="8" t="s">
        <v>63</v>
      </c>
      <c r="P198" s="4" t="n">
        <v>22</v>
      </c>
      <c r="Q198" s="8"/>
      <c r="R198" s="4" t="s">
        <v>789</v>
      </c>
      <c r="S198" s="4"/>
    </row>
    <row r="199" customFormat="false" ht="15" hidden="false" customHeight="false" outlineLevel="0" collapsed="false">
      <c r="A199" s="4" t="s">
        <v>790</v>
      </c>
      <c r="B199" s="8" t="s">
        <v>791</v>
      </c>
      <c r="C199" s="8" t="s">
        <v>58</v>
      </c>
      <c r="D199" s="8"/>
      <c r="E199" s="8" t="s">
        <v>60</v>
      </c>
      <c r="F199" s="8"/>
      <c r="G199" s="8"/>
      <c r="H199" s="8"/>
      <c r="I199" s="8" t="s">
        <v>792</v>
      </c>
      <c r="J199" s="8" t="s">
        <v>64</v>
      </c>
      <c r="K199" s="8" t="s">
        <v>778</v>
      </c>
      <c r="L199" s="8"/>
      <c r="M199" s="8"/>
      <c r="N199" s="8" t="s">
        <v>62</v>
      </c>
      <c r="O199" s="8" t="s">
        <v>63</v>
      </c>
      <c r="P199" s="4" t="n">
        <v>22</v>
      </c>
      <c r="Q199" s="8"/>
      <c r="R199" s="4" t="s">
        <v>793</v>
      </c>
      <c r="S199" s="4"/>
    </row>
    <row r="200" customFormat="false" ht="15" hidden="false" customHeight="false" outlineLevel="0" collapsed="false">
      <c r="A200" s="4" t="s">
        <v>794</v>
      </c>
      <c r="B200" s="8" t="s">
        <v>795</v>
      </c>
      <c r="C200" s="8" t="s">
        <v>58</v>
      </c>
      <c r="D200" s="8" t="s">
        <v>67</v>
      </c>
      <c r="E200" s="8" t="s">
        <v>60</v>
      </c>
      <c r="F200" s="8"/>
      <c r="G200" s="8"/>
      <c r="H200" s="8"/>
      <c r="I200" s="8" t="s">
        <v>796</v>
      </c>
      <c r="J200" s="8" t="s">
        <v>64</v>
      </c>
      <c r="K200" s="8" t="s">
        <v>778</v>
      </c>
      <c r="L200" s="8"/>
      <c r="M200" s="8"/>
      <c r="N200" s="8" t="s">
        <v>62</v>
      </c>
      <c r="O200" s="8" t="s">
        <v>63</v>
      </c>
      <c r="P200" s="4" t="n">
        <v>22</v>
      </c>
      <c r="Q200" s="8"/>
      <c r="R200" s="4" t="s">
        <v>797</v>
      </c>
      <c r="S200" s="4"/>
    </row>
    <row r="201" customFormat="false" ht="15" hidden="false" customHeight="false" outlineLevel="0" collapsed="false">
      <c r="A201" s="4" t="s">
        <v>798</v>
      </c>
      <c r="B201" s="8" t="s">
        <v>799</v>
      </c>
      <c r="C201" s="8" t="s">
        <v>58</v>
      </c>
      <c r="D201" s="8"/>
      <c r="E201" s="8" t="s">
        <v>60</v>
      </c>
      <c r="F201" s="8"/>
      <c r="G201" s="8"/>
      <c r="H201" s="8"/>
      <c r="I201" s="8" t="s">
        <v>800</v>
      </c>
      <c r="J201" s="8" t="s">
        <v>64</v>
      </c>
      <c r="K201" s="8" t="s">
        <v>778</v>
      </c>
      <c r="L201" s="8"/>
      <c r="M201" s="8"/>
      <c r="N201" s="8" t="s">
        <v>62</v>
      </c>
      <c r="O201" s="8" t="s">
        <v>63</v>
      </c>
      <c r="P201" s="4" t="n">
        <v>22</v>
      </c>
      <c r="Q201" s="8"/>
      <c r="R201" s="4" t="s">
        <v>801</v>
      </c>
      <c r="S201" s="4"/>
    </row>
    <row r="202" customFormat="false" ht="15" hidden="false" customHeight="false" outlineLevel="0" collapsed="false">
      <c r="A202" s="4" t="s">
        <v>802</v>
      </c>
      <c r="B202" s="8" t="s">
        <v>803</v>
      </c>
      <c r="C202" s="8" t="s">
        <v>58</v>
      </c>
      <c r="D202" s="8"/>
      <c r="E202" s="8" t="s">
        <v>60</v>
      </c>
      <c r="F202" s="8"/>
      <c r="G202" s="8"/>
      <c r="H202" s="8"/>
      <c r="I202" s="8" t="s">
        <v>804</v>
      </c>
      <c r="J202" s="8" t="s">
        <v>64</v>
      </c>
      <c r="K202" s="8" t="s">
        <v>778</v>
      </c>
      <c r="L202" s="8"/>
      <c r="M202" s="8"/>
      <c r="N202" s="8" t="s">
        <v>62</v>
      </c>
      <c r="O202" s="8" t="s">
        <v>63</v>
      </c>
      <c r="P202" s="4" t="n">
        <v>22</v>
      </c>
      <c r="Q202" s="8"/>
      <c r="R202" s="4" t="s">
        <v>805</v>
      </c>
      <c r="S202" s="4"/>
    </row>
    <row r="203" customFormat="false" ht="15" hidden="false" customHeight="false" outlineLevel="0" collapsed="false">
      <c r="A203" s="4" t="s">
        <v>806</v>
      </c>
      <c r="B203" s="8" t="s">
        <v>807</v>
      </c>
      <c r="C203" s="8" t="s">
        <v>58</v>
      </c>
      <c r="D203" s="8"/>
      <c r="E203" s="8" t="s">
        <v>60</v>
      </c>
      <c r="F203" s="8"/>
      <c r="G203" s="8"/>
      <c r="H203" s="8"/>
      <c r="I203" s="8" t="s">
        <v>808</v>
      </c>
      <c r="J203" s="8" t="s">
        <v>64</v>
      </c>
      <c r="K203" s="8" t="s">
        <v>778</v>
      </c>
      <c r="L203" s="8"/>
      <c r="M203" s="8"/>
      <c r="N203" s="8" t="s">
        <v>62</v>
      </c>
      <c r="O203" s="8" t="s">
        <v>63</v>
      </c>
      <c r="P203" s="4" t="n">
        <v>22</v>
      </c>
      <c r="Q203" s="8"/>
      <c r="R203" s="4" t="s">
        <v>809</v>
      </c>
      <c r="S203" s="4"/>
    </row>
    <row r="204" customFormat="false" ht="15" hidden="false" customHeight="false" outlineLevel="0" collapsed="false">
      <c r="A204" s="4" t="s">
        <v>810</v>
      </c>
      <c r="B204" s="8" t="s">
        <v>811</v>
      </c>
      <c r="C204" s="8" t="s">
        <v>58</v>
      </c>
      <c r="D204" s="8"/>
      <c r="E204" s="8" t="s">
        <v>60</v>
      </c>
      <c r="F204" s="8"/>
      <c r="G204" s="8"/>
      <c r="H204" s="8"/>
      <c r="I204" s="8" t="s">
        <v>812</v>
      </c>
      <c r="J204" s="8" t="s">
        <v>64</v>
      </c>
      <c r="K204" s="8" t="s">
        <v>778</v>
      </c>
      <c r="L204" s="8"/>
      <c r="M204" s="8"/>
      <c r="N204" s="8" t="s">
        <v>62</v>
      </c>
      <c r="O204" s="8" t="s">
        <v>63</v>
      </c>
      <c r="P204" s="4" t="n">
        <v>22</v>
      </c>
      <c r="Q204" s="8"/>
      <c r="R204" s="4" t="s">
        <v>813</v>
      </c>
      <c r="S204" s="4"/>
    </row>
    <row r="205" customFormat="false" ht="15" hidden="false" customHeight="false" outlineLevel="0" collapsed="false">
      <c r="A205" s="4" t="s">
        <v>814</v>
      </c>
      <c r="B205" s="8" t="s">
        <v>815</v>
      </c>
      <c r="C205" s="8" t="s">
        <v>58</v>
      </c>
      <c r="D205" s="8"/>
      <c r="E205" s="8" t="s">
        <v>60</v>
      </c>
      <c r="F205" s="8"/>
      <c r="G205" s="8"/>
      <c r="H205" s="8"/>
      <c r="I205" s="8" t="s">
        <v>816</v>
      </c>
      <c r="J205" s="8" t="s">
        <v>64</v>
      </c>
      <c r="K205" s="8" t="s">
        <v>778</v>
      </c>
      <c r="L205" s="8"/>
      <c r="M205" s="8"/>
      <c r="N205" s="8" t="s">
        <v>62</v>
      </c>
      <c r="O205" s="8" t="s">
        <v>63</v>
      </c>
      <c r="P205" s="4" t="n">
        <v>22</v>
      </c>
      <c r="Q205" s="8"/>
      <c r="R205" s="4" t="s">
        <v>817</v>
      </c>
      <c r="S205" s="4"/>
    </row>
    <row r="206" customFormat="false" ht="15" hidden="false" customHeight="false" outlineLevel="0" collapsed="false">
      <c r="A206" s="4" t="s">
        <v>818</v>
      </c>
      <c r="B206" s="8" t="s">
        <v>819</v>
      </c>
      <c r="C206" s="8" t="s">
        <v>58</v>
      </c>
      <c r="D206" s="8"/>
      <c r="E206" s="8" t="s">
        <v>60</v>
      </c>
      <c r="F206" s="8"/>
      <c r="G206" s="8"/>
      <c r="H206" s="8"/>
      <c r="I206" s="8" t="s">
        <v>820</v>
      </c>
      <c r="J206" s="8" t="s">
        <v>64</v>
      </c>
      <c r="K206" s="8" t="s">
        <v>778</v>
      </c>
      <c r="L206" s="8"/>
      <c r="M206" s="8"/>
      <c r="N206" s="8" t="s">
        <v>62</v>
      </c>
      <c r="O206" s="8" t="s">
        <v>63</v>
      </c>
      <c r="P206" s="4" t="n">
        <v>22</v>
      </c>
      <c r="Q206" s="8"/>
      <c r="R206" s="4" t="s">
        <v>821</v>
      </c>
      <c r="S206" s="4"/>
    </row>
    <row r="207" customFormat="false" ht="15" hidden="false" customHeight="false" outlineLevel="0" collapsed="false">
      <c r="A207" s="4" t="s">
        <v>822</v>
      </c>
      <c r="B207" s="8" t="s">
        <v>823</v>
      </c>
      <c r="C207" s="8" t="s">
        <v>58</v>
      </c>
      <c r="D207" s="8"/>
      <c r="E207" s="8" t="s">
        <v>60</v>
      </c>
      <c r="F207" s="8"/>
      <c r="G207" s="8"/>
      <c r="H207" s="8"/>
      <c r="I207" s="8" t="s">
        <v>824</v>
      </c>
      <c r="J207" s="8" t="s">
        <v>64</v>
      </c>
      <c r="K207" s="8" t="s">
        <v>778</v>
      </c>
      <c r="L207" s="8"/>
      <c r="M207" s="8"/>
      <c r="N207" s="8" t="s">
        <v>62</v>
      </c>
      <c r="O207" s="8" t="s">
        <v>63</v>
      </c>
      <c r="P207" s="4" t="n">
        <v>22</v>
      </c>
      <c r="Q207" s="8"/>
      <c r="R207" s="4" t="s">
        <v>825</v>
      </c>
      <c r="S207" s="4"/>
    </row>
    <row r="208" customFormat="false" ht="15" hidden="false" customHeight="false" outlineLevel="0" collapsed="false">
      <c r="A208" s="4" t="s">
        <v>826</v>
      </c>
      <c r="B208" s="8" t="s">
        <v>827</v>
      </c>
      <c r="C208" s="8" t="s">
        <v>58</v>
      </c>
      <c r="D208" s="8"/>
      <c r="E208" s="8" t="s">
        <v>60</v>
      </c>
      <c r="F208" s="8"/>
      <c r="G208" s="8"/>
      <c r="H208" s="8"/>
      <c r="I208" s="8" t="s">
        <v>828</v>
      </c>
      <c r="J208" s="8" t="s">
        <v>64</v>
      </c>
      <c r="K208" s="8" t="s">
        <v>778</v>
      </c>
      <c r="L208" s="8"/>
      <c r="M208" s="8"/>
      <c r="N208" s="8" t="s">
        <v>62</v>
      </c>
      <c r="O208" s="8" t="s">
        <v>63</v>
      </c>
      <c r="P208" s="4" t="n">
        <v>22</v>
      </c>
      <c r="Q208" s="8"/>
      <c r="R208" s="4" t="s">
        <v>829</v>
      </c>
      <c r="S208" s="4"/>
    </row>
    <row r="209" customFormat="false" ht="15" hidden="false" customHeight="false" outlineLevel="0" collapsed="false">
      <c r="A209" s="4" t="s">
        <v>830</v>
      </c>
      <c r="B209" s="8" t="s">
        <v>831</v>
      </c>
      <c r="C209" s="8" t="s">
        <v>58</v>
      </c>
      <c r="D209" s="8"/>
      <c r="E209" s="8" t="s">
        <v>60</v>
      </c>
      <c r="F209" s="8"/>
      <c r="G209" s="8"/>
      <c r="H209" s="8"/>
      <c r="I209" s="8" t="s">
        <v>832</v>
      </c>
      <c r="J209" s="8" t="s">
        <v>64</v>
      </c>
      <c r="K209" s="8" t="s">
        <v>778</v>
      </c>
      <c r="L209" s="8"/>
      <c r="M209" s="8"/>
      <c r="N209" s="8" t="s">
        <v>62</v>
      </c>
      <c r="O209" s="8" t="s">
        <v>63</v>
      </c>
      <c r="P209" s="4" t="n">
        <v>22</v>
      </c>
      <c r="Q209" s="8"/>
      <c r="R209" s="4" t="s">
        <v>833</v>
      </c>
      <c r="S209" s="4"/>
    </row>
    <row r="210" customFormat="false" ht="15" hidden="false" customHeight="false" outlineLevel="0" collapsed="false">
      <c r="A210" s="4" t="s">
        <v>834</v>
      </c>
      <c r="B210" s="8" t="s">
        <v>835</v>
      </c>
      <c r="C210" s="8"/>
      <c r="D210" s="8"/>
      <c r="E210" s="8"/>
      <c r="F210" s="8"/>
      <c r="G210" s="8"/>
      <c r="H210" s="8"/>
      <c r="I210" s="8" t="s">
        <v>836</v>
      </c>
      <c r="J210" s="8" t="s">
        <v>64</v>
      </c>
      <c r="K210" s="8" t="s">
        <v>778</v>
      </c>
      <c r="L210" s="8"/>
      <c r="M210" s="8"/>
      <c r="N210" s="8" t="s">
        <v>62</v>
      </c>
      <c r="O210" s="8" t="s">
        <v>63</v>
      </c>
      <c r="P210" s="4" t="n">
        <v>22</v>
      </c>
      <c r="Q210" s="8"/>
      <c r="R210" s="4" t="s">
        <v>835</v>
      </c>
      <c r="S210" s="4"/>
    </row>
    <row r="211" customFormat="false" ht="15" hidden="false" customHeight="false" outlineLevel="0" collapsed="false">
      <c r="A211" s="4" t="s">
        <v>837</v>
      </c>
      <c r="B211" s="8" t="s">
        <v>838</v>
      </c>
      <c r="C211" s="8"/>
      <c r="D211" s="8"/>
      <c r="E211" s="8"/>
      <c r="F211" s="8"/>
      <c r="G211" s="8"/>
      <c r="H211" s="8"/>
      <c r="I211" s="8" t="s">
        <v>839</v>
      </c>
      <c r="J211" s="8" t="s">
        <v>64</v>
      </c>
      <c r="K211" s="8" t="s">
        <v>778</v>
      </c>
      <c r="L211" s="8"/>
      <c r="M211" s="8"/>
      <c r="N211" s="8" t="s">
        <v>62</v>
      </c>
      <c r="O211" s="8" t="s">
        <v>63</v>
      </c>
      <c r="P211" s="4" t="n">
        <v>22</v>
      </c>
      <c r="Q211" s="8"/>
      <c r="R211" s="4" t="s">
        <v>838</v>
      </c>
      <c r="S211" s="4"/>
    </row>
    <row r="212" customFormat="false" ht="15" hidden="false" customHeight="false" outlineLevel="0" collapsed="false">
      <c r="A212" s="4" t="s">
        <v>840</v>
      </c>
      <c r="B212" s="8" t="s">
        <v>841</v>
      </c>
      <c r="C212" s="8" t="s">
        <v>58</v>
      </c>
      <c r="D212" s="8"/>
      <c r="E212" s="8" t="s">
        <v>60</v>
      </c>
      <c r="F212" s="8"/>
      <c r="G212" s="8"/>
      <c r="H212" s="8"/>
      <c r="I212" s="8" t="s">
        <v>842</v>
      </c>
      <c r="J212" s="8" t="s">
        <v>64</v>
      </c>
      <c r="K212" s="8" t="s">
        <v>778</v>
      </c>
      <c r="L212" s="8"/>
      <c r="M212" s="8"/>
      <c r="N212" s="8" t="s">
        <v>62</v>
      </c>
      <c r="O212" s="8" t="s">
        <v>63</v>
      </c>
      <c r="P212" s="4" t="n">
        <v>23</v>
      </c>
      <c r="Q212" s="8"/>
      <c r="R212" s="4" t="s">
        <v>843</v>
      </c>
      <c r="S212" s="4"/>
    </row>
    <row r="213" customFormat="false" ht="15" hidden="false" customHeight="false" outlineLevel="0" collapsed="false">
      <c r="A213" s="4" t="s">
        <v>844</v>
      </c>
      <c r="B213" s="8" t="s">
        <v>845</v>
      </c>
      <c r="C213" s="8"/>
      <c r="D213" s="8"/>
      <c r="E213" s="8"/>
      <c r="F213" s="8"/>
      <c r="G213" s="8"/>
      <c r="H213" s="8"/>
      <c r="I213" s="8" t="s">
        <v>846</v>
      </c>
      <c r="J213" s="8" t="s">
        <v>64</v>
      </c>
      <c r="K213" s="8" t="s">
        <v>778</v>
      </c>
      <c r="L213" s="8"/>
      <c r="M213" s="8"/>
      <c r="N213" s="8" t="s">
        <v>62</v>
      </c>
      <c r="O213" s="8" t="s">
        <v>63</v>
      </c>
      <c r="P213" s="4" t="n">
        <v>23</v>
      </c>
      <c r="Q213" s="8"/>
      <c r="R213" s="4" t="s">
        <v>845</v>
      </c>
      <c r="S213" s="4"/>
    </row>
    <row r="214" customFormat="false" ht="26.85" hidden="false" customHeight="false" outlineLevel="0" collapsed="false">
      <c r="A214" s="4" t="s">
        <v>847</v>
      </c>
      <c r="B214" s="8" t="s">
        <v>848</v>
      </c>
      <c r="C214" s="8" t="s">
        <v>58</v>
      </c>
      <c r="D214" s="8"/>
      <c r="E214" s="8" t="s">
        <v>60</v>
      </c>
      <c r="F214" s="8"/>
      <c r="G214" s="8"/>
      <c r="H214" s="8"/>
      <c r="I214" s="8" t="s">
        <v>849</v>
      </c>
      <c r="J214" s="8" t="s">
        <v>64</v>
      </c>
      <c r="K214" s="8" t="s">
        <v>778</v>
      </c>
      <c r="L214" s="8"/>
      <c r="M214" s="8"/>
      <c r="N214" s="8" t="s">
        <v>62</v>
      </c>
      <c r="O214" s="8" t="s">
        <v>63</v>
      </c>
      <c r="P214" s="4" t="n">
        <v>23</v>
      </c>
      <c r="Q214" s="8"/>
      <c r="R214" s="4" t="s">
        <v>850</v>
      </c>
      <c r="S214" s="4"/>
    </row>
    <row r="215" customFormat="false" ht="15" hidden="false" customHeight="false" outlineLevel="0" collapsed="false">
      <c r="A215" s="4" t="s">
        <v>851</v>
      </c>
      <c r="B215" s="8" t="s">
        <v>852</v>
      </c>
      <c r="C215" s="8" t="s">
        <v>58</v>
      </c>
      <c r="D215" s="8"/>
      <c r="E215" s="8" t="s">
        <v>60</v>
      </c>
      <c r="F215" s="8"/>
      <c r="G215" s="8"/>
      <c r="H215" s="8"/>
      <c r="I215" s="8" t="s">
        <v>853</v>
      </c>
      <c r="J215" s="8" t="s">
        <v>64</v>
      </c>
      <c r="K215" s="8" t="s">
        <v>778</v>
      </c>
      <c r="L215" s="8"/>
      <c r="M215" s="8"/>
      <c r="N215" s="8" t="s">
        <v>62</v>
      </c>
      <c r="O215" s="8" t="s">
        <v>63</v>
      </c>
      <c r="P215" s="4" t="n">
        <v>23</v>
      </c>
      <c r="Q215" s="8"/>
      <c r="R215" s="4" t="s">
        <v>854</v>
      </c>
      <c r="S215" s="4"/>
    </row>
    <row r="216" customFormat="false" ht="15" hidden="false" customHeight="false" outlineLevel="0" collapsed="false">
      <c r="A216" s="4" t="s">
        <v>855</v>
      </c>
      <c r="B216" s="8" t="s">
        <v>856</v>
      </c>
      <c r="C216" s="8" t="s">
        <v>58</v>
      </c>
      <c r="D216" s="8"/>
      <c r="E216" s="8" t="s">
        <v>60</v>
      </c>
      <c r="F216" s="8"/>
      <c r="G216" s="8"/>
      <c r="H216" s="8"/>
      <c r="I216" s="8" t="s">
        <v>857</v>
      </c>
      <c r="J216" s="8" t="s">
        <v>64</v>
      </c>
      <c r="K216" s="8" t="s">
        <v>778</v>
      </c>
      <c r="L216" s="8"/>
      <c r="M216" s="8"/>
      <c r="N216" s="8" t="s">
        <v>62</v>
      </c>
      <c r="O216" s="8" t="s">
        <v>63</v>
      </c>
      <c r="P216" s="4" t="n">
        <v>23</v>
      </c>
      <c r="Q216" s="8"/>
      <c r="R216" s="4" t="s">
        <v>858</v>
      </c>
      <c r="S216" s="4"/>
    </row>
    <row r="217" customFormat="false" ht="15" hidden="false" customHeight="false" outlineLevel="0" collapsed="false">
      <c r="A217" s="4" t="s">
        <v>859</v>
      </c>
      <c r="B217" s="8" t="s">
        <v>860</v>
      </c>
      <c r="C217" s="8" t="s">
        <v>58</v>
      </c>
      <c r="D217" s="8"/>
      <c r="E217" s="8" t="s">
        <v>60</v>
      </c>
      <c r="F217" s="8"/>
      <c r="G217" s="8"/>
      <c r="H217" s="8"/>
      <c r="I217" s="8" t="s">
        <v>861</v>
      </c>
      <c r="J217" s="8" t="s">
        <v>64</v>
      </c>
      <c r="K217" s="8" t="s">
        <v>778</v>
      </c>
      <c r="L217" s="8"/>
      <c r="M217" s="8"/>
      <c r="N217" s="8" t="s">
        <v>62</v>
      </c>
      <c r="O217" s="8" t="s">
        <v>63</v>
      </c>
      <c r="P217" s="4" t="n">
        <v>23</v>
      </c>
      <c r="Q217" s="8"/>
      <c r="R217" s="4" t="s">
        <v>862</v>
      </c>
      <c r="S217" s="4"/>
    </row>
    <row r="218" customFormat="false" ht="15" hidden="false" customHeight="false" outlineLevel="0" collapsed="false">
      <c r="A218" s="4" t="s">
        <v>863</v>
      </c>
      <c r="B218" s="8" t="s">
        <v>864</v>
      </c>
      <c r="C218" s="8" t="s">
        <v>58</v>
      </c>
      <c r="D218" s="8"/>
      <c r="E218" s="8" t="s">
        <v>60</v>
      </c>
      <c r="F218" s="8"/>
      <c r="G218" s="8"/>
      <c r="H218" s="8"/>
      <c r="I218" s="8" t="s">
        <v>865</v>
      </c>
      <c r="J218" s="8" t="s">
        <v>64</v>
      </c>
      <c r="K218" s="8" t="s">
        <v>778</v>
      </c>
      <c r="L218" s="8"/>
      <c r="M218" s="8"/>
      <c r="N218" s="8" t="s">
        <v>62</v>
      </c>
      <c r="O218" s="8" t="s">
        <v>63</v>
      </c>
      <c r="P218" s="4" t="n">
        <v>23</v>
      </c>
      <c r="Q218" s="8"/>
      <c r="R218" s="4" t="s">
        <v>866</v>
      </c>
      <c r="S218" s="4"/>
    </row>
    <row r="219" customFormat="false" ht="15" hidden="false" customHeight="false" outlineLevel="0" collapsed="false">
      <c r="A219" s="4" t="s">
        <v>867</v>
      </c>
      <c r="B219" s="8" t="s">
        <v>868</v>
      </c>
      <c r="C219" s="8" t="s">
        <v>58</v>
      </c>
      <c r="D219" s="8"/>
      <c r="E219" s="8" t="s">
        <v>60</v>
      </c>
      <c r="F219" s="8"/>
      <c r="G219" s="8"/>
      <c r="H219" s="8"/>
      <c r="I219" s="8" t="s">
        <v>869</v>
      </c>
      <c r="J219" s="8" t="s">
        <v>64</v>
      </c>
      <c r="K219" s="8" t="s">
        <v>778</v>
      </c>
      <c r="L219" s="8"/>
      <c r="M219" s="8"/>
      <c r="N219" s="8" t="s">
        <v>62</v>
      </c>
      <c r="O219" s="8" t="s">
        <v>63</v>
      </c>
      <c r="P219" s="4" t="n">
        <v>23</v>
      </c>
      <c r="Q219" s="8"/>
      <c r="R219" s="4" t="s">
        <v>870</v>
      </c>
      <c r="S219" s="4"/>
    </row>
    <row r="220" customFormat="false" ht="15" hidden="false" customHeight="false" outlineLevel="0" collapsed="false">
      <c r="A220" s="4" t="s">
        <v>871</v>
      </c>
      <c r="B220" s="8" t="s">
        <v>872</v>
      </c>
      <c r="C220" s="8" t="s">
        <v>58</v>
      </c>
      <c r="D220" s="8"/>
      <c r="E220" s="8" t="s">
        <v>60</v>
      </c>
      <c r="F220" s="8"/>
      <c r="G220" s="8"/>
      <c r="H220" s="8"/>
      <c r="I220" s="8" t="s">
        <v>873</v>
      </c>
      <c r="J220" s="8" t="s">
        <v>64</v>
      </c>
      <c r="K220" s="8" t="s">
        <v>778</v>
      </c>
      <c r="L220" s="8"/>
      <c r="M220" s="8"/>
      <c r="N220" s="8" t="s">
        <v>62</v>
      </c>
      <c r="O220" s="8" t="s">
        <v>63</v>
      </c>
      <c r="P220" s="4" t="n">
        <v>23</v>
      </c>
      <c r="Q220" s="8"/>
      <c r="R220" s="4" t="s">
        <v>874</v>
      </c>
      <c r="S220" s="4" t="n">
        <v>1882</v>
      </c>
    </row>
    <row r="221" customFormat="false" ht="15" hidden="false" customHeight="false" outlineLevel="0" collapsed="false">
      <c r="A221" s="4" t="s">
        <v>875</v>
      </c>
      <c r="B221" s="8" t="s">
        <v>876</v>
      </c>
      <c r="C221" s="8"/>
      <c r="D221" s="8"/>
      <c r="E221" s="8"/>
      <c r="F221" s="8"/>
      <c r="G221" s="8"/>
      <c r="H221" s="8"/>
      <c r="I221" s="8" t="s">
        <v>877</v>
      </c>
      <c r="J221" s="8" t="s">
        <v>64</v>
      </c>
      <c r="K221" s="8" t="s">
        <v>778</v>
      </c>
      <c r="L221" s="8"/>
      <c r="M221" s="8"/>
      <c r="N221" s="8" t="s">
        <v>62</v>
      </c>
      <c r="O221" s="8" t="s">
        <v>63</v>
      </c>
      <c r="P221" s="4" t="n">
        <v>23</v>
      </c>
      <c r="Q221" s="8"/>
      <c r="R221" s="4" t="s">
        <v>876</v>
      </c>
      <c r="S221" s="4"/>
    </row>
    <row r="222" customFormat="false" ht="15" hidden="false" customHeight="false" outlineLevel="0" collapsed="false">
      <c r="A222" s="4" t="s">
        <v>878</v>
      </c>
      <c r="B222" s="8" t="s">
        <v>879</v>
      </c>
      <c r="C222" s="8" t="s">
        <v>58</v>
      </c>
      <c r="D222" s="8"/>
      <c r="E222" s="8" t="s">
        <v>60</v>
      </c>
      <c r="F222" s="8"/>
      <c r="G222" s="8"/>
      <c r="H222" s="8"/>
      <c r="I222" s="8" t="s">
        <v>880</v>
      </c>
      <c r="J222" s="8" t="s">
        <v>64</v>
      </c>
      <c r="K222" s="8" t="s">
        <v>778</v>
      </c>
      <c r="L222" s="8"/>
      <c r="M222" s="8"/>
      <c r="N222" s="8" t="s">
        <v>62</v>
      </c>
      <c r="O222" s="8" t="s">
        <v>63</v>
      </c>
      <c r="P222" s="4" t="n">
        <v>23</v>
      </c>
      <c r="Q222" s="8"/>
      <c r="R222" s="4" t="s">
        <v>881</v>
      </c>
      <c r="S222" s="4"/>
    </row>
    <row r="223" customFormat="false" ht="15" hidden="false" customHeight="false" outlineLevel="0" collapsed="false">
      <c r="A223" s="4" t="s">
        <v>882</v>
      </c>
      <c r="B223" s="8" t="s">
        <v>883</v>
      </c>
      <c r="C223" s="8" t="s">
        <v>58</v>
      </c>
      <c r="D223" s="8"/>
      <c r="E223" s="8" t="s">
        <v>60</v>
      </c>
      <c r="F223" s="8"/>
      <c r="G223" s="8"/>
      <c r="H223" s="8"/>
      <c r="I223" s="8" t="s">
        <v>884</v>
      </c>
      <c r="J223" s="8" t="s">
        <v>64</v>
      </c>
      <c r="K223" s="8" t="s">
        <v>778</v>
      </c>
      <c r="L223" s="8"/>
      <c r="M223" s="8"/>
      <c r="N223" s="8" t="s">
        <v>62</v>
      </c>
      <c r="O223" s="8" t="s">
        <v>63</v>
      </c>
      <c r="P223" s="4" t="n">
        <v>23</v>
      </c>
      <c r="Q223" s="8"/>
      <c r="R223" s="4" t="s">
        <v>885</v>
      </c>
      <c r="S223" s="4"/>
    </row>
    <row r="224" customFormat="false" ht="15" hidden="false" customHeight="false" outlineLevel="0" collapsed="false">
      <c r="A224" s="4" t="s">
        <v>886</v>
      </c>
      <c r="B224" s="8" t="s">
        <v>887</v>
      </c>
      <c r="C224" s="8"/>
      <c r="D224" s="8"/>
      <c r="E224" s="8"/>
      <c r="F224" s="8"/>
      <c r="G224" s="8"/>
      <c r="H224" s="8"/>
      <c r="I224" s="8" t="s">
        <v>888</v>
      </c>
      <c r="J224" s="8" t="s">
        <v>64</v>
      </c>
      <c r="K224" s="8" t="s">
        <v>778</v>
      </c>
      <c r="L224" s="8"/>
      <c r="M224" s="8"/>
      <c r="N224" s="8" t="s">
        <v>62</v>
      </c>
      <c r="O224" s="8" t="s">
        <v>63</v>
      </c>
      <c r="P224" s="4" t="n">
        <v>23</v>
      </c>
      <c r="Q224" s="8"/>
      <c r="R224" s="4" t="s">
        <v>887</v>
      </c>
      <c r="S224" s="4"/>
    </row>
    <row r="225" customFormat="false" ht="15" hidden="false" customHeight="false" outlineLevel="0" collapsed="false">
      <c r="A225" s="4" t="s">
        <v>889</v>
      </c>
      <c r="B225" s="8" t="s">
        <v>890</v>
      </c>
      <c r="C225" s="8" t="s">
        <v>58</v>
      </c>
      <c r="D225" s="8"/>
      <c r="E225" s="8" t="s">
        <v>60</v>
      </c>
      <c r="F225" s="8"/>
      <c r="G225" s="8"/>
      <c r="H225" s="8"/>
      <c r="I225" s="8" t="s">
        <v>891</v>
      </c>
      <c r="J225" s="8" t="s">
        <v>64</v>
      </c>
      <c r="K225" s="8" t="s">
        <v>778</v>
      </c>
      <c r="L225" s="8"/>
      <c r="M225" s="8"/>
      <c r="N225" s="8" t="s">
        <v>62</v>
      </c>
      <c r="O225" s="8" t="s">
        <v>63</v>
      </c>
      <c r="P225" s="4" t="n">
        <v>23</v>
      </c>
      <c r="Q225" s="8"/>
      <c r="R225" s="4" t="s">
        <v>892</v>
      </c>
      <c r="S225" s="4"/>
    </row>
    <row r="226" customFormat="false" ht="15" hidden="false" customHeight="false" outlineLevel="0" collapsed="false">
      <c r="A226" s="4" t="s">
        <v>893</v>
      </c>
      <c r="B226" s="8" t="s">
        <v>894</v>
      </c>
      <c r="C226" s="8" t="s">
        <v>58</v>
      </c>
      <c r="D226" s="8"/>
      <c r="E226" s="8" t="s">
        <v>60</v>
      </c>
      <c r="F226" s="8"/>
      <c r="G226" s="8"/>
      <c r="H226" s="8"/>
      <c r="I226" s="8" t="s">
        <v>895</v>
      </c>
      <c r="J226" s="8" t="s">
        <v>64</v>
      </c>
      <c r="K226" s="8" t="s">
        <v>778</v>
      </c>
      <c r="L226" s="8"/>
      <c r="M226" s="8"/>
      <c r="N226" s="8" t="s">
        <v>62</v>
      </c>
      <c r="O226" s="8" t="s">
        <v>63</v>
      </c>
      <c r="P226" s="4" t="n">
        <v>23</v>
      </c>
      <c r="Q226" s="8"/>
      <c r="R226" s="4" t="s">
        <v>896</v>
      </c>
      <c r="S226" s="4"/>
    </row>
    <row r="227" customFormat="false" ht="15" hidden="false" customHeight="false" outlineLevel="0" collapsed="false">
      <c r="A227" s="4" t="s">
        <v>897</v>
      </c>
      <c r="B227" s="8" t="s">
        <v>898</v>
      </c>
      <c r="C227" s="8" t="s">
        <v>58</v>
      </c>
      <c r="D227" s="8"/>
      <c r="E227" s="8" t="s">
        <v>60</v>
      </c>
      <c r="F227" s="8"/>
      <c r="G227" s="8"/>
      <c r="H227" s="8"/>
      <c r="I227" s="8" t="s">
        <v>899</v>
      </c>
      <c r="J227" s="8" t="s">
        <v>64</v>
      </c>
      <c r="K227" s="8" t="s">
        <v>778</v>
      </c>
      <c r="L227" s="8"/>
      <c r="M227" s="8"/>
      <c r="N227" s="8" t="s">
        <v>62</v>
      </c>
      <c r="O227" s="8" t="s">
        <v>63</v>
      </c>
      <c r="P227" s="4" t="n">
        <v>23</v>
      </c>
      <c r="Q227" s="8"/>
      <c r="R227" s="4" t="s">
        <v>900</v>
      </c>
      <c r="S227" s="4"/>
    </row>
    <row r="228" customFormat="false" ht="15" hidden="false" customHeight="false" outlineLevel="0" collapsed="false">
      <c r="A228" s="4" t="s">
        <v>901</v>
      </c>
      <c r="B228" s="8" t="s">
        <v>902</v>
      </c>
      <c r="C228" s="8" t="s">
        <v>58</v>
      </c>
      <c r="D228" s="8"/>
      <c r="E228" s="8" t="s">
        <v>60</v>
      </c>
      <c r="F228" s="8"/>
      <c r="G228" s="8"/>
      <c r="H228" s="8"/>
      <c r="I228" s="8" t="s">
        <v>903</v>
      </c>
      <c r="J228" s="8" t="s">
        <v>64</v>
      </c>
      <c r="K228" s="8" t="s">
        <v>778</v>
      </c>
      <c r="L228" s="8"/>
      <c r="M228" s="8"/>
      <c r="N228" s="8" t="s">
        <v>62</v>
      </c>
      <c r="O228" s="8" t="s">
        <v>63</v>
      </c>
      <c r="P228" s="4" t="n">
        <v>23</v>
      </c>
      <c r="Q228" s="8"/>
      <c r="R228" s="4" t="s">
        <v>904</v>
      </c>
      <c r="S228" s="4"/>
    </row>
    <row r="229" customFormat="false" ht="15" hidden="false" customHeight="false" outlineLevel="0" collapsed="false">
      <c r="A229" s="4" t="s">
        <v>905</v>
      </c>
      <c r="B229" s="8" t="s">
        <v>906</v>
      </c>
      <c r="C229" s="8"/>
      <c r="D229" s="8"/>
      <c r="E229" s="8"/>
      <c r="F229" s="8"/>
      <c r="G229" s="8"/>
      <c r="H229" s="8"/>
      <c r="I229" s="8" t="s">
        <v>907</v>
      </c>
      <c r="J229" s="8" t="s">
        <v>64</v>
      </c>
      <c r="K229" s="8" t="s">
        <v>778</v>
      </c>
      <c r="L229" s="8"/>
      <c r="M229" s="8"/>
      <c r="N229" s="8" t="s">
        <v>62</v>
      </c>
      <c r="O229" s="8" t="s">
        <v>63</v>
      </c>
      <c r="P229" s="4" t="n">
        <v>23</v>
      </c>
      <c r="Q229" s="8"/>
      <c r="R229" s="4" t="s">
        <v>906</v>
      </c>
      <c r="S229" s="4" t="n">
        <v>1597</v>
      </c>
    </row>
    <row r="230" customFormat="false" ht="15" hidden="false" customHeight="false" outlineLevel="0" collapsed="false">
      <c r="A230" s="4" t="s">
        <v>908</v>
      </c>
      <c r="B230" s="8" t="s">
        <v>909</v>
      </c>
      <c r="C230" s="8" t="s">
        <v>58</v>
      </c>
      <c r="D230" s="8"/>
      <c r="E230" s="8" t="s">
        <v>60</v>
      </c>
      <c r="F230" s="8"/>
      <c r="G230" s="8"/>
      <c r="H230" s="8"/>
      <c r="I230" s="8" t="s">
        <v>910</v>
      </c>
      <c r="J230" s="8" t="s">
        <v>64</v>
      </c>
      <c r="K230" s="8" t="s">
        <v>778</v>
      </c>
      <c r="L230" s="8"/>
      <c r="M230" s="8"/>
      <c r="N230" s="8" t="s">
        <v>62</v>
      </c>
      <c r="O230" s="8" t="s">
        <v>63</v>
      </c>
      <c r="P230" s="4" t="n">
        <v>23</v>
      </c>
      <c r="Q230" s="8"/>
      <c r="R230" s="4" t="s">
        <v>911</v>
      </c>
      <c r="S230" s="4"/>
    </row>
    <row r="231" customFormat="false" ht="15" hidden="false" customHeight="false" outlineLevel="0" collapsed="false">
      <c r="A231" s="4" t="s">
        <v>912</v>
      </c>
      <c r="B231" s="8" t="s">
        <v>913</v>
      </c>
      <c r="C231" s="8" t="s">
        <v>58</v>
      </c>
      <c r="D231" s="8"/>
      <c r="E231" s="8" t="s">
        <v>60</v>
      </c>
      <c r="F231" s="8"/>
      <c r="G231" s="8"/>
      <c r="H231" s="8"/>
      <c r="I231" s="8" t="s">
        <v>914</v>
      </c>
      <c r="J231" s="8" t="s">
        <v>64</v>
      </c>
      <c r="K231" s="8" t="s">
        <v>778</v>
      </c>
      <c r="L231" s="8"/>
      <c r="M231" s="8"/>
      <c r="N231" s="8" t="s">
        <v>62</v>
      </c>
      <c r="O231" s="8" t="s">
        <v>63</v>
      </c>
      <c r="P231" s="4" t="n">
        <v>23</v>
      </c>
      <c r="Q231" s="8"/>
      <c r="R231" s="4" t="s">
        <v>915</v>
      </c>
      <c r="S231" s="4" t="n">
        <v>1432</v>
      </c>
    </row>
    <row r="232" customFormat="false" ht="15" hidden="false" customHeight="false" outlineLevel="0" collapsed="false">
      <c r="A232" s="4" t="s">
        <v>916</v>
      </c>
      <c r="B232" s="8" t="s">
        <v>917</v>
      </c>
      <c r="C232" s="8" t="s">
        <v>58</v>
      </c>
      <c r="D232" s="8"/>
      <c r="E232" s="8" t="s">
        <v>60</v>
      </c>
      <c r="F232" s="8"/>
      <c r="G232" s="8"/>
      <c r="H232" s="8"/>
      <c r="I232" s="8" t="s">
        <v>918</v>
      </c>
      <c r="J232" s="8" t="s">
        <v>64</v>
      </c>
      <c r="K232" s="8" t="s">
        <v>778</v>
      </c>
      <c r="L232" s="8"/>
      <c r="M232" s="8"/>
      <c r="N232" s="8" t="s">
        <v>62</v>
      </c>
      <c r="O232" s="8" t="s">
        <v>63</v>
      </c>
      <c r="P232" s="4" t="n">
        <v>23</v>
      </c>
      <c r="Q232" s="8"/>
      <c r="R232" s="4" t="s">
        <v>919</v>
      </c>
      <c r="S232" s="4"/>
    </row>
    <row r="233" customFormat="false" ht="15" hidden="false" customHeight="false" outlineLevel="0" collapsed="false">
      <c r="A233" s="4" t="s">
        <v>920</v>
      </c>
      <c r="B233" s="8" t="s">
        <v>921</v>
      </c>
      <c r="C233" s="8" t="s">
        <v>58</v>
      </c>
      <c r="D233" s="8"/>
      <c r="E233" s="8" t="s">
        <v>60</v>
      </c>
      <c r="F233" s="8"/>
      <c r="G233" s="8"/>
      <c r="H233" s="8"/>
      <c r="I233" s="8" t="s">
        <v>922</v>
      </c>
      <c r="J233" s="8" t="s">
        <v>64</v>
      </c>
      <c r="K233" s="8" t="s">
        <v>778</v>
      </c>
      <c r="L233" s="8"/>
      <c r="M233" s="8"/>
      <c r="N233" s="8" t="s">
        <v>62</v>
      </c>
      <c r="O233" s="8" t="s">
        <v>63</v>
      </c>
      <c r="P233" s="4" t="n">
        <v>23</v>
      </c>
      <c r="Q233" s="8"/>
      <c r="R233" s="4" t="s">
        <v>923</v>
      </c>
      <c r="S233" s="4"/>
    </row>
    <row r="234" customFormat="false" ht="15" hidden="false" customHeight="false" outlineLevel="0" collapsed="false">
      <c r="A234" s="4" t="s">
        <v>924</v>
      </c>
      <c r="B234" s="8" t="s">
        <v>925</v>
      </c>
      <c r="C234" s="8" t="s">
        <v>58</v>
      </c>
      <c r="D234" s="8"/>
      <c r="E234" s="8" t="s">
        <v>60</v>
      </c>
      <c r="F234" s="8"/>
      <c r="G234" s="8"/>
      <c r="H234" s="8"/>
      <c r="I234" s="8" t="s">
        <v>926</v>
      </c>
      <c r="J234" s="8" t="s">
        <v>64</v>
      </c>
      <c r="K234" s="8" t="s">
        <v>778</v>
      </c>
      <c r="L234" s="8"/>
      <c r="M234" s="8"/>
      <c r="N234" s="8" t="s">
        <v>62</v>
      </c>
      <c r="O234" s="8" t="s">
        <v>63</v>
      </c>
      <c r="P234" s="4" t="n">
        <v>23</v>
      </c>
      <c r="Q234" s="8"/>
      <c r="R234" s="4" t="s">
        <v>927</v>
      </c>
      <c r="S234" s="4" t="n">
        <v>350</v>
      </c>
    </row>
    <row r="235" customFormat="false" ht="15" hidden="false" customHeight="false" outlineLevel="0" collapsed="false">
      <c r="A235" s="4" t="s">
        <v>928</v>
      </c>
      <c r="B235" s="8" t="s">
        <v>929</v>
      </c>
      <c r="C235" s="8" t="s">
        <v>58</v>
      </c>
      <c r="D235" s="8"/>
      <c r="E235" s="8" t="s">
        <v>60</v>
      </c>
      <c r="F235" s="8"/>
      <c r="G235" s="8"/>
      <c r="H235" s="8"/>
      <c r="I235" s="8" t="s">
        <v>930</v>
      </c>
      <c r="J235" s="8" t="s">
        <v>64</v>
      </c>
      <c r="K235" s="8" t="s">
        <v>778</v>
      </c>
      <c r="L235" s="8"/>
      <c r="M235" s="8"/>
      <c r="N235" s="8" t="s">
        <v>62</v>
      </c>
      <c r="O235" s="8" t="s">
        <v>63</v>
      </c>
      <c r="P235" s="4" t="n">
        <v>23</v>
      </c>
      <c r="Q235" s="8"/>
      <c r="R235" s="4" t="s">
        <v>931</v>
      </c>
      <c r="S235" s="4"/>
    </row>
    <row r="236" customFormat="false" ht="15" hidden="false" customHeight="false" outlineLevel="0" collapsed="false">
      <c r="A236" s="4" t="s">
        <v>932</v>
      </c>
      <c r="B236" s="8" t="s">
        <v>933</v>
      </c>
      <c r="C236" s="8" t="s">
        <v>58</v>
      </c>
      <c r="D236" s="8"/>
      <c r="E236" s="8" t="s">
        <v>60</v>
      </c>
      <c r="F236" s="8"/>
      <c r="G236" s="8"/>
      <c r="H236" s="8"/>
      <c r="I236" s="8" t="s">
        <v>934</v>
      </c>
      <c r="J236" s="8" t="s">
        <v>64</v>
      </c>
      <c r="K236" s="8" t="s">
        <v>778</v>
      </c>
      <c r="L236" s="8"/>
      <c r="M236" s="8"/>
      <c r="N236" s="8" t="s">
        <v>62</v>
      </c>
      <c r="O236" s="8" t="s">
        <v>63</v>
      </c>
      <c r="P236" s="4" t="n">
        <v>23</v>
      </c>
      <c r="Q236" s="8"/>
      <c r="R236" s="4" t="s">
        <v>935</v>
      </c>
      <c r="S236" s="4" t="n">
        <v>822</v>
      </c>
    </row>
    <row r="237" customFormat="false" ht="15" hidden="false" customHeight="false" outlineLevel="0" collapsed="false">
      <c r="A237" s="4" t="s">
        <v>936</v>
      </c>
      <c r="B237" s="8" t="s">
        <v>937</v>
      </c>
      <c r="C237" s="8" t="s">
        <v>58</v>
      </c>
      <c r="D237" s="8"/>
      <c r="E237" s="8" t="s">
        <v>60</v>
      </c>
      <c r="F237" s="8"/>
      <c r="G237" s="8"/>
      <c r="H237" s="8"/>
      <c r="I237" s="8" t="s">
        <v>938</v>
      </c>
      <c r="J237" s="8" t="s">
        <v>64</v>
      </c>
      <c r="K237" s="8" t="s">
        <v>778</v>
      </c>
      <c r="L237" s="8"/>
      <c r="M237" s="8"/>
      <c r="N237" s="8" t="s">
        <v>62</v>
      </c>
      <c r="O237" s="8" t="s">
        <v>63</v>
      </c>
      <c r="P237" s="4" t="n">
        <v>23</v>
      </c>
      <c r="Q237" s="8"/>
      <c r="R237" s="4" t="s">
        <v>939</v>
      </c>
      <c r="S237" s="4" t="n">
        <v>2299</v>
      </c>
    </row>
    <row r="238" customFormat="false" ht="15" hidden="false" customHeight="false" outlineLevel="0" collapsed="false">
      <c r="A238" s="4" t="s">
        <v>940</v>
      </c>
      <c r="B238" s="8" t="s">
        <v>941</v>
      </c>
      <c r="C238" s="8" t="s">
        <v>58</v>
      </c>
      <c r="D238" s="8"/>
      <c r="E238" s="8" t="s">
        <v>60</v>
      </c>
      <c r="F238" s="8"/>
      <c r="G238" s="8"/>
      <c r="H238" s="8"/>
      <c r="I238" s="8" t="s">
        <v>942</v>
      </c>
      <c r="J238" s="8" t="s">
        <v>64</v>
      </c>
      <c r="K238" s="8" t="s">
        <v>778</v>
      </c>
      <c r="L238" s="8"/>
      <c r="M238" s="8"/>
      <c r="N238" s="8" t="s">
        <v>62</v>
      </c>
      <c r="O238" s="8" t="s">
        <v>63</v>
      </c>
      <c r="P238" s="4" t="n">
        <v>23</v>
      </c>
      <c r="Q238" s="8"/>
      <c r="R238" s="4" t="s">
        <v>943</v>
      </c>
      <c r="S238" s="4"/>
    </row>
    <row r="239" customFormat="false" ht="15" hidden="false" customHeight="false" outlineLevel="0" collapsed="false">
      <c r="A239" s="4" t="s">
        <v>944</v>
      </c>
      <c r="B239" s="8" t="s">
        <v>945</v>
      </c>
      <c r="C239" s="8"/>
      <c r="D239" s="8"/>
      <c r="E239" s="8"/>
      <c r="F239" s="8"/>
      <c r="G239" s="8"/>
      <c r="H239" s="8"/>
      <c r="I239" s="8" t="s">
        <v>946</v>
      </c>
      <c r="J239" s="8" t="s">
        <v>64</v>
      </c>
      <c r="K239" s="8" t="s">
        <v>778</v>
      </c>
      <c r="L239" s="8"/>
      <c r="M239" s="8"/>
      <c r="N239" s="8" t="s">
        <v>62</v>
      </c>
      <c r="O239" s="8" t="s">
        <v>63</v>
      </c>
      <c r="P239" s="4" t="n">
        <v>23</v>
      </c>
      <c r="Q239" s="8"/>
      <c r="R239" s="4" t="s">
        <v>945</v>
      </c>
      <c r="S239" s="4"/>
    </row>
    <row r="240" customFormat="false" ht="15" hidden="false" customHeight="false" outlineLevel="0" collapsed="false">
      <c r="A240" s="4" t="s">
        <v>947</v>
      </c>
      <c r="B240" s="8" t="s">
        <v>948</v>
      </c>
      <c r="C240" s="8" t="s">
        <v>58</v>
      </c>
      <c r="D240" s="8"/>
      <c r="E240" s="8" t="s">
        <v>60</v>
      </c>
      <c r="F240" s="8"/>
      <c r="G240" s="8"/>
      <c r="H240" s="8"/>
      <c r="I240" s="8" t="s">
        <v>949</v>
      </c>
      <c r="J240" s="8" t="s">
        <v>64</v>
      </c>
      <c r="K240" s="8" t="s">
        <v>778</v>
      </c>
      <c r="L240" s="8"/>
      <c r="M240" s="8"/>
      <c r="N240" s="8" t="s">
        <v>62</v>
      </c>
      <c r="O240" s="8" t="s">
        <v>63</v>
      </c>
      <c r="P240" s="4" t="n">
        <v>23</v>
      </c>
      <c r="Q240" s="8"/>
      <c r="R240" s="4" t="s">
        <v>950</v>
      </c>
      <c r="S240" s="4"/>
    </row>
    <row r="241" customFormat="false" ht="15" hidden="false" customHeight="false" outlineLevel="0" collapsed="false">
      <c r="A241" s="4" t="s">
        <v>951</v>
      </c>
      <c r="B241" s="8" t="s">
        <v>952</v>
      </c>
      <c r="C241" s="8"/>
      <c r="D241" s="8"/>
      <c r="E241" s="8"/>
      <c r="F241" s="8"/>
      <c r="G241" s="8"/>
      <c r="H241" s="8"/>
      <c r="I241" s="8" t="s">
        <v>953</v>
      </c>
      <c r="J241" s="8" t="s">
        <v>64</v>
      </c>
      <c r="K241" s="8" t="s">
        <v>778</v>
      </c>
      <c r="L241" s="8"/>
      <c r="M241" s="8"/>
      <c r="N241" s="8" t="s">
        <v>62</v>
      </c>
      <c r="O241" s="8" t="s">
        <v>63</v>
      </c>
      <c r="P241" s="4" t="n">
        <v>23</v>
      </c>
      <c r="Q241" s="8"/>
      <c r="R241" s="4" t="s">
        <v>952</v>
      </c>
      <c r="S241" s="4" t="n">
        <v>694</v>
      </c>
    </row>
    <row r="242" customFormat="false" ht="15" hidden="false" customHeight="false" outlineLevel="0" collapsed="false">
      <c r="A242" s="4" t="s">
        <v>954</v>
      </c>
      <c r="B242" s="8" t="s">
        <v>955</v>
      </c>
      <c r="C242" s="8" t="s">
        <v>58</v>
      </c>
      <c r="D242" s="8"/>
      <c r="E242" s="8" t="s">
        <v>60</v>
      </c>
      <c r="F242" s="8"/>
      <c r="G242" s="8"/>
      <c r="H242" s="8"/>
      <c r="I242" s="8" t="s">
        <v>956</v>
      </c>
      <c r="J242" s="8" t="s">
        <v>64</v>
      </c>
      <c r="K242" s="8" t="s">
        <v>778</v>
      </c>
      <c r="L242" s="8"/>
      <c r="M242" s="8"/>
      <c r="N242" s="8" t="s">
        <v>62</v>
      </c>
      <c r="O242" s="8" t="s">
        <v>63</v>
      </c>
      <c r="P242" s="4" t="n">
        <v>23</v>
      </c>
      <c r="Q242" s="8"/>
      <c r="R242" s="4" t="s">
        <v>957</v>
      </c>
      <c r="S242" s="4"/>
    </row>
    <row r="243" customFormat="false" ht="15" hidden="false" customHeight="false" outlineLevel="0" collapsed="false">
      <c r="A243" s="4" t="s">
        <v>958</v>
      </c>
      <c r="B243" s="8" t="s">
        <v>959</v>
      </c>
      <c r="C243" s="8"/>
      <c r="D243" s="8"/>
      <c r="E243" s="8"/>
      <c r="F243" s="8"/>
      <c r="G243" s="8"/>
      <c r="H243" s="8"/>
      <c r="I243" s="8" t="s">
        <v>960</v>
      </c>
      <c r="J243" s="8" t="s">
        <v>64</v>
      </c>
      <c r="K243" s="8" t="s">
        <v>778</v>
      </c>
      <c r="L243" s="8"/>
      <c r="M243" s="8"/>
      <c r="N243" s="8" t="s">
        <v>62</v>
      </c>
      <c r="O243" s="8" t="s">
        <v>63</v>
      </c>
      <c r="P243" s="4" t="n">
        <v>23</v>
      </c>
      <c r="Q243" s="8"/>
      <c r="R243" s="4" t="s">
        <v>959</v>
      </c>
      <c r="S243" s="4"/>
    </row>
    <row r="244" customFormat="false" ht="15" hidden="false" customHeight="false" outlineLevel="0" collapsed="false">
      <c r="A244" s="4" t="s">
        <v>961</v>
      </c>
      <c r="B244" s="8" t="s">
        <v>962</v>
      </c>
      <c r="C244" s="8" t="s">
        <v>58</v>
      </c>
      <c r="D244" s="8"/>
      <c r="E244" s="8" t="s">
        <v>60</v>
      </c>
      <c r="F244" s="8"/>
      <c r="G244" s="8"/>
      <c r="H244" s="8"/>
      <c r="I244" s="8" t="s">
        <v>963</v>
      </c>
      <c r="J244" s="8" t="s">
        <v>64</v>
      </c>
      <c r="K244" s="8" t="s">
        <v>778</v>
      </c>
      <c r="L244" s="8"/>
      <c r="M244" s="8"/>
      <c r="N244" s="8" t="s">
        <v>62</v>
      </c>
      <c r="O244" s="8" t="s">
        <v>63</v>
      </c>
      <c r="P244" s="4" t="n">
        <v>23</v>
      </c>
      <c r="Q244" s="8"/>
      <c r="R244" s="4" t="s">
        <v>964</v>
      </c>
      <c r="S244" s="4" t="n">
        <v>703</v>
      </c>
    </row>
    <row r="245" customFormat="false" ht="15" hidden="false" customHeight="false" outlineLevel="0" collapsed="false">
      <c r="A245" s="4" t="s">
        <v>965</v>
      </c>
      <c r="B245" s="8" t="s">
        <v>966</v>
      </c>
      <c r="C245" s="8" t="s">
        <v>58</v>
      </c>
      <c r="D245" s="8"/>
      <c r="E245" s="8" t="s">
        <v>60</v>
      </c>
      <c r="F245" s="8"/>
      <c r="G245" s="8"/>
      <c r="H245" s="8"/>
      <c r="I245" s="8" t="s">
        <v>967</v>
      </c>
      <c r="J245" s="8" t="s">
        <v>64</v>
      </c>
      <c r="K245" s="8" t="s">
        <v>778</v>
      </c>
      <c r="L245" s="8"/>
      <c r="M245" s="8"/>
      <c r="N245" s="8" t="s">
        <v>62</v>
      </c>
      <c r="O245" s="8" t="s">
        <v>63</v>
      </c>
      <c r="P245" s="4" t="n">
        <v>23</v>
      </c>
      <c r="Q245" s="8"/>
      <c r="R245" s="4" t="s">
        <v>968</v>
      </c>
      <c r="S245" s="4"/>
    </row>
    <row r="246" customFormat="false" ht="15" hidden="false" customHeight="false" outlineLevel="0" collapsed="false">
      <c r="A246" s="4" t="s">
        <v>969</v>
      </c>
      <c r="B246" s="8" t="s">
        <v>970</v>
      </c>
      <c r="C246" s="8" t="s">
        <v>58</v>
      </c>
      <c r="D246" s="8"/>
      <c r="E246" s="8" t="s">
        <v>60</v>
      </c>
      <c r="F246" s="8"/>
      <c r="G246" s="8"/>
      <c r="H246" s="8"/>
      <c r="I246" s="8" t="s">
        <v>971</v>
      </c>
      <c r="J246" s="8" t="s">
        <v>64</v>
      </c>
      <c r="K246" s="8" t="s">
        <v>778</v>
      </c>
      <c r="L246" s="8"/>
      <c r="M246" s="8"/>
      <c r="N246" s="8" t="s">
        <v>62</v>
      </c>
      <c r="O246" s="8" t="s">
        <v>63</v>
      </c>
      <c r="P246" s="4" t="n">
        <v>23</v>
      </c>
      <c r="Q246" s="8"/>
      <c r="R246" s="4" t="s">
        <v>972</v>
      </c>
      <c r="S246" s="4"/>
    </row>
    <row r="247" customFormat="false" ht="15" hidden="false" customHeight="false" outlineLevel="0" collapsed="false">
      <c r="A247" s="4" t="s">
        <v>973</v>
      </c>
      <c r="B247" s="8" t="s">
        <v>974</v>
      </c>
      <c r="C247" s="8" t="s">
        <v>58</v>
      </c>
      <c r="D247" s="8"/>
      <c r="E247" s="8" t="s">
        <v>60</v>
      </c>
      <c r="F247" s="8"/>
      <c r="G247" s="8"/>
      <c r="H247" s="8"/>
      <c r="I247" s="8" t="s">
        <v>975</v>
      </c>
      <c r="J247" s="8" t="s">
        <v>64</v>
      </c>
      <c r="K247" s="8" t="s">
        <v>778</v>
      </c>
      <c r="L247" s="8"/>
      <c r="M247" s="8"/>
      <c r="N247" s="8" t="s">
        <v>62</v>
      </c>
      <c r="O247" s="8" t="s">
        <v>63</v>
      </c>
      <c r="P247" s="4" t="n">
        <v>23</v>
      </c>
      <c r="Q247" s="8"/>
      <c r="R247" s="4" t="s">
        <v>976</v>
      </c>
      <c r="S247" s="4"/>
    </row>
    <row r="248" customFormat="false" ht="15" hidden="false" customHeight="false" outlineLevel="0" collapsed="false">
      <c r="A248" s="4" t="s">
        <v>977</v>
      </c>
      <c r="B248" s="8" t="s">
        <v>978</v>
      </c>
      <c r="C248" s="8" t="s">
        <v>58</v>
      </c>
      <c r="D248" s="8"/>
      <c r="E248" s="8" t="s">
        <v>60</v>
      </c>
      <c r="F248" s="8"/>
      <c r="G248" s="8"/>
      <c r="H248" s="8"/>
      <c r="I248" s="8" t="s">
        <v>979</v>
      </c>
      <c r="J248" s="8" t="s">
        <v>64</v>
      </c>
      <c r="K248" s="8" t="s">
        <v>778</v>
      </c>
      <c r="L248" s="8"/>
      <c r="M248" s="8"/>
      <c r="N248" s="8" t="s">
        <v>62</v>
      </c>
      <c r="O248" s="8" t="s">
        <v>63</v>
      </c>
      <c r="P248" s="4" t="n">
        <v>23</v>
      </c>
      <c r="Q248" s="8"/>
      <c r="R248" s="4" t="s">
        <v>980</v>
      </c>
      <c r="S248" s="4"/>
    </row>
    <row r="249" customFormat="false" ht="15" hidden="false" customHeight="false" outlineLevel="0" collapsed="false">
      <c r="A249" s="4" t="s">
        <v>981</v>
      </c>
      <c r="B249" s="8" t="s">
        <v>982</v>
      </c>
      <c r="C249" s="8" t="s">
        <v>58</v>
      </c>
      <c r="D249" s="8"/>
      <c r="E249" s="8" t="s">
        <v>60</v>
      </c>
      <c r="F249" s="8"/>
      <c r="G249" s="8"/>
      <c r="H249" s="8"/>
      <c r="I249" s="8" t="s">
        <v>983</v>
      </c>
      <c r="J249" s="8" t="s">
        <v>64</v>
      </c>
      <c r="K249" s="8" t="s">
        <v>778</v>
      </c>
      <c r="L249" s="8"/>
      <c r="M249" s="8"/>
      <c r="N249" s="8" t="s">
        <v>62</v>
      </c>
      <c r="O249" s="8" t="s">
        <v>63</v>
      </c>
      <c r="P249" s="4" t="n">
        <v>23</v>
      </c>
      <c r="Q249" s="8"/>
      <c r="R249" s="4" t="s">
        <v>984</v>
      </c>
      <c r="S249" s="4"/>
    </row>
    <row r="250" customFormat="false" ht="15" hidden="false" customHeight="false" outlineLevel="0" collapsed="false">
      <c r="A250" s="4" t="s">
        <v>985</v>
      </c>
      <c r="B250" s="8" t="s">
        <v>986</v>
      </c>
      <c r="C250" s="8" t="s">
        <v>58</v>
      </c>
      <c r="D250" s="8"/>
      <c r="E250" s="8" t="s">
        <v>60</v>
      </c>
      <c r="F250" s="8"/>
      <c r="G250" s="8"/>
      <c r="H250" s="8"/>
      <c r="I250" s="8" t="s">
        <v>987</v>
      </c>
      <c r="J250" s="8" t="s">
        <v>64</v>
      </c>
      <c r="K250" s="8" t="s">
        <v>778</v>
      </c>
      <c r="L250" s="8"/>
      <c r="M250" s="8"/>
      <c r="N250" s="8" t="s">
        <v>62</v>
      </c>
      <c r="O250" s="8" t="s">
        <v>63</v>
      </c>
      <c r="P250" s="4" t="n">
        <v>23</v>
      </c>
      <c r="Q250" s="8"/>
      <c r="R250" s="4" t="s">
        <v>988</v>
      </c>
      <c r="S250" s="4"/>
    </row>
    <row r="251" customFormat="false" ht="15" hidden="false" customHeight="false" outlineLevel="0" collapsed="false">
      <c r="A251" s="4" t="s">
        <v>989</v>
      </c>
      <c r="B251" s="8" t="s">
        <v>990</v>
      </c>
      <c r="C251" s="8" t="s">
        <v>58</v>
      </c>
      <c r="D251" s="8"/>
      <c r="E251" s="8" t="s">
        <v>60</v>
      </c>
      <c r="F251" s="8"/>
      <c r="G251" s="8"/>
      <c r="H251" s="8"/>
      <c r="I251" s="8" t="s">
        <v>991</v>
      </c>
      <c r="J251" s="8" t="s">
        <v>64</v>
      </c>
      <c r="K251" s="8" t="s">
        <v>778</v>
      </c>
      <c r="L251" s="8"/>
      <c r="M251" s="8"/>
      <c r="N251" s="8" t="s">
        <v>62</v>
      </c>
      <c r="O251" s="8" t="s">
        <v>63</v>
      </c>
      <c r="P251" s="4" t="n">
        <v>23</v>
      </c>
      <c r="Q251" s="8"/>
      <c r="R251" s="4" t="s">
        <v>992</v>
      </c>
      <c r="S251" s="4" t="n">
        <v>1489</v>
      </c>
    </row>
    <row r="252" customFormat="false" ht="15" hidden="false" customHeight="false" outlineLevel="0" collapsed="false">
      <c r="A252" s="4" t="s">
        <v>993</v>
      </c>
      <c r="B252" s="8" t="s">
        <v>994</v>
      </c>
      <c r="C252" s="8" t="s">
        <v>58</v>
      </c>
      <c r="D252" s="8"/>
      <c r="E252" s="8" t="s">
        <v>60</v>
      </c>
      <c r="F252" s="8"/>
      <c r="G252" s="8"/>
      <c r="H252" s="8"/>
      <c r="I252" s="8" t="s">
        <v>995</v>
      </c>
      <c r="J252" s="8" t="s">
        <v>64</v>
      </c>
      <c r="K252" s="8" t="s">
        <v>778</v>
      </c>
      <c r="L252" s="8"/>
      <c r="M252" s="8"/>
      <c r="N252" s="8" t="s">
        <v>62</v>
      </c>
      <c r="O252" s="8" t="s">
        <v>63</v>
      </c>
      <c r="P252" s="4" t="n">
        <v>23</v>
      </c>
      <c r="Q252" s="8"/>
      <c r="R252" s="4" t="s">
        <v>996</v>
      </c>
      <c r="S252" s="4"/>
    </row>
    <row r="253" customFormat="false" ht="15" hidden="false" customHeight="false" outlineLevel="0" collapsed="false">
      <c r="A253" s="4" t="s">
        <v>997</v>
      </c>
      <c r="B253" s="8" t="s">
        <v>998</v>
      </c>
      <c r="C253" s="8"/>
      <c r="D253" s="8"/>
      <c r="E253" s="8"/>
      <c r="F253" s="8"/>
      <c r="G253" s="8"/>
      <c r="H253" s="8"/>
      <c r="I253" s="8" t="s">
        <v>999</v>
      </c>
      <c r="J253" s="8" t="s">
        <v>64</v>
      </c>
      <c r="K253" s="8" t="s">
        <v>778</v>
      </c>
      <c r="L253" s="8"/>
      <c r="M253" s="8"/>
      <c r="N253" s="8" t="s">
        <v>62</v>
      </c>
      <c r="O253" s="8" t="s">
        <v>63</v>
      </c>
      <c r="P253" s="4" t="n">
        <v>23</v>
      </c>
      <c r="Q253" s="8"/>
      <c r="R253" s="4" t="s">
        <v>998</v>
      </c>
      <c r="S253" s="4"/>
    </row>
    <row r="254" customFormat="false" ht="15" hidden="false" customHeight="false" outlineLevel="0" collapsed="false">
      <c r="A254" s="4" t="s">
        <v>1000</v>
      </c>
      <c r="B254" s="8" t="s">
        <v>1001</v>
      </c>
      <c r="C254" s="8" t="s">
        <v>58</v>
      </c>
      <c r="D254" s="8"/>
      <c r="E254" s="8" t="s">
        <v>60</v>
      </c>
      <c r="F254" s="8"/>
      <c r="G254" s="8"/>
      <c r="H254" s="8"/>
      <c r="I254" s="8" t="s">
        <v>1002</v>
      </c>
      <c r="J254" s="8" t="s">
        <v>64</v>
      </c>
      <c r="K254" s="8" t="s">
        <v>778</v>
      </c>
      <c r="L254" s="8"/>
      <c r="M254" s="8"/>
      <c r="N254" s="8" t="s">
        <v>62</v>
      </c>
      <c r="O254" s="8" t="s">
        <v>63</v>
      </c>
      <c r="P254" s="4" t="n">
        <v>23</v>
      </c>
      <c r="Q254" s="8"/>
      <c r="R254" s="4" t="s">
        <v>1003</v>
      </c>
      <c r="S254" s="4"/>
    </row>
    <row r="255" customFormat="false" ht="15" hidden="false" customHeight="false" outlineLevel="0" collapsed="false">
      <c r="A255" s="4" t="s">
        <v>1004</v>
      </c>
      <c r="B255" s="8" t="s">
        <v>1005</v>
      </c>
      <c r="C255" s="8" t="s">
        <v>58</v>
      </c>
      <c r="D255" s="8"/>
      <c r="E255" s="8" t="s">
        <v>60</v>
      </c>
      <c r="F255" s="8"/>
      <c r="G255" s="8"/>
      <c r="H255" s="8"/>
      <c r="I255" s="8" t="s">
        <v>1006</v>
      </c>
      <c r="J255" s="8" t="s">
        <v>64</v>
      </c>
      <c r="K255" s="8" t="s">
        <v>778</v>
      </c>
      <c r="L255" s="8"/>
      <c r="M255" s="8"/>
      <c r="N255" s="8" t="s">
        <v>62</v>
      </c>
      <c r="O255" s="8" t="s">
        <v>63</v>
      </c>
      <c r="P255" s="4" t="n">
        <v>23</v>
      </c>
      <c r="Q255" s="8"/>
      <c r="R255" s="4" t="s">
        <v>1007</v>
      </c>
      <c r="S255" s="4"/>
    </row>
    <row r="256" customFormat="false" ht="15" hidden="false" customHeight="false" outlineLevel="0" collapsed="false">
      <c r="A256" s="4" t="s">
        <v>1008</v>
      </c>
      <c r="B256" s="8" t="s">
        <v>1009</v>
      </c>
      <c r="C256" s="8"/>
      <c r="D256" s="8"/>
      <c r="E256" s="8"/>
      <c r="F256" s="8"/>
      <c r="G256" s="8"/>
      <c r="H256" s="8"/>
      <c r="I256" s="8" t="s">
        <v>1010</v>
      </c>
      <c r="J256" s="8" t="s">
        <v>64</v>
      </c>
      <c r="K256" s="8" t="s">
        <v>778</v>
      </c>
      <c r="L256" s="8"/>
      <c r="M256" s="8"/>
      <c r="N256" s="8" t="s">
        <v>62</v>
      </c>
      <c r="O256" s="8" t="s">
        <v>63</v>
      </c>
      <c r="P256" s="4" t="n">
        <v>23</v>
      </c>
      <c r="Q256" s="8"/>
      <c r="R256" s="4" t="s">
        <v>1009</v>
      </c>
      <c r="S256" s="4" t="n">
        <v>1076</v>
      </c>
    </row>
    <row r="257" customFormat="false" ht="15" hidden="false" customHeight="false" outlineLevel="0" collapsed="false">
      <c r="A257" s="4" t="s">
        <v>1011</v>
      </c>
      <c r="B257" s="8" t="s">
        <v>1012</v>
      </c>
      <c r="C257" s="8"/>
      <c r="D257" s="8"/>
      <c r="E257" s="8"/>
      <c r="F257" s="8"/>
      <c r="G257" s="8"/>
      <c r="H257" s="8"/>
      <c r="I257" s="8" t="s">
        <v>1013</v>
      </c>
      <c r="J257" s="8" t="s">
        <v>64</v>
      </c>
      <c r="K257" s="8" t="s">
        <v>778</v>
      </c>
      <c r="L257" s="8"/>
      <c r="M257" s="8"/>
      <c r="N257" s="8" t="s">
        <v>62</v>
      </c>
      <c r="O257" s="8" t="s">
        <v>63</v>
      </c>
      <c r="P257" s="4" t="n">
        <v>24</v>
      </c>
      <c r="Q257" s="8"/>
      <c r="R257" s="4" t="s">
        <v>1012</v>
      </c>
      <c r="S257" s="4"/>
    </row>
    <row r="258" customFormat="false" ht="15" hidden="false" customHeight="false" outlineLevel="0" collapsed="false">
      <c r="A258" s="4" t="s">
        <v>1014</v>
      </c>
      <c r="B258" s="8" t="s">
        <v>1015</v>
      </c>
      <c r="C258" s="8" t="s">
        <v>58</v>
      </c>
      <c r="D258" s="8"/>
      <c r="E258" s="8" t="s">
        <v>60</v>
      </c>
      <c r="F258" s="8"/>
      <c r="G258" s="8"/>
      <c r="H258" s="8"/>
      <c r="I258" s="8" t="s">
        <v>1016</v>
      </c>
      <c r="J258" s="8" t="s">
        <v>64</v>
      </c>
      <c r="K258" s="8" t="s">
        <v>778</v>
      </c>
      <c r="L258" s="8"/>
      <c r="M258" s="8"/>
      <c r="N258" s="8" t="s">
        <v>62</v>
      </c>
      <c r="O258" s="8" t="s">
        <v>63</v>
      </c>
      <c r="P258" s="4" t="n">
        <v>24</v>
      </c>
      <c r="Q258" s="8"/>
      <c r="R258" s="4" t="s">
        <v>1017</v>
      </c>
      <c r="S258" s="4"/>
    </row>
    <row r="259" customFormat="false" ht="15" hidden="false" customHeight="false" outlineLevel="0" collapsed="false">
      <c r="A259" s="4" t="s">
        <v>1018</v>
      </c>
      <c r="B259" s="8" t="s">
        <v>1019</v>
      </c>
      <c r="C259" s="8" t="s">
        <v>58</v>
      </c>
      <c r="D259" s="8"/>
      <c r="E259" s="8" t="s">
        <v>60</v>
      </c>
      <c r="F259" s="8"/>
      <c r="G259" s="8"/>
      <c r="H259" s="8"/>
      <c r="I259" s="8" t="s">
        <v>1020</v>
      </c>
      <c r="J259" s="8" t="s">
        <v>64</v>
      </c>
      <c r="K259" s="8" t="s">
        <v>778</v>
      </c>
      <c r="L259" s="8"/>
      <c r="M259" s="8"/>
      <c r="N259" s="8" t="s">
        <v>62</v>
      </c>
      <c r="O259" s="8" t="s">
        <v>63</v>
      </c>
      <c r="P259" s="4" t="n">
        <v>24</v>
      </c>
      <c r="Q259" s="8"/>
      <c r="R259" s="4" t="s">
        <v>1021</v>
      </c>
      <c r="S259" s="4"/>
    </row>
    <row r="260" customFormat="false" ht="15" hidden="false" customHeight="false" outlineLevel="0" collapsed="false">
      <c r="A260" s="4" t="s">
        <v>1022</v>
      </c>
      <c r="B260" s="8" t="s">
        <v>1023</v>
      </c>
      <c r="C260" s="8"/>
      <c r="D260" s="8"/>
      <c r="E260" s="8" t="s">
        <v>68</v>
      </c>
      <c r="F260" s="8" t="s">
        <v>1024</v>
      </c>
      <c r="G260" s="8" t="s">
        <v>1025</v>
      </c>
      <c r="H260" s="8"/>
      <c r="I260" s="8" t="s">
        <v>1026</v>
      </c>
      <c r="J260" s="8" t="s">
        <v>64</v>
      </c>
      <c r="K260" s="8" t="s">
        <v>778</v>
      </c>
      <c r="L260" s="8" t="s">
        <v>688</v>
      </c>
      <c r="M260" s="8"/>
      <c r="N260" s="8" t="s">
        <v>62</v>
      </c>
      <c r="O260" s="8" t="s">
        <v>63</v>
      </c>
      <c r="P260" s="4" t="n">
        <v>24</v>
      </c>
      <c r="Q260" s="8"/>
      <c r="R260" s="4" t="s">
        <v>1023</v>
      </c>
      <c r="S260" s="4"/>
    </row>
    <row r="261" customFormat="false" ht="15" hidden="false" customHeight="false" outlineLevel="0" collapsed="false">
      <c r="A261" s="4" t="s">
        <v>1027</v>
      </c>
      <c r="B261" s="8" t="s">
        <v>1028</v>
      </c>
      <c r="C261" s="8"/>
      <c r="D261" s="8"/>
      <c r="E261" s="8" t="s">
        <v>68</v>
      </c>
      <c r="F261" s="8" t="s">
        <v>1029</v>
      </c>
      <c r="G261" s="8" t="s">
        <v>1030</v>
      </c>
      <c r="H261" s="8"/>
      <c r="I261" s="8" t="s">
        <v>1031</v>
      </c>
      <c r="J261" s="8" t="s">
        <v>64</v>
      </c>
      <c r="K261" s="8" t="s">
        <v>778</v>
      </c>
      <c r="L261" s="8" t="s">
        <v>688</v>
      </c>
      <c r="M261" s="8"/>
      <c r="N261" s="8" t="s">
        <v>62</v>
      </c>
      <c r="O261" s="8" t="s">
        <v>63</v>
      </c>
      <c r="P261" s="4" t="n">
        <v>24</v>
      </c>
      <c r="Q261" s="8"/>
      <c r="R261" s="4" t="s">
        <v>1028</v>
      </c>
      <c r="S261" s="4"/>
    </row>
    <row r="262" customFormat="false" ht="15" hidden="false" customHeight="false" outlineLevel="0" collapsed="false">
      <c r="A262" s="4" t="s">
        <v>1032</v>
      </c>
      <c r="B262" s="8" t="s">
        <v>1033</v>
      </c>
      <c r="C262" s="8"/>
      <c r="D262" s="8"/>
      <c r="E262" s="8" t="s">
        <v>68</v>
      </c>
      <c r="F262" s="8" t="s">
        <v>1034</v>
      </c>
      <c r="G262" s="8" t="s">
        <v>1035</v>
      </c>
      <c r="H262" s="8"/>
      <c r="I262" s="8" t="s">
        <v>1036</v>
      </c>
      <c r="J262" s="8" t="s">
        <v>64</v>
      </c>
      <c r="K262" s="8" t="s">
        <v>778</v>
      </c>
      <c r="L262" s="8" t="s">
        <v>688</v>
      </c>
      <c r="M262" s="8"/>
      <c r="N262" s="8" t="s">
        <v>62</v>
      </c>
      <c r="O262" s="8" t="s">
        <v>63</v>
      </c>
      <c r="P262" s="4" t="n">
        <v>24</v>
      </c>
      <c r="Q262" s="8"/>
      <c r="R262" s="4" t="s">
        <v>1033</v>
      </c>
      <c r="S262" s="4"/>
    </row>
    <row r="263" customFormat="false" ht="15" hidden="false" customHeight="false" outlineLevel="0" collapsed="false">
      <c r="A263" s="4" t="s">
        <v>1037</v>
      </c>
      <c r="B263" s="8" t="s">
        <v>1038</v>
      </c>
      <c r="C263" s="8"/>
      <c r="D263" s="8"/>
      <c r="E263" s="8" t="s">
        <v>68</v>
      </c>
      <c r="F263" s="8" t="s">
        <v>1039</v>
      </c>
      <c r="G263" s="8" t="s">
        <v>1040</v>
      </c>
      <c r="H263" s="8"/>
      <c r="I263" s="8" t="s">
        <v>1041</v>
      </c>
      <c r="J263" s="8" t="s">
        <v>64</v>
      </c>
      <c r="K263" s="8" t="s">
        <v>778</v>
      </c>
      <c r="L263" s="8" t="s">
        <v>688</v>
      </c>
      <c r="M263" s="8"/>
      <c r="N263" s="8" t="s">
        <v>62</v>
      </c>
      <c r="O263" s="8" t="s">
        <v>63</v>
      </c>
      <c r="P263" s="4" t="n">
        <v>24</v>
      </c>
      <c r="Q263" s="8"/>
      <c r="R263" s="4" t="s">
        <v>1038</v>
      </c>
      <c r="S263" s="4"/>
    </row>
    <row r="264" customFormat="false" ht="15" hidden="false" customHeight="false" outlineLevel="0" collapsed="false">
      <c r="A264" s="4" t="s">
        <v>1042</v>
      </c>
      <c r="B264" s="8" t="s">
        <v>1043</v>
      </c>
      <c r="C264" s="8"/>
      <c r="D264" s="8"/>
      <c r="E264" s="8" t="s">
        <v>68</v>
      </c>
      <c r="F264" s="8" t="s">
        <v>1044</v>
      </c>
      <c r="G264" s="8" t="s">
        <v>1045</v>
      </c>
      <c r="H264" s="8"/>
      <c r="I264" s="8" t="s">
        <v>1046</v>
      </c>
      <c r="J264" s="8" t="s">
        <v>64</v>
      </c>
      <c r="K264" s="8" t="s">
        <v>778</v>
      </c>
      <c r="L264" s="8" t="s">
        <v>688</v>
      </c>
      <c r="M264" s="8"/>
      <c r="N264" s="8" t="s">
        <v>62</v>
      </c>
      <c r="O264" s="8" t="s">
        <v>63</v>
      </c>
      <c r="P264" s="4" t="n">
        <v>24</v>
      </c>
      <c r="Q264" s="8"/>
      <c r="R264" s="4" t="s">
        <v>1043</v>
      </c>
      <c r="S264" s="4"/>
    </row>
    <row r="265" customFormat="false" ht="15" hidden="false" customHeight="false" outlineLevel="0" collapsed="false">
      <c r="A265" s="4" t="s">
        <v>1047</v>
      </c>
      <c r="B265" s="8" t="s">
        <v>1048</v>
      </c>
      <c r="C265" s="8"/>
      <c r="D265" s="8"/>
      <c r="E265" s="8" t="s">
        <v>68</v>
      </c>
      <c r="F265" s="8" t="s">
        <v>1049</v>
      </c>
      <c r="G265" s="8" t="s">
        <v>1050</v>
      </c>
      <c r="H265" s="8"/>
      <c r="I265" s="8" t="s">
        <v>1051</v>
      </c>
      <c r="J265" s="8" t="s">
        <v>64</v>
      </c>
      <c r="K265" s="8" t="s">
        <v>778</v>
      </c>
      <c r="L265" s="8" t="s">
        <v>688</v>
      </c>
      <c r="M265" s="8"/>
      <c r="N265" s="8" t="s">
        <v>62</v>
      </c>
      <c r="O265" s="8" t="s">
        <v>63</v>
      </c>
      <c r="P265" s="4" t="n">
        <v>24</v>
      </c>
      <c r="Q265" s="8"/>
      <c r="R265" s="4" t="s">
        <v>1048</v>
      </c>
      <c r="S265" s="4"/>
    </row>
    <row r="266" customFormat="false" ht="15" hidden="false" customHeight="false" outlineLevel="0" collapsed="false">
      <c r="A266" s="4" t="s">
        <v>1052</v>
      </c>
      <c r="B266" s="8" t="s">
        <v>1053</v>
      </c>
      <c r="C266" s="8"/>
      <c r="D266" s="8"/>
      <c r="E266" s="8" t="s">
        <v>68</v>
      </c>
      <c r="F266" s="8" t="s">
        <v>1054</v>
      </c>
      <c r="G266" s="8" t="s">
        <v>1055</v>
      </c>
      <c r="H266" s="8"/>
      <c r="I266" s="8" t="s">
        <v>1056</v>
      </c>
      <c r="J266" s="8" t="s">
        <v>64</v>
      </c>
      <c r="K266" s="8" t="s">
        <v>778</v>
      </c>
      <c r="L266" s="8" t="s">
        <v>688</v>
      </c>
      <c r="M266" s="8"/>
      <c r="N266" s="8" t="s">
        <v>62</v>
      </c>
      <c r="O266" s="8" t="s">
        <v>63</v>
      </c>
      <c r="P266" s="4" t="n">
        <v>24</v>
      </c>
      <c r="Q266" s="8"/>
      <c r="R266" s="4" t="s">
        <v>1053</v>
      </c>
      <c r="S266" s="4" t="n">
        <v>294</v>
      </c>
    </row>
    <row r="267" customFormat="false" ht="15" hidden="false" customHeight="false" outlineLevel="0" collapsed="false">
      <c r="A267" s="4" t="s">
        <v>1057</v>
      </c>
      <c r="B267" s="8" t="s">
        <v>1058</v>
      </c>
      <c r="C267" s="8"/>
      <c r="D267" s="8"/>
      <c r="E267" s="8" t="s">
        <v>68</v>
      </c>
      <c r="F267" s="8" t="s">
        <v>1059</v>
      </c>
      <c r="G267" s="8" t="s">
        <v>1060</v>
      </c>
      <c r="H267" s="8"/>
      <c r="I267" s="8" t="s">
        <v>1061</v>
      </c>
      <c r="J267" s="8" t="s">
        <v>64</v>
      </c>
      <c r="K267" s="8" t="s">
        <v>778</v>
      </c>
      <c r="L267" s="8" t="s">
        <v>688</v>
      </c>
      <c r="M267" s="8"/>
      <c r="N267" s="8" t="s">
        <v>62</v>
      </c>
      <c r="O267" s="8" t="s">
        <v>63</v>
      </c>
      <c r="P267" s="4" t="n">
        <v>24</v>
      </c>
      <c r="Q267" s="8"/>
      <c r="R267" s="4" t="s">
        <v>1058</v>
      </c>
      <c r="S267" s="4"/>
    </row>
    <row r="268" customFormat="false" ht="15" hidden="false" customHeight="false" outlineLevel="0" collapsed="false">
      <c r="A268" s="4" t="s">
        <v>1062</v>
      </c>
      <c r="B268" s="8" t="s">
        <v>1063</v>
      </c>
      <c r="C268" s="8"/>
      <c r="D268" s="8"/>
      <c r="E268" s="8" t="s">
        <v>68</v>
      </c>
      <c r="F268" s="8" t="s">
        <v>1064</v>
      </c>
      <c r="G268" s="8" t="s">
        <v>1065</v>
      </c>
      <c r="H268" s="8"/>
      <c r="I268" s="8" t="s">
        <v>1066</v>
      </c>
      <c r="J268" s="8" t="s">
        <v>64</v>
      </c>
      <c r="K268" s="8" t="s">
        <v>778</v>
      </c>
      <c r="L268" s="8" t="s">
        <v>688</v>
      </c>
      <c r="M268" s="8"/>
      <c r="N268" s="8" t="s">
        <v>62</v>
      </c>
      <c r="O268" s="8" t="s">
        <v>63</v>
      </c>
      <c r="P268" s="4" t="n">
        <v>24</v>
      </c>
      <c r="Q268" s="8"/>
      <c r="R268" s="4" t="s">
        <v>1063</v>
      </c>
      <c r="S268" s="4"/>
    </row>
    <row r="269" customFormat="false" ht="15" hidden="false" customHeight="false" outlineLevel="0" collapsed="false">
      <c r="A269" s="4" t="s">
        <v>1067</v>
      </c>
      <c r="B269" s="8" t="s">
        <v>1068</v>
      </c>
      <c r="C269" s="8"/>
      <c r="D269" s="8"/>
      <c r="E269" s="8" t="s">
        <v>68</v>
      </c>
      <c r="F269" s="8" t="s">
        <v>1069</v>
      </c>
      <c r="G269" s="8" t="s">
        <v>1070</v>
      </c>
      <c r="H269" s="8"/>
      <c r="I269" s="8" t="s">
        <v>1071</v>
      </c>
      <c r="J269" s="8" t="s">
        <v>64</v>
      </c>
      <c r="K269" s="8" t="s">
        <v>778</v>
      </c>
      <c r="L269" s="8" t="s">
        <v>688</v>
      </c>
      <c r="M269" s="8"/>
      <c r="N269" s="8" t="s">
        <v>62</v>
      </c>
      <c r="O269" s="8" t="s">
        <v>63</v>
      </c>
      <c r="P269" s="4" t="n">
        <v>24</v>
      </c>
      <c r="Q269" s="8"/>
      <c r="R269" s="4" t="s">
        <v>1068</v>
      </c>
      <c r="S269" s="4"/>
    </row>
    <row r="270" customFormat="false" ht="15" hidden="false" customHeight="false" outlineLevel="0" collapsed="false">
      <c r="A270" s="4" t="s">
        <v>1072</v>
      </c>
      <c r="B270" s="8" t="s">
        <v>1073</v>
      </c>
      <c r="C270" s="8"/>
      <c r="D270" s="8"/>
      <c r="E270" s="8" t="s">
        <v>68</v>
      </c>
      <c r="F270" s="8" t="s">
        <v>1074</v>
      </c>
      <c r="G270" s="8" t="s">
        <v>1075</v>
      </c>
      <c r="H270" s="8"/>
      <c r="I270" s="8" t="s">
        <v>1076</v>
      </c>
      <c r="J270" s="8" t="s">
        <v>64</v>
      </c>
      <c r="K270" s="8" t="s">
        <v>778</v>
      </c>
      <c r="L270" s="8" t="s">
        <v>688</v>
      </c>
      <c r="M270" s="8"/>
      <c r="N270" s="8" t="s">
        <v>62</v>
      </c>
      <c r="O270" s="8" t="s">
        <v>63</v>
      </c>
      <c r="P270" s="4" t="n">
        <v>24</v>
      </c>
      <c r="Q270" s="8"/>
      <c r="R270" s="4" t="s">
        <v>1073</v>
      </c>
      <c r="S270" s="4" t="n">
        <v>1009</v>
      </c>
    </row>
    <row r="271" customFormat="false" ht="26.85" hidden="false" customHeight="false" outlineLevel="0" collapsed="false">
      <c r="A271" s="4" t="s">
        <v>1077</v>
      </c>
      <c r="B271" s="8" t="s">
        <v>1078</v>
      </c>
      <c r="C271" s="8"/>
      <c r="D271" s="8"/>
      <c r="E271" s="8" t="s">
        <v>68</v>
      </c>
      <c r="F271" s="8" t="s">
        <v>1079</v>
      </c>
      <c r="G271" s="8" t="s">
        <v>1080</v>
      </c>
      <c r="H271" s="8"/>
      <c r="I271" s="8" t="s">
        <v>1081</v>
      </c>
      <c r="J271" s="8" t="s">
        <v>64</v>
      </c>
      <c r="K271" s="8" t="s">
        <v>778</v>
      </c>
      <c r="L271" s="8" t="s">
        <v>688</v>
      </c>
      <c r="M271" s="8"/>
      <c r="N271" s="8" t="s">
        <v>62</v>
      </c>
      <c r="O271" s="8" t="s">
        <v>63</v>
      </c>
      <c r="P271" s="4" t="n">
        <v>24</v>
      </c>
      <c r="Q271" s="8"/>
      <c r="R271" s="4" t="s">
        <v>1078</v>
      </c>
      <c r="S271" s="4"/>
    </row>
    <row r="272" customFormat="false" ht="15" hidden="false" customHeight="false" outlineLevel="0" collapsed="false">
      <c r="A272" s="4" t="s">
        <v>1082</v>
      </c>
      <c r="B272" s="8" t="s">
        <v>1083</v>
      </c>
      <c r="C272" s="8"/>
      <c r="D272" s="8"/>
      <c r="E272" s="8" t="s">
        <v>68</v>
      </c>
      <c r="F272" s="8" t="s">
        <v>1084</v>
      </c>
      <c r="G272" s="8" t="s">
        <v>1085</v>
      </c>
      <c r="H272" s="8"/>
      <c r="I272" s="8" t="s">
        <v>1086</v>
      </c>
      <c r="J272" s="8" t="s">
        <v>64</v>
      </c>
      <c r="K272" s="8" t="s">
        <v>778</v>
      </c>
      <c r="L272" s="8" t="s">
        <v>688</v>
      </c>
      <c r="M272" s="8"/>
      <c r="N272" s="8" t="s">
        <v>62</v>
      </c>
      <c r="O272" s="8" t="s">
        <v>63</v>
      </c>
      <c r="P272" s="4" t="n">
        <v>24</v>
      </c>
      <c r="Q272" s="8"/>
      <c r="R272" s="4" t="s">
        <v>1083</v>
      </c>
      <c r="S272" s="4"/>
    </row>
    <row r="273" customFormat="false" ht="15" hidden="false" customHeight="false" outlineLevel="0" collapsed="false">
      <c r="A273" s="4" t="s">
        <v>1087</v>
      </c>
      <c r="B273" s="8" t="s">
        <v>742</v>
      </c>
      <c r="C273" s="8"/>
      <c r="D273" s="8"/>
      <c r="E273" s="8" t="s">
        <v>68</v>
      </c>
      <c r="F273" s="8" t="s">
        <v>743</v>
      </c>
      <c r="G273" s="8" t="s">
        <v>744</v>
      </c>
      <c r="H273" s="8"/>
      <c r="I273" s="8" t="s">
        <v>745</v>
      </c>
      <c r="J273" s="8" t="s">
        <v>64</v>
      </c>
      <c r="K273" s="8" t="s">
        <v>778</v>
      </c>
      <c r="L273" s="8" t="s">
        <v>688</v>
      </c>
      <c r="M273" s="8"/>
      <c r="N273" s="8" t="s">
        <v>62</v>
      </c>
      <c r="O273" s="8" t="s">
        <v>63</v>
      </c>
      <c r="P273" s="4" t="n">
        <v>24</v>
      </c>
      <c r="Q273" s="8"/>
      <c r="R273" s="4" t="s">
        <v>742</v>
      </c>
      <c r="S273" s="4"/>
    </row>
    <row r="274" customFormat="false" ht="15" hidden="false" customHeight="false" outlineLevel="0" collapsed="false">
      <c r="A274" s="4" t="s">
        <v>1088</v>
      </c>
      <c r="B274" s="8" t="s">
        <v>1089</v>
      </c>
      <c r="C274" s="8"/>
      <c r="D274" s="8"/>
      <c r="E274" s="8" t="s">
        <v>68</v>
      </c>
      <c r="F274" s="8" t="s">
        <v>1090</v>
      </c>
      <c r="G274" s="8" t="s">
        <v>1091</v>
      </c>
      <c r="H274" s="8"/>
      <c r="I274" s="8" t="s">
        <v>1092</v>
      </c>
      <c r="J274" s="8" t="s">
        <v>64</v>
      </c>
      <c r="K274" s="8" t="s">
        <v>778</v>
      </c>
      <c r="L274" s="8" t="s">
        <v>688</v>
      </c>
      <c r="M274" s="8"/>
      <c r="N274" s="8" t="s">
        <v>62</v>
      </c>
      <c r="O274" s="8" t="s">
        <v>63</v>
      </c>
      <c r="P274" s="4" t="n">
        <v>24</v>
      </c>
      <c r="Q274" s="8"/>
      <c r="R274" s="4" t="s">
        <v>1089</v>
      </c>
      <c r="S274" s="4"/>
    </row>
    <row r="275" customFormat="false" ht="15" hidden="false" customHeight="false" outlineLevel="0" collapsed="false">
      <c r="A275" s="4" t="s">
        <v>1093</v>
      </c>
      <c r="B275" s="8" t="s">
        <v>776</v>
      </c>
      <c r="C275" s="8" t="s">
        <v>58</v>
      </c>
      <c r="D275" s="8"/>
      <c r="E275" s="8" t="s">
        <v>60</v>
      </c>
      <c r="F275" s="8"/>
      <c r="G275" s="8"/>
      <c r="H275" s="8"/>
      <c r="I275" s="8" t="s">
        <v>777</v>
      </c>
      <c r="J275" s="8" t="s">
        <v>64</v>
      </c>
      <c r="K275" s="8" t="s">
        <v>1094</v>
      </c>
      <c r="L275" s="8"/>
      <c r="M275" s="8"/>
      <c r="N275" s="8" t="s">
        <v>62</v>
      </c>
      <c r="O275" s="8" t="s">
        <v>63</v>
      </c>
      <c r="P275" s="4" t="n">
        <v>24</v>
      </c>
      <c r="Q275" s="8"/>
      <c r="R275" s="4" t="s">
        <v>779</v>
      </c>
      <c r="S275" s="4"/>
    </row>
    <row r="276" customFormat="false" ht="15" hidden="false" customHeight="false" outlineLevel="0" collapsed="false">
      <c r="A276" s="4" t="s">
        <v>1095</v>
      </c>
      <c r="B276" s="8" t="s">
        <v>1096</v>
      </c>
      <c r="C276" s="8" t="s">
        <v>58</v>
      </c>
      <c r="D276" s="8"/>
      <c r="E276" s="8" t="s">
        <v>60</v>
      </c>
      <c r="F276" s="8"/>
      <c r="G276" s="8"/>
      <c r="H276" s="8"/>
      <c r="I276" s="8" t="s">
        <v>1097</v>
      </c>
      <c r="J276" s="8" t="s">
        <v>64</v>
      </c>
      <c r="K276" s="8" t="s">
        <v>1094</v>
      </c>
      <c r="L276" s="8"/>
      <c r="M276" s="8"/>
      <c r="N276" s="8" t="s">
        <v>62</v>
      </c>
      <c r="O276" s="8" t="s">
        <v>63</v>
      </c>
      <c r="P276" s="4" t="n">
        <v>24</v>
      </c>
      <c r="Q276" s="8"/>
      <c r="R276" s="4" t="s">
        <v>1098</v>
      </c>
      <c r="S276" s="4"/>
    </row>
    <row r="277" customFormat="false" ht="15" hidden="false" customHeight="false" outlineLevel="0" collapsed="false">
      <c r="A277" s="4" t="s">
        <v>1099</v>
      </c>
      <c r="B277" s="8" t="s">
        <v>787</v>
      </c>
      <c r="C277" s="8" t="s">
        <v>58</v>
      </c>
      <c r="D277" s="8"/>
      <c r="E277" s="8" t="s">
        <v>60</v>
      </c>
      <c r="F277" s="8"/>
      <c r="G277" s="8"/>
      <c r="H277" s="8"/>
      <c r="I277" s="8" t="s">
        <v>788</v>
      </c>
      <c r="J277" s="8" t="s">
        <v>64</v>
      </c>
      <c r="K277" s="8" t="s">
        <v>1094</v>
      </c>
      <c r="L277" s="8"/>
      <c r="M277" s="8"/>
      <c r="N277" s="8" t="s">
        <v>62</v>
      </c>
      <c r="O277" s="8" t="s">
        <v>63</v>
      </c>
      <c r="P277" s="4" t="n">
        <v>24</v>
      </c>
      <c r="Q277" s="8"/>
      <c r="R277" s="4" t="s">
        <v>789</v>
      </c>
      <c r="S277" s="4"/>
    </row>
    <row r="278" customFormat="false" ht="15" hidden="false" customHeight="false" outlineLevel="0" collapsed="false">
      <c r="A278" s="4" t="s">
        <v>1100</v>
      </c>
      <c r="B278" s="8" t="s">
        <v>791</v>
      </c>
      <c r="C278" s="8" t="s">
        <v>58</v>
      </c>
      <c r="D278" s="8"/>
      <c r="E278" s="8" t="s">
        <v>60</v>
      </c>
      <c r="F278" s="8"/>
      <c r="G278" s="8"/>
      <c r="H278" s="8"/>
      <c r="I278" s="8" t="s">
        <v>792</v>
      </c>
      <c r="J278" s="8" t="s">
        <v>64</v>
      </c>
      <c r="K278" s="8" t="s">
        <v>1094</v>
      </c>
      <c r="L278" s="8"/>
      <c r="M278" s="8"/>
      <c r="N278" s="8" t="s">
        <v>62</v>
      </c>
      <c r="O278" s="8" t="s">
        <v>63</v>
      </c>
      <c r="P278" s="4" t="n">
        <v>24</v>
      </c>
      <c r="Q278" s="8"/>
      <c r="R278" s="4" t="s">
        <v>793</v>
      </c>
      <c r="S278" s="4"/>
    </row>
    <row r="279" customFormat="false" ht="15" hidden="false" customHeight="false" outlineLevel="0" collapsed="false">
      <c r="A279" s="4" t="s">
        <v>1101</v>
      </c>
      <c r="B279" s="8" t="s">
        <v>795</v>
      </c>
      <c r="C279" s="8" t="s">
        <v>58</v>
      </c>
      <c r="D279" s="8"/>
      <c r="E279" s="8" t="s">
        <v>60</v>
      </c>
      <c r="F279" s="8"/>
      <c r="G279" s="8"/>
      <c r="H279" s="8"/>
      <c r="I279" s="8" t="s">
        <v>796</v>
      </c>
      <c r="J279" s="8" t="s">
        <v>64</v>
      </c>
      <c r="K279" s="8" t="s">
        <v>1094</v>
      </c>
      <c r="L279" s="8"/>
      <c r="M279" s="8"/>
      <c r="N279" s="8" t="s">
        <v>62</v>
      </c>
      <c r="O279" s="8" t="s">
        <v>63</v>
      </c>
      <c r="P279" s="4" t="n">
        <v>24</v>
      </c>
      <c r="Q279" s="8"/>
      <c r="R279" s="4" t="s">
        <v>1102</v>
      </c>
      <c r="S279" s="4"/>
    </row>
    <row r="280" customFormat="false" ht="15" hidden="false" customHeight="false" outlineLevel="0" collapsed="false">
      <c r="A280" s="4" t="s">
        <v>1103</v>
      </c>
      <c r="B280" s="8" t="s">
        <v>799</v>
      </c>
      <c r="C280" s="8" t="s">
        <v>58</v>
      </c>
      <c r="D280" s="8"/>
      <c r="E280" s="8" t="s">
        <v>60</v>
      </c>
      <c r="F280" s="8"/>
      <c r="G280" s="8"/>
      <c r="H280" s="8"/>
      <c r="I280" s="8" t="s">
        <v>800</v>
      </c>
      <c r="J280" s="8" t="s">
        <v>64</v>
      </c>
      <c r="K280" s="8" t="s">
        <v>1094</v>
      </c>
      <c r="L280" s="8"/>
      <c r="M280" s="8"/>
      <c r="N280" s="8" t="s">
        <v>62</v>
      </c>
      <c r="O280" s="8" t="s">
        <v>63</v>
      </c>
      <c r="P280" s="4" t="n">
        <v>24</v>
      </c>
      <c r="Q280" s="8"/>
      <c r="R280" s="4" t="s">
        <v>801</v>
      </c>
      <c r="S280" s="4"/>
    </row>
    <row r="281" customFormat="false" ht="15" hidden="false" customHeight="false" outlineLevel="0" collapsed="false">
      <c r="A281" s="4" t="s">
        <v>1104</v>
      </c>
      <c r="B281" s="8" t="s">
        <v>803</v>
      </c>
      <c r="C281" s="8" t="s">
        <v>58</v>
      </c>
      <c r="D281" s="8"/>
      <c r="E281" s="8" t="s">
        <v>60</v>
      </c>
      <c r="F281" s="8"/>
      <c r="G281" s="8"/>
      <c r="H281" s="8"/>
      <c r="I281" s="8" t="s">
        <v>804</v>
      </c>
      <c r="J281" s="8" t="s">
        <v>64</v>
      </c>
      <c r="K281" s="8" t="s">
        <v>1094</v>
      </c>
      <c r="L281" s="8"/>
      <c r="M281" s="8"/>
      <c r="N281" s="8" t="s">
        <v>62</v>
      </c>
      <c r="O281" s="8" t="s">
        <v>63</v>
      </c>
      <c r="P281" s="4" t="n">
        <v>24</v>
      </c>
      <c r="Q281" s="8"/>
      <c r="R281" s="4" t="s">
        <v>805</v>
      </c>
      <c r="S281" s="4"/>
    </row>
    <row r="282" customFormat="false" ht="15" hidden="false" customHeight="false" outlineLevel="0" collapsed="false">
      <c r="A282" s="4" t="s">
        <v>1105</v>
      </c>
      <c r="B282" s="8" t="s">
        <v>807</v>
      </c>
      <c r="C282" s="8" t="s">
        <v>58</v>
      </c>
      <c r="D282" s="8"/>
      <c r="E282" s="8" t="s">
        <v>60</v>
      </c>
      <c r="F282" s="8"/>
      <c r="G282" s="8"/>
      <c r="H282" s="8"/>
      <c r="I282" s="8" t="s">
        <v>808</v>
      </c>
      <c r="J282" s="8" t="s">
        <v>64</v>
      </c>
      <c r="K282" s="8" t="s">
        <v>1094</v>
      </c>
      <c r="L282" s="8"/>
      <c r="M282" s="8"/>
      <c r="N282" s="8" t="s">
        <v>62</v>
      </c>
      <c r="O282" s="8" t="s">
        <v>63</v>
      </c>
      <c r="P282" s="4" t="n">
        <v>24</v>
      </c>
      <c r="Q282" s="8"/>
      <c r="R282" s="4" t="s">
        <v>809</v>
      </c>
      <c r="S282" s="4"/>
    </row>
    <row r="283" customFormat="false" ht="15" hidden="false" customHeight="false" outlineLevel="0" collapsed="false">
      <c r="A283" s="4" t="s">
        <v>1106</v>
      </c>
      <c r="B283" s="8" t="s">
        <v>811</v>
      </c>
      <c r="C283" s="8" t="s">
        <v>58</v>
      </c>
      <c r="D283" s="8"/>
      <c r="E283" s="8" t="s">
        <v>60</v>
      </c>
      <c r="F283" s="8"/>
      <c r="G283" s="8"/>
      <c r="H283" s="8"/>
      <c r="I283" s="8" t="s">
        <v>812</v>
      </c>
      <c r="J283" s="8" t="s">
        <v>64</v>
      </c>
      <c r="K283" s="8" t="s">
        <v>1094</v>
      </c>
      <c r="L283" s="8"/>
      <c r="M283" s="8"/>
      <c r="N283" s="8" t="s">
        <v>62</v>
      </c>
      <c r="O283" s="8" t="s">
        <v>63</v>
      </c>
      <c r="P283" s="4" t="n">
        <v>24</v>
      </c>
      <c r="Q283" s="8"/>
      <c r="R283" s="4" t="s">
        <v>813</v>
      </c>
      <c r="S283" s="4"/>
    </row>
    <row r="284" customFormat="false" ht="15" hidden="false" customHeight="false" outlineLevel="0" collapsed="false">
      <c r="A284" s="4" t="s">
        <v>1107</v>
      </c>
      <c r="B284" s="8" t="s">
        <v>815</v>
      </c>
      <c r="C284" s="8" t="s">
        <v>58</v>
      </c>
      <c r="D284" s="8"/>
      <c r="E284" s="8" t="s">
        <v>60</v>
      </c>
      <c r="F284" s="8"/>
      <c r="G284" s="8"/>
      <c r="H284" s="8"/>
      <c r="I284" s="8" t="s">
        <v>816</v>
      </c>
      <c r="J284" s="8" t="s">
        <v>64</v>
      </c>
      <c r="K284" s="8" t="s">
        <v>1094</v>
      </c>
      <c r="L284" s="8"/>
      <c r="M284" s="8"/>
      <c r="N284" s="8" t="s">
        <v>62</v>
      </c>
      <c r="O284" s="8" t="s">
        <v>63</v>
      </c>
      <c r="P284" s="4" t="n">
        <v>24</v>
      </c>
      <c r="Q284" s="8"/>
      <c r="R284" s="4" t="s">
        <v>817</v>
      </c>
      <c r="S284" s="4"/>
    </row>
    <row r="285" customFormat="false" ht="15" hidden="false" customHeight="false" outlineLevel="0" collapsed="false">
      <c r="A285" s="4" t="s">
        <v>1108</v>
      </c>
      <c r="B285" s="8" t="s">
        <v>819</v>
      </c>
      <c r="C285" s="8" t="s">
        <v>58</v>
      </c>
      <c r="D285" s="8"/>
      <c r="E285" s="8" t="s">
        <v>60</v>
      </c>
      <c r="F285" s="8"/>
      <c r="G285" s="8"/>
      <c r="H285" s="8"/>
      <c r="I285" s="8" t="s">
        <v>820</v>
      </c>
      <c r="J285" s="8" t="s">
        <v>64</v>
      </c>
      <c r="K285" s="8" t="s">
        <v>1094</v>
      </c>
      <c r="L285" s="8"/>
      <c r="M285" s="8"/>
      <c r="N285" s="8" t="s">
        <v>62</v>
      </c>
      <c r="O285" s="8" t="s">
        <v>63</v>
      </c>
      <c r="P285" s="4" t="n">
        <v>24</v>
      </c>
      <c r="Q285" s="8"/>
      <c r="R285" s="4" t="s">
        <v>821</v>
      </c>
      <c r="S285" s="4"/>
    </row>
    <row r="286" customFormat="false" ht="15" hidden="false" customHeight="false" outlineLevel="0" collapsed="false">
      <c r="A286" s="4" t="s">
        <v>1109</v>
      </c>
      <c r="B286" s="8" t="s">
        <v>1110</v>
      </c>
      <c r="C286" s="8"/>
      <c r="D286" s="8"/>
      <c r="E286" s="8"/>
      <c r="F286" s="8"/>
      <c r="G286" s="8"/>
      <c r="H286" s="8"/>
      <c r="I286" s="8" t="s">
        <v>1111</v>
      </c>
      <c r="J286" s="8" t="s">
        <v>64</v>
      </c>
      <c r="K286" s="8" t="s">
        <v>1094</v>
      </c>
      <c r="L286" s="8"/>
      <c r="M286" s="8"/>
      <c r="N286" s="8" t="s">
        <v>62</v>
      </c>
      <c r="O286" s="8" t="s">
        <v>63</v>
      </c>
      <c r="P286" s="4" t="n">
        <v>24</v>
      </c>
      <c r="Q286" s="8"/>
      <c r="R286" s="4" t="s">
        <v>1110</v>
      </c>
      <c r="S286" s="4"/>
    </row>
    <row r="287" customFormat="false" ht="15" hidden="false" customHeight="false" outlineLevel="0" collapsed="false">
      <c r="A287" s="4" t="s">
        <v>1112</v>
      </c>
      <c r="B287" s="8" t="s">
        <v>827</v>
      </c>
      <c r="C287" s="8" t="s">
        <v>58</v>
      </c>
      <c r="D287" s="8"/>
      <c r="E287" s="8" t="s">
        <v>60</v>
      </c>
      <c r="F287" s="8"/>
      <c r="G287" s="8"/>
      <c r="H287" s="8"/>
      <c r="I287" s="8" t="s">
        <v>828</v>
      </c>
      <c r="J287" s="8" t="s">
        <v>64</v>
      </c>
      <c r="K287" s="8" t="s">
        <v>1094</v>
      </c>
      <c r="L287" s="8"/>
      <c r="M287" s="8"/>
      <c r="N287" s="8" t="s">
        <v>62</v>
      </c>
      <c r="O287" s="8" t="s">
        <v>63</v>
      </c>
      <c r="P287" s="4" t="n">
        <v>24</v>
      </c>
      <c r="Q287" s="8"/>
      <c r="R287" s="4" t="s">
        <v>829</v>
      </c>
      <c r="S287" s="4"/>
    </row>
    <row r="288" customFormat="false" ht="15" hidden="false" customHeight="false" outlineLevel="0" collapsed="false">
      <c r="A288" s="4" t="s">
        <v>1113</v>
      </c>
      <c r="B288" s="8" t="s">
        <v>835</v>
      </c>
      <c r="C288" s="8"/>
      <c r="D288" s="8"/>
      <c r="E288" s="8"/>
      <c r="F288" s="8"/>
      <c r="G288" s="8"/>
      <c r="H288" s="8"/>
      <c r="I288" s="8" t="s">
        <v>1114</v>
      </c>
      <c r="J288" s="8" t="s">
        <v>64</v>
      </c>
      <c r="K288" s="8" t="s">
        <v>1094</v>
      </c>
      <c r="L288" s="8"/>
      <c r="M288" s="8"/>
      <c r="N288" s="8" t="s">
        <v>62</v>
      </c>
      <c r="O288" s="8" t="s">
        <v>63</v>
      </c>
      <c r="P288" s="4" t="n">
        <v>24</v>
      </c>
      <c r="Q288" s="8"/>
      <c r="R288" s="4" t="s">
        <v>835</v>
      </c>
      <c r="S288" s="4"/>
    </row>
    <row r="289" customFormat="false" ht="15" hidden="false" customHeight="false" outlineLevel="0" collapsed="false">
      <c r="A289" s="4" t="s">
        <v>1115</v>
      </c>
      <c r="B289" s="8" t="s">
        <v>838</v>
      </c>
      <c r="C289" s="8"/>
      <c r="D289" s="8"/>
      <c r="E289" s="8"/>
      <c r="F289" s="8"/>
      <c r="G289" s="8"/>
      <c r="H289" s="8"/>
      <c r="I289" s="8" t="s">
        <v>839</v>
      </c>
      <c r="J289" s="8" t="s">
        <v>64</v>
      </c>
      <c r="K289" s="8" t="s">
        <v>1094</v>
      </c>
      <c r="L289" s="8"/>
      <c r="M289" s="8"/>
      <c r="N289" s="8" t="s">
        <v>62</v>
      </c>
      <c r="O289" s="8" t="s">
        <v>63</v>
      </c>
      <c r="P289" s="4" t="n">
        <v>24</v>
      </c>
      <c r="Q289" s="8"/>
      <c r="R289" s="4" t="s">
        <v>838</v>
      </c>
      <c r="S289" s="4"/>
    </row>
    <row r="290" customFormat="false" ht="15" hidden="false" customHeight="false" outlineLevel="0" collapsed="false">
      <c r="A290" s="4" t="s">
        <v>1116</v>
      </c>
      <c r="B290" s="8" t="s">
        <v>841</v>
      </c>
      <c r="C290" s="8" t="s">
        <v>58</v>
      </c>
      <c r="D290" s="8"/>
      <c r="E290" s="8" t="s">
        <v>60</v>
      </c>
      <c r="F290" s="8"/>
      <c r="G290" s="8"/>
      <c r="H290" s="8"/>
      <c r="I290" s="8" t="s">
        <v>842</v>
      </c>
      <c r="J290" s="8" t="s">
        <v>64</v>
      </c>
      <c r="K290" s="8" t="s">
        <v>1094</v>
      </c>
      <c r="L290" s="8"/>
      <c r="M290" s="8"/>
      <c r="N290" s="8" t="s">
        <v>62</v>
      </c>
      <c r="O290" s="8" t="s">
        <v>63</v>
      </c>
      <c r="P290" s="4" t="n">
        <v>24</v>
      </c>
      <c r="Q290" s="8"/>
      <c r="R290" s="4" t="s">
        <v>843</v>
      </c>
      <c r="S290" s="4"/>
    </row>
    <row r="291" customFormat="false" ht="15" hidden="false" customHeight="false" outlineLevel="0" collapsed="false">
      <c r="A291" s="4" t="s">
        <v>1117</v>
      </c>
      <c r="B291" s="8" t="s">
        <v>852</v>
      </c>
      <c r="C291" s="8" t="s">
        <v>58</v>
      </c>
      <c r="D291" s="8"/>
      <c r="E291" s="8" t="s">
        <v>60</v>
      </c>
      <c r="F291" s="8"/>
      <c r="G291" s="8"/>
      <c r="H291" s="8"/>
      <c r="I291" s="8" t="s">
        <v>853</v>
      </c>
      <c r="J291" s="8" t="s">
        <v>64</v>
      </c>
      <c r="K291" s="8" t="s">
        <v>1094</v>
      </c>
      <c r="L291" s="8"/>
      <c r="M291" s="8"/>
      <c r="N291" s="8" t="s">
        <v>62</v>
      </c>
      <c r="O291" s="8" t="s">
        <v>63</v>
      </c>
      <c r="P291" s="4" t="n">
        <v>24</v>
      </c>
      <c r="Q291" s="8"/>
      <c r="R291" s="4" t="s">
        <v>854</v>
      </c>
      <c r="S291" s="4"/>
    </row>
    <row r="292" customFormat="false" ht="15" hidden="false" customHeight="false" outlineLevel="0" collapsed="false">
      <c r="A292" s="4" t="s">
        <v>1118</v>
      </c>
      <c r="B292" s="8" t="s">
        <v>856</v>
      </c>
      <c r="C292" s="8" t="s">
        <v>58</v>
      </c>
      <c r="D292" s="8"/>
      <c r="E292" s="8" t="s">
        <v>60</v>
      </c>
      <c r="F292" s="8"/>
      <c r="G292" s="8"/>
      <c r="H292" s="8"/>
      <c r="I292" s="8" t="s">
        <v>1119</v>
      </c>
      <c r="J292" s="8" t="s">
        <v>64</v>
      </c>
      <c r="K292" s="8" t="s">
        <v>1094</v>
      </c>
      <c r="L292" s="8"/>
      <c r="M292" s="8"/>
      <c r="N292" s="8" t="s">
        <v>62</v>
      </c>
      <c r="O292" s="8" t="s">
        <v>63</v>
      </c>
      <c r="P292" s="4" t="n">
        <v>24</v>
      </c>
      <c r="Q292" s="8"/>
      <c r="R292" s="4" t="s">
        <v>858</v>
      </c>
      <c r="S292" s="4"/>
    </row>
    <row r="293" customFormat="false" ht="26.85" hidden="false" customHeight="false" outlineLevel="0" collapsed="false">
      <c r="A293" s="4" t="s">
        <v>1120</v>
      </c>
      <c r="B293" s="8" t="s">
        <v>848</v>
      </c>
      <c r="C293" s="8" t="s">
        <v>58</v>
      </c>
      <c r="D293" s="8"/>
      <c r="E293" s="8" t="s">
        <v>60</v>
      </c>
      <c r="F293" s="8"/>
      <c r="G293" s="8"/>
      <c r="H293" s="8"/>
      <c r="I293" s="8" t="s">
        <v>849</v>
      </c>
      <c r="J293" s="8" t="s">
        <v>64</v>
      </c>
      <c r="K293" s="8" t="s">
        <v>1094</v>
      </c>
      <c r="L293" s="8"/>
      <c r="M293" s="8"/>
      <c r="N293" s="8" t="s">
        <v>62</v>
      </c>
      <c r="O293" s="8" t="s">
        <v>63</v>
      </c>
      <c r="P293" s="4" t="n">
        <v>24</v>
      </c>
      <c r="Q293" s="8"/>
      <c r="R293" s="4" t="s">
        <v>850</v>
      </c>
      <c r="S293" s="4"/>
    </row>
    <row r="294" customFormat="false" ht="15" hidden="false" customHeight="false" outlineLevel="0" collapsed="false">
      <c r="A294" s="4" t="s">
        <v>1121</v>
      </c>
      <c r="B294" s="8" t="s">
        <v>860</v>
      </c>
      <c r="C294" s="8" t="s">
        <v>58</v>
      </c>
      <c r="D294" s="8"/>
      <c r="E294" s="8" t="s">
        <v>60</v>
      </c>
      <c r="F294" s="8"/>
      <c r="G294" s="8"/>
      <c r="H294" s="8"/>
      <c r="I294" s="8" t="s">
        <v>861</v>
      </c>
      <c r="J294" s="8" t="s">
        <v>64</v>
      </c>
      <c r="K294" s="8" t="s">
        <v>1094</v>
      </c>
      <c r="L294" s="8"/>
      <c r="M294" s="8"/>
      <c r="N294" s="8" t="s">
        <v>62</v>
      </c>
      <c r="O294" s="8" t="s">
        <v>63</v>
      </c>
      <c r="P294" s="4" t="n">
        <v>24</v>
      </c>
      <c r="Q294" s="8"/>
      <c r="R294" s="4" t="s">
        <v>862</v>
      </c>
      <c r="S294" s="4"/>
    </row>
    <row r="295" customFormat="false" ht="15" hidden="false" customHeight="false" outlineLevel="0" collapsed="false">
      <c r="A295" s="4" t="s">
        <v>1122</v>
      </c>
      <c r="B295" s="8" t="s">
        <v>864</v>
      </c>
      <c r="C295" s="8" t="s">
        <v>58</v>
      </c>
      <c r="D295" s="8"/>
      <c r="E295" s="8" t="s">
        <v>60</v>
      </c>
      <c r="F295" s="8"/>
      <c r="G295" s="8"/>
      <c r="H295" s="8"/>
      <c r="I295" s="8" t="s">
        <v>865</v>
      </c>
      <c r="J295" s="8" t="s">
        <v>64</v>
      </c>
      <c r="K295" s="8" t="s">
        <v>1094</v>
      </c>
      <c r="L295" s="8"/>
      <c r="M295" s="8"/>
      <c r="N295" s="8" t="s">
        <v>62</v>
      </c>
      <c r="O295" s="8" t="s">
        <v>63</v>
      </c>
      <c r="P295" s="4" t="n">
        <v>24</v>
      </c>
      <c r="Q295" s="8"/>
      <c r="R295" s="4" t="s">
        <v>866</v>
      </c>
      <c r="S295" s="4"/>
    </row>
    <row r="296" customFormat="false" ht="15" hidden="false" customHeight="false" outlineLevel="0" collapsed="false">
      <c r="A296" s="4" t="s">
        <v>1123</v>
      </c>
      <c r="B296" s="8" t="s">
        <v>868</v>
      </c>
      <c r="C296" s="8" t="s">
        <v>58</v>
      </c>
      <c r="D296" s="8"/>
      <c r="E296" s="8" t="s">
        <v>60</v>
      </c>
      <c r="F296" s="8"/>
      <c r="G296" s="8"/>
      <c r="H296" s="8"/>
      <c r="I296" s="8" t="s">
        <v>869</v>
      </c>
      <c r="J296" s="8" t="s">
        <v>64</v>
      </c>
      <c r="K296" s="8" t="s">
        <v>1094</v>
      </c>
      <c r="L296" s="8"/>
      <c r="M296" s="8"/>
      <c r="N296" s="8" t="s">
        <v>62</v>
      </c>
      <c r="O296" s="8" t="s">
        <v>63</v>
      </c>
      <c r="P296" s="4" t="n">
        <v>24</v>
      </c>
      <c r="Q296" s="8"/>
      <c r="R296" s="4" t="s">
        <v>870</v>
      </c>
      <c r="S296" s="4"/>
    </row>
    <row r="297" customFormat="false" ht="15" hidden="false" customHeight="false" outlineLevel="0" collapsed="false">
      <c r="A297" s="4" t="s">
        <v>1124</v>
      </c>
      <c r="B297" s="8" t="s">
        <v>872</v>
      </c>
      <c r="C297" s="8" t="s">
        <v>58</v>
      </c>
      <c r="D297" s="8"/>
      <c r="E297" s="8" t="s">
        <v>60</v>
      </c>
      <c r="F297" s="8"/>
      <c r="G297" s="8"/>
      <c r="H297" s="8"/>
      <c r="I297" s="8" t="s">
        <v>873</v>
      </c>
      <c r="J297" s="8" t="s">
        <v>64</v>
      </c>
      <c r="K297" s="8" t="s">
        <v>1094</v>
      </c>
      <c r="L297" s="8"/>
      <c r="M297" s="8"/>
      <c r="N297" s="8" t="s">
        <v>62</v>
      </c>
      <c r="O297" s="8" t="s">
        <v>63</v>
      </c>
      <c r="P297" s="4" t="n">
        <v>25</v>
      </c>
      <c r="Q297" s="8"/>
      <c r="R297" s="4" t="s">
        <v>874</v>
      </c>
      <c r="S297" s="4" t="n">
        <v>1882</v>
      </c>
    </row>
    <row r="298" customFormat="false" ht="15" hidden="false" customHeight="false" outlineLevel="0" collapsed="false">
      <c r="A298" s="4" t="s">
        <v>1125</v>
      </c>
      <c r="B298" s="8" t="s">
        <v>876</v>
      </c>
      <c r="C298" s="8"/>
      <c r="D298" s="8"/>
      <c r="E298" s="8"/>
      <c r="F298" s="8"/>
      <c r="G298" s="8"/>
      <c r="H298" s="8"/>
      <c r="I298" s="8" t="s">
        <v>877</v>
      </c>
      <c r="J298" s="8" t="s">
        <v>64</v>
      </c>
      <c r="K298" s="8" t="s">
        <v>1094</v>
      </c>
      <c r="L298" s="8"/>
      <c r="M298" s="8"/>
      <c r="N298" s="8" t="s">
        <v>62</v>
      </c>
      <c r="O298" s="8" t="s">
        <v>63</v>
      </c>
      <c r="P298" s="4" t="n">
        <v>25</v>
      </c>
      <c r="Q298" s="8"/>
      <c r="R298" s="4" t="s">
        <v>876</v>
      </c>
      <c r="S298" s="4"/>
    </row>
    <row r="299" customFormat="false" ht="15" hidden="false" customHeight="false" outlineLevel="0" collapsed="false">
      <c r="A299" s="4" t="s">
        <v>1126</v>
      </c>
      <c r="B299" s="8" t="s">
        <v>883</v>
      </c>
      <c r="C299" s="8" t="s">
        <v>58</v>
      </c>
      <c r="D299" s="8"/>
      <c r="E299" s="8" t="s">
        <v>60</v>
      </c>
      <c r="F299" s="8"/>
      <c r="G299" s="8"/>
      <c r="H299" s="8"/>
      <c r="I299" s="8" t="s">
        <v>884</v>
      </c>
      <c r="J299" s="8" t="s">
        <v>64</v>
      </c>
      <c r="K299" s="8" t="s">
        <v>1094</v>
      </c>
      <c r="L299" s="8"/>
      <c r="M299" s="8"/>
      <c r="N299" s="8" t="s">
        <v>62</v>
      </c>
      <c r="O299" s="8" t="s">
        <v>63</v>
      </c>
      <c r="P299" s="4" t="n">
        <v>25</v>
      </c>
      <c r="Q299" s="8"/>
      <c r="R299" s="4" t="s">
        <v>885</v>
      </c>
      <c r="S299" s="4"/>
    </row>
    <row r="300" customFormat="false" ht="15" hidden="false" customHeight="false" outlineLevel="0" collapsed="false">
      <c r="A300" s="4" t="s">
        <v>1127</v>
      </c>
      <c r="B300" s="8" t="s">
        <v>890</v>
      </c>
      <c r="C300" s="8" t="s">
        <v>58</v>
      </c>
      <c r="D300" s="8"/>
      <c r="E300" s="8" t="s">
        <v>60</v>
      </c>
      <c r="F300" s="8"/>
      <c r="G300" s="8"/>
      <c r="H300" s="8"/>
      <c r="I300" s="8" t="s">
        <v>1128</v>
      </c>
      <c r="J300" s="8" t="s">
        <v>64</v>
      </c>
      <c r="K300" s="8" t="s">
        <v>1094</v>
      </c>
      <c r="L300" s="8"/>
      <c r="M300" s="8"/>
      <c r="N300" s="8" t="s">
        <v>62</v>
      </c>
      <c r="O300" s="8" t="s">
        <v>63</v>
      </c>
      <c r="P300" s="4" t="n">
        <v>25</v>
      </c>
      <c r="Q300" s="8"/>
      <c r="R300" s="4" t="s">
        <v>892</v>
      </c>
      <c r="S300" s="4"/>
    </row>
    <row r="301" customFormat="false" ht="15" hidden="false" customHeight="false" outlineLevel="0" collapsed="false">
      <c r="A301" s="4" t="s">
        <v>1129</v>
      </c>
      <c r="B301" s="8" t="s">
        <v>894</v>
      </c>
      <c r="C301" s="8" t="s">
        <v>58</v>
      </c>
      <c r="D301" s="8"/>
      <c r="E301" s="8" t="s">
        <v>60</v>
      </c>
      <c r="F301" s="8"/>
      <c r="G301" s="8"/>
      <c r="H301" s="8"/>
      <c r="I301" s="8" t="s">
        <v>895</v>
      </c>
      <c r="J301" s="8" t="s">
        <v>64</v>
      </c>
      <c r="K301" s="8" t="s">
        <v>1094</v>
      </c>
      <c r="L301" s="8"/>
      <c r="M301" s="8"/>
      <c r="N301" s="8" t="s">
        <v>62</v>
      </c>
      <c r="O301" s="8" t="s">
        <v>63</v>
      </c>
      <c r="P301" s="4" t="n">
        <v>25</v>
      </c>
      <c r="Q301" s="8"/>
      <c r="R301" s="4" t="s">
        <v>896</v>
      </c>
      <c r="S301" s="4"/>
    </row>
    <row r="302" customFormat="false" ht="15" hidden="false" customHeight="false" outlineLevel="0" collapsed="false">
      <c r="A302" s="4" t="s">
        <v>1130</v>
      </c>
      <c r="B302" s="8" t="s">
        <v>898</v>
      </c>
      <c r="C302" s="8" t="s">
        <v>66</v>
      </c>
      <c r="D302" s="8"/>
      <c r="E302" s="8" t="s">
        <v>60</v>
      </c>
      <c r="F302" s="8"/>
      <c r="G302" s="8"/>
      <c r="H302" s="8"/>
      <c r="I302" s="8" t="s">
        <v>899</v>
      </c>
      <c r="J302" s="8" t="s">
        <v>64</v>
      </c>
      <c r="K302" s="8" t="s">
        <v>1094</v>
      </c>
      <c r="L302" s="8"/>
      <c r="M302" s="8"/>
      <c r="N302" s="8" t="s">
        <v>62</v>
      </c>
      <c r="O302" s="8" t="s">
        <v>63</v>
      </c>
      <c r="P302" s="4" t="n">
        <v>25</v>
      </c>
      <c r="Q302" s="8"/>
      <c r="R302" s="4" t="s">
        <v>1131</v>
      </c>
      <c r="S302" s="4"/>
    </row>
    <row r="303" customFormat="false" ht="15" hidden="false" customHeight="false" outlineLevel="0" collapsed="false">
      <c r="A303" s="4" t="s">
        <v>1132</v>
      </c>
      <c r="B303" s="8" t="s">
        <v>902</v>
      </c>
      <c r="C303" s="8" t="s">
        <v>58</v>
      </c>
      <c r="D303" s="8"/>
      <c r="E303" s="8" t="s">
        <v>60</v>
      </c>
      <c r="F303" s="8"/>
      <c r="G303" s="8"/>
      <c r="H303" s="8"/>
      <c r="I303" s="8" t="s">
        <v>903</v>
      </c>
      <c r="J303" s="8" t="s">
        <v>64</v>
      </c>
      <c r="K303" s="8" t="s">
        <v>1094</v>
      </c>
      <c r="L303" s="8"/>
      <c r="M303" s="8"/>
      <c r="N303" s="8" t="s">
        <v>62</v>
      </c>
      <c r="O303" s="8" t="s">
        <v>63</v>
      </c>
      <c r="P303" s="4" t="n">
        <v>25</v>
      </c>
      <c r="Q303" s="8"/>
      <c r="R303" s="4" t="s">
        <v>904</v>
      </c>
      <c r="S303" s="4"/>
    </row>
    <row r="304" customFormat="false" ht="15" hidden="false" customHeight="false" outlineLevel="0" collapsed="false">
      <c r="A304" s="4" t="s">
        <v>1133</v>
      </c>
      <c r="B304" s="8" t="s">
        <v>906</v>
      </c>
      <c r="C304" s="8"/>
      <c r="D304" s="8"/>
      <c r="E304" s="8"/>
      <c r="F304" s="8"/>
      <c r="G304" s="8"/>
      <c r="H304" s="8"/>
      <c r="I304" s="8" t="s">
        <v>907</v>
      </c>
      <c r="J304" s="8" t="s">
        <v>64</v>
      </c>
      <c r="K304" s="8" t="s">
        <v>1094</v>
      </c>
      <c r="L304" s="8"/>
      <c r="M304" s="8"/>
      <c r="N304" s="8" t="s">
        <v>62</v>
      </c>
      <c r="O304" s="8" t="s">
        <v>63</v>
      </c>
      <c r="P304" s="4" t="n">
        <v>25</v>
      </c>
      <c r="Q304" s="8"/>
      <c r="R304" s="4" t="s">
        <v>906</v>
      </c>
      <c r="S304" s="4" t="n">
        <v>1597</v>
      </c>
    </row>
    <row r="305" customFormat="false" ht="15" hidden="false" customHeight="false" outlineLevel="0" collapsed="false">
      <c r="A305" s="4" t="s">
        <v>1134</v>
      </c>
      <c r="B305" s="8" t="s">
        <v>917</v>
      </c>
      <c r="C305" s="8" t="s">
        <v>58</v>
      </c>
      <c r="D305" s="8"/>
      <c r="E305" s="8" t="s">
        <v>60</v>
      </c>
      <c r="F305" s="8"/>
      <c r="G305" s="8"/>
      <c r="H305" s="8"/>
      <c r="I305" s="8" t="s">
        <v>918</v>
      </c>
      <c r="J305" s="8" t="s">
        <v>64</v>
      </c>
      <c r="K305" s="8" t="s">
        <v>1094</v>
      </c>
      <c r="L305" s="8"/>
      <c r="M305" s="8"/>
      <c r="N305" s="8" t="s">
        <v>62</v>
      </c>
      <c r="O305" s="8" t="s">
        <v>63</v>
      </c>
      <c r="P305" s="4" t="n">
        <v>25</v>
      </c>
      <c r="Q305" s="8"/>
      <c r="R305" s="4" t="s">
        <v>919</v>
      </c>
      <c r="S305" s="4"/>
    </row>
    <row r="306" customFormat="false" ht="15" hidden="false" customHeight="false" outlineLevel="0" collapsed="false">
      <c r="A306" s="4" t="s">
        <v>1135</v>
      </c>
      <c r="B306" s="8" t="s">
        <v>921</v>
      </c>
      <c r="C306" s="8" t="s">
        <v>58</v>
      </c>
      <c r="D306" s="8"/>
      <c r="E306" s="8" t="s">
        <v>60</v>
      </c>
      <c r="F306" s="8"/>
      <c r="G306" s="8"/>
      <c r="H306" s="8"/>
      <c r="I306" s="8" t="s">
        <v>922</v>
      </c>
      <c r="J306" s="8" t="s">
        <v>64</v>
      </c>
      <c r="K306" s="8" t="s">
        <v>1094</v>
      </c>
      <c r="L306" s="8"/>
      <c r="M306" s="8"/>
      <c r="N306" s="8" t="s">
        <v>62</v>
      </c>
      <c r="O306" s="8" t="s">
        <v>63</v>
      </c>
      <c r="P306" s="4" t="n">
        <v>25</v>
      </c>
      <c r="Q306" s="8"/>
      <c r="R306" s="4" t="s">
        <v>923</v>
      </c>
      <c r="S306" s="4"/>
    </row>
    <row r="307" customFormat="false" ht="15" hidden="false" customHeight="false" outlineLevel="0" collapsed="false">
      <c r="A307" s="4" t="s">
        <v>1136</v>
      </c>
      <c r="B307" s="8" t="s">
        <v>929</v>
      </c>
      <c r="C307" s="8" t="s">
        <v>58</v>
      </c>
      <c r="D307" s="8"/>
      <c r="E307" s="8" t="s">
        <v>60</v>
      </c>
      <c r="F307" s="8"/>
      <c r="G307" s="8"/>
      <c r="H307" s="8"/>
      <c r="I307" s="8" t="s">
        <v>930</v>
      </c>
      <c r="J307" s="8" t="s">
        <v>64</v>
      </c>
      <c r="K307" s="8" t="s">
        <v>1094</v>
      </c>
      <c r="L307" s="8"/>
      <c r="M307" s="8"/>
      <c r="N307" s="8" t="s">
        <v>62</v>
      </c>
      <c r="O307" s="8" t="s">
        <v>63</v>
      </c>
      <c r="P307" s="4" t="n">
        <v>25</v>
      </c>
      <c r="Q307" s="8"/>
      <c r="R307" s="4" t="s">
        <v>931</v>
      </c>
      <c r="S307" s="4"/>
    </row>
    <row r="308" customFormat="false" ht="15" hidden="false" customHeight="false" outlineLevel="0" collapsed="false">
      <c r="A308" s="4" t="s">
        <v>1137</v>
      </c>
      <c r="B308" s="8" t="s">
        <v>937</v>
      </c>
      <c r="C308" s="8" t="s">
        <v>58</v>
      </c>
      <c r="D308" s="8"/>
      <c r="E308" s="8" t="s">
        <v>60</v>
      </c>
      <c r="F308" s="8"/>
      <c r="G308" s="8"/>
      <c r="H308" s="8"/>
      <c r="I308" s="8" t="s">
        <v>938</v>
      </c>
      <c r="J308" s="8" t="s">
        <v>64</v>
      </c>
      <c r="K308" s="8" t="s">
        <v>1094</v>
      </c>
      <c r="L308" s="8"/>
      <c r="M308" s="8"/>
      <c r="N308" s="8" t="s">
        <v>62</v>
      </c>
      <c r="O308" s="8" t="s">
        <v>63</v>
      </c>
      <c r="P308" s="4" t="n">
        <v>25</v>
      </c>
      <c r="Q308" s="8"/>
      <c r="R308" s="4" t="s">
        <v>939</v>
      </c>
      <c r="S308" s="4" t="n">
        <v>2299</v>
      </c>
    </row>
    <row r="309" customFormat="false" ht="15" hidden="false" customHeight="false" outlineLevel="0" collapsed="false">
      <c r="A309" s="4" t="s">
        <v>1138</v>
      </c>
      <c r="B309" s="8" t="s">
        <v>945</v>
      </c>
      <c r="C309" s="8"/>
      <c r="D309" s="8"/>
      <c r="E309" s="8"/>
      <c r="F309" s="8"/>
      <c r="G309" s="8"/>
      <c r="H309" s="8"/>
      <c r="I309" s="8" t="s">
        <v>946</v>
      </c>
      <c r="J309" s="8" t="s">
        <v>64</v>
      </c>
      <c r="K309" s="8" t="s">
        <v>1094</v>
      </c>
      <c r="L309" s="8"/>
      <c r="M309" s="8"/>
      <c r="N309" s="8" t="s">
        <v>62</v>
      </c>
      <c r="O309" s="8" t="s">
        <v>63</v>
      </c>
      <c r="P309" s="4" t="n">
        <v>25</v>
      </c>
      <c r="Q309" s="8"/>
      <c r="R309" s="4" t="s">
        <v>945</v>
      </c>
      <c r="S309" s="4"/>
    </row>
    <row r="310" customFormat="false" ht="15" hidden="false" customHeight="false" outlineLevel="0" collapsed="false">
      <c r="A310" s="4" t="s">
        <v>1139</v>
      </c>
      <c r="B310" s="8" t="s">
        <v>941</v>
      </c>
      <c r="C310" s="8" t="s">
        <v>58</v>
      </c>
      <c r="D310" s="8"/>
      <c r="E310" s="8" t="s">
        <v>60</v>
      </c>
      <c r="F310" s="8"/>
      <c r="G310" s="8"/>
      <c r="H310" s="8"/>
      <c r="I310" s="8" t="s">
        <v>942</v>
      </c>
      <c r="J310" s="8" t="s">
        <v>64</v>
      </c>
      <c r="K310" s="8" t="s">
        <v>1094</v>
      </c>
      <c r="L310" s="8"/>
      <c r="M310" s="8"/>
      <c r="N310" s="8" t="s">
        <v>62</v>
      </c>
      <c r="O310" s="8" t="s">
        <v>63</v>
      </c>
      <c r="P310" s="4" t="n">
        <v>25</v>
      </c>
      <c r="Q310" s="8"/>
      <c r="R310" s="4" t="s">
        <v>943</v>
      </c>
      <c r="S310" s="4"/>
    </row>
    <row r="311" customFormat="false" ht="15" hidden="false" customHeight="false" outlineLevel="0" collapsed="false">
      <c r="A311" s="4" t="s">
        <v>1140</v>
      </c>
      <c r="B311" s="8" t="s">
        <v>948</v>
      </c>
      <c r="C311" s="8" t="s">
        <v>58</v>
      </c>
      <c r="D311" s="8"/>
      <c r="E311" s="8" t="s">
        <v>60</v>
      </c>
      <c r="F311" s="8"/>
      <c r="G311" s="8"/>
      <c r="H311" s="8"/>
      <c r="I311" s="8" t="s">
        <v>949</v>
      </c>
      <c r="J311" s="8" t="s">
        <v>64</v>
      </c>
      <c r="K311" s="8" t="s">
        <v>1094</v>
      </c>
      <c r="L311" s="8"/>
      <c r="M311" s="8"/>
      <c r="N311" s="8" t="s">
        <v>62</v>
      </c>
      <c r="O311" s="8" t="s">
        <v>63</v>
      </c>
      <c r="P311" s="4" t="n">
        <v>25</v>
      </c>
      <c r="Q311" s="8"/>
      <c r="R311" s="4" t="s">
        <v>950</v>
      </c>
      <c r="S311" s="4"/>
    </row>
    <row r="312" customFormat="false" ht="15" hidden="false" customHeight="false" outlineLevel="0" collapsed="false">
      <c r="A312" s="4" t="s">
        <v>1141</v>
      </c>
      <c r="B312" s="8" t="s">
        <v>952</v>
      </c>
      <c r="C312" s="8"/>
      <c r="D312" s="8"/>
      <c r="E312" s="8"/>
      <c r="F312" s="8"/>
      <c r="G312" s="8"/>
      <c r="H312" s="8"/>
      <c r="I312" s="8" t="s">
        <v>953</v>
      </c>
      <c r="J312" s="8" t="s">
        <v>64</v>
      </c>
      <c r="K312" s="8" t="s">
        <v>1094</v>
      </c>
      <c r="L312" s="8"/>
      <c r="M312" s="8"/>
      <c r="N312" s="8" t="s">
        <v>62</v>
      </c>
      <c r="O312" s="8" t="s">
        <v>63</v>
      </c>
      <c r="P312" s="4" t="n">
        <v>25</v>
      </c>
      <c r="Q312" s="8"/>
      <c r="R312" s="4" t="s">
        <v>952</v>
      </c>
      <c r="S312" s="4" t="n">
        <v>694</v>
      </c>
    </row>
    <row r="313" customFormat="false" ht="15" hidden="false" customHeight="false" outlineLevel="0" collapsed="false">
      <c r="A313" s="4" t="s">
        <v>1142</v>
      </c>
      <c r="B313" s="8" t="s">
        <v>955</v>
      </c>
      <c r="C313" s="8" t="s">
        <v>58</v>
      </c>
      <c r="D313" s="8"/>
      <c r="E313" s="8" t="s">
        <v>60</v>
      </c>
      <c r="F313" s="8"/>
      <c r="G313" s="8"/>
      <c r="H313" s="8"/>
      <c r="I313" s="8" t="s">
        <v>956</v>
      </c>
      <c r="J313" s="8" t="s">
        <v>64</v>
      </c>
      <c r="K313" s="8" t="s">
        <v>1094</v>
      </c>
      <c r="L313" s="8"/>
      <c r="M313" s="8"/>
      <c r="N313" s="8" t="s">
        <v>62</v>
      </c>
      <c r="O313" s="8" t="s">
        <v>63</v>
      </c>
      <c r="P313" s="4" t="n">
        <v>25</v>
      </c>
      <c r="Q313" s="8"/>
      <c r="R313" s="4" t="s">
        <v>957</v>
      </c>
      <c r="S313" s="4"/>
    </row>
    <row r="314" customFormat="false" ht="15" hidden="false" customHeight="false" outlineLevel="0" collapsed="false">
      <c r="A314" s="4" t="s">
        <v>1143</v>
      </c>
      <c r="B314" s="8" t="s">
        <v>959</v>
      </c>
      <c r="C314" s="8"/>
      <c r="D314" s="8"/>
      <c r="E314" s="8"/>
      <c r="F314" s="8"/>
      <c r="G314" s="8"/>
      <c r="H314" s="8"/>
      <c r="I314" s="8" t="s">
        <v>1144</v>
      </c>
      <c r="J314" s="8" t="s">
        <v>64</v>
      </c>
      <c r="K314" s="8" t="s">
        <v>1094</v>
      </c>
      <c r="L314" s="8"/>
      <c r="M314" s="8"/>
      <c r="N314" s="8" t="s">
        <v>62</v>
      </c>
      <c r="O314" s="8" t="s">
        <v>63</v>
      </c>
      <c r="P314" s="4" t="n">
        <v>25</v>
      </c>
      <c r="Q314" s="8"/>
      <c r="R314" s="4" t="s">
        <v>959</v>
      </c>
      <c r="S314" s="4"/>
    </row>
    <row r="315" customFormat="false" ht="15" hidden="false" customHeight="false" outlineLevel="0" collapsed="false">
      <c r="A315" s="4" t="s">
        <v>1145</v>
      </c>
      <c r="B315" s="8" t="s">
        <v>966</v>
      </c>
      <c r="C315" s="8" t="s">
        <v>58</v>
      </c>
      <c r="D315" s="8"/>
      <c r="E315" s="8" t="s">
        <v>60</v>
      </c>
      <c r="F315" s="8"/>
      <c r="G315" s="8"/>
      <c r="H315" s="8"/>
      <c r="I315" s="8" t="s">
        <v>967</v>
      </c>
      <c r="J315" s="8" t="s">
        <v>64</v>
      </c>
      <c r="K315" s="8" t="s">
        <v>1094</v>
      </c>
      <c r="L315" s="8"/>
      <c r="M315" s="8"/>
      <c r="N315" s="8" t="s">
        <v>62</v>
      </c>
      <c r="O315" s="8" t="s">
        <v>63</v>
      </c>
      <c r="P315" s="4" t="n">
        <v>25</v>
      </c>
      <c r="Q315" s="8"/>
      <c r="R315" s="4" t="s">
        <v>968</v>
      </c>
      <c r="S315" s="4"/>
    </row>
    <row r="316" customFormat="false" ht="15" hidden="false" customHeight="false" outlineLevel="0" collapsed="false">
      <c r="A316" s="4" t="s">
        <v>1146</v>
      </c>
      <c r="B316" s="8" t="s">
        <v>974</v>
      </c>
      <c r="C316" s="8" t="s">
        <v>58</v>
      </c>
      <c r="D316" s="8"/>
      <c r="E316" s="8" t="s">
        <v>60</v>
      </c>
      <c r="F316" s="8"/>
      <c r="G316" s="8"/>
      <c r="H316" s="8"/>
      <c r="I316" s="8" t="s">
        <v>975</v>
      </c>
      <c r="J316" s="8" t="s">
        <v>64</v>
      </c>
      <c r="K316" s="8" t="s">
        <v>1094</v>
      </c>
      <c r="L316" s="8"/>
      <c r="M316" s="8"/>
      <c r="N316" s="8" t="s">
        <v>62</v>
      </c>
      <c r="O316" s="8" t="s">
        <v>63</v>
      </c>
      <c r="P316" s="4" t="n">
        <v>25</v>
      </c>
      <c r="Q316" s="8"/>
      <c r="R316" s="4" t="s">
        <v>976</v>
      </c>
      <c r="S316" s="4"/>
    </row>
    <row r="317" customFormat="false" ht="15" hidden="false" customHeight="false" outlineLevel="0" collapsed="false">
      <c r="A317" s="4" t="s">
        <v>1147</v>
      </c>
      <c r="B317" s="8" t="s">
        <v>970</v>
      </c>
      <c r="C317" s="8" t="s">
        <v>58</v>
      </c>
      <c r="D317" s="8"/>
      <c r="E317" s="8" t="s">
        <v>60</v>
      </c>
      <c r="F317" s="8"/>
      <c r="G317" s="8"/>
      <c r="H317" s="8"/>
      <c r="I317" s="8" t="s">
        <v>971</v>
      </c>
      <c r="J317" s="8" t="s">
        <v>64</v>
      </c>
      <c r="K317" s="8" t="s">
        <v>1094</v>
      </c>
      <c r="L317" s="8"/>
      <c r="M317" s="8"/>
      <c r="N317" s="8" t="s">
        <v>62</v>
      </c>
      <c r="O317" s="8" t="s">
        <v>63</v>
      </c>
      <c r="P317" s="4" t="n">
        <v>25</v>
      </c>
      <c r="Q317" s="8"/>
      <c r="R317" s="4" t="s">
        <v>972</v>
      </c>
      <c r="S317" s="4"/>
    </row>
    <row r="318" customFormat="false" ht="15" hidden="false" customHeight="false" outlineLevel="0" collapsed="false">
      <c r="A318" s="4" t="s">
        <v>1148</v>
      </c>
      <c r="B318" s="8" t="s">
        <v>978</v>
      </c>
      <c r="C318" s="8"/>
      <c r="D318" s="8"/>
      <c r="E318" s="8"/>
      <c r="F318" s="8"/>
      <c r="G318" s="8"/>
      <c r="H318" s="8"/>
      <c r="I318" s="8" t="s">
        <v>979</v>
      </c>
      <c r="J318" s="8" t="s">
        <v>64</v>
      </c>
      <c r="K318" s="8" t="s">
        <v>1094</v>
      </c>
      <c r="L318" s="8"/>
      <c r="M318" s="8"/>
      <c r="N318" s="8" t="s">
        <v>62</v>
      </c>
      <c r="O318" s="8" t="s">
        <v>63</v>
      </c>
      <c r="P318" s="4" t="n">
        <v>25</v>
      </c>
      <c r="Q318" s="8"/>
      <c r="R318" s="4" t="s">
        <v>978</v>
      </c>
      <c r="S318" s="4"/>
    </row>
    <row r="319" customFormat="false" ht="15" hidden="false" customHeight="false" outlineLevel="0" collapsed="false">
      <c r="A319" s="4" t="s">
        <v>1149</v>
      </c>
      <c r="B319" s="8" t="s">
        <v>990</v>
      </c>
      <c r="C319" s="8" t="s">
        <v>58</v>
      </c>
      <c r="D319" s="8"/>
      <c r="E319" s="8" t="s">
        <v>60</v>
      </c>
      <c r="F319" s="8"/>
      <c r="G319" s="8"/>
      <c r="H319" s="8"/>
      <c r="I319" s="8" t="s">
        <v>991</v>
      </c>
      <c r="J319" s="8" t="s">
        <v>64</v>
      </c>
      <c r="K319" s="8" t="s">
        <v>1094</v>
      </c>
      <c r="L319" s="8"/>
      <c r="M319" s="8"/>
      <c r="N319" s="8" t="s">
        <v>62</v>
      </c>
      <c r="O319" s="8" t="s">
        <v>63</v>
      </c>
      <c r="P319" s="4" t="n">
        <v>25</v>
      </c>
      <c r="Q319" s="8"/>
      <c r="R319" s="4" t="s">
        <v>992</v>
      </c>
      <c r="S319" s="4" t="n">
        <v>1489</v>
      </c>
    </row>
    <row r="320" customFormat="false" ht="15" hidden="false" customHeight="false" outlineLevel="0" collapsed="false">
      <c r="A320" s="4" t="s">
        <v>1150</v>
      </c>
      <c r="B320" s="8" t="s">
        <v>994</v>
      </c>
      <c r="C320" s="8" t="s">
        <v>58</v>
      </c>
      <c r="D320" s="8"/>
      <c r="E320" s="8" t="s">
        <v>60</v>
      </c>
      <c r="F320" s="8"/>
      <c r="G320" s="8"/>
      <c r="H320" s="8"/>
      <c r="I320" s="8" t="s">
        <v>995</v>
      </c>
      <c r="J320" s="8" t="s">
        <v>64</v>
      </c>
      <c r="K320" s="8" t="s">
        <v>1094</v>
      </c>
      <c r="L320" s="8"/>
      <c r="M320" s="8"/>
      <c r="N320" s="8" t="s">
        <v>62</v>
      </c>
      <c r="O320" s="8" t="s">
        <v>63</v>
      </c>
      <c r="P320" s="4" t="n">
        <v>25</v>
      </c>
      <c r="Q320" s="8"/>
      <c r="R320" s="4" t="s">
        <v>996</v>
      </c>
      <c r="S320" s="4"/>
    </row>
    <row r="321" customFormat="false" ht="26.85" hidden="false" customHeight="false" outlineLevel="0" collapsed="false">
      <c r="A321" s="4" t="s">
        <v>1151</v>
      </c>
      <c r="B321" s="8" t="s">
        <v>1152</v>
      </c>
      <c r="C321" s="8"/>
      <c r="D321" s="8"/>
      <c r="E321" s="8"/>
      <c r="F321" s="8"/>
      <c r="G321" s="8"/>
      <c r="H321" s="8"/>
      <c r="I321" s="8"/>
      <c r="J321" s="8" t="s">
        <v>64</v>
      </c>
      <c r="K321" s="8" t="s">
        <v>1094</v>
      </c>
      <c r="L321" s="8"/>
      <c r="M321" s="8"/>
      <c r="N321" s="8" t="s">
        <v>62</v>
      </c>
      <c r="O321" s="8" t="s">
        <v>63</v>
      </c>
      <c r="P321" s="4" t="n">
        <v>25</v>
      </c>
      <c r="Q321" s="8" t="s">
        <v>1153</v>
      </c>
      <c r="R321" s="4" t="s">
        <v>1152</v>
      </c>
      <c r="S321" s="4"/>
    </row>
    <row r="322" customFormat="false" ht="15" hidden="false" customHeight="false" outlineLevel="0" collapsed="false">
      <c r="A322" s="4" t="s">
        <v>1154</v>
      </c>
      <c r="B322" s="8" t="s">
        <v>1001</v>
      </c>
      <c r="C322" s="8" t="s">
        <v>58</v>
      </c>
      <c r="D322" s="8"/>
      <c r="E322" s="8" t="s">
        <v>60</v>
      </c>
      <c r="F322" s="8"/>
      <c r="G322" s="8"/>
      <c r="H322" s="8"/>
      <c r="I322" s="8" t="s">
        <v>1002</v>
      </c>
      <c r="J322" s="8" t="s">
        <v>64</v>
      </c>
      <c r="K322" s="8" t="s">
        <v>1094</v>
      </c>
      <c r="L322" s="8"/>
      <c r="M322" s="8"/>
      <c r="N322" s="8" t="s">
        <v>62</v>
      </c>
      <c r="O322" s="8" t="s">
        <v>63</v>
      </c>
      <c r="P322" s="4" t="n">
        <v>25</v>
      </c>
      <c r="Q322" s="8"/>
      <c r="R322" s="4" t="s">
        <v>1003</v>
      </c>
      <c r="S322" s="4"/>
    </row>
    <row r="323" customFormat="false" ht="15" hidden="false" customHeight="false" outlineLevel="0" collapsed="false">
      <c r="A323" s="4" t="s">
        <v>1155</v>
      </c>
      <c r="B323" s="8" t="s">
        <v>1005</v>
      </c>
      <c r="C323" s="8" t="s">
        <v>58</v>
      </c>
      <c r="D323" s="8"/>
      <c r="E323" s="8" t="s">
        <v>60</v>
      </c>
      <c r="F323" s="8"/>
      <c r="G323" s="8"/>
      <c r="H323" s="8"/>
      <c r="I323" s="8" t="s">
        <v>1006</v>
      </c>
      <c r="J323" s="8" t="s">
        <v>64</v>
      </c>
      <c r="K323" s="8" t="s">
        <v>1094</v>
      </c>
      <c r="L323" s="8"/>
      <c r="M323" s="8"/>
      <c r="N323" s="8" t="s">
        <v>62</v>
      </c>
      <c r="O323" s="8" t="s">
        <v>63</v>
      </c>
      <c r="P323" s="4" t="n">
        <v>25</v>
      </c>
      <c r="Q323" s="8"/>
      <c r="R323" s="4" t="s">
        <v>1007</v>
      </c>
      <c r="S323" s="4"/>
    </row>
    <row r="324" customFormat="false" ht="15" hidden="false" customHeight="false" outlineLevel="0" collapsed="false">
      <c r="A324" s="4" t="s">
        <v>1156</v>
      </c>
      <c r="B324" s="8" t="s">
        <v>1009</v>
      </c>
      <c r="C324" s="8"/>
      <c r="D324" s="8"/>
      <c r="E324" s="8"/>
      <c r="F324" s="8"/>
      <c r="G324" s="8"/>
      <c r="H324" s="8"/>
      <c r="I324" s="8" t="s">
        <v>1010</v>
      </c>
      <c r="J324" s="8" t="s">
        <v>64</v>
      </c>
      <c r="K324" s="8" t="s">
        <v>1094</v>
      </c>
      <c r="L324" s="8"/>
      <c r="M324" s="8"/>
      <c r="N324" s="8" t="s">
        <v>62</v>
      </c>
      <c r="O324" s="8" t="s">
        <v>63</v>
      </c>
      <c r="P324" s="4" t="n">
        <v>25</v>
      </c>
      <c r="Q324" s="8"/>
      <c r="R324" s="4" t="s">
        <v>1009</v>
      </c>
      <c r="S324" s="4" t="n">
        <v>1076</v>
      </c>
    </row>
    <row r="325" customFormat="false" ht="15" hidden="false" customHeight="false" outlineLevel="0" collapsed="false">
      <c r="A325" s="4" t="s">
        <v>1157</v>
      </c>
      <c r="B325" s="8" t="s">
        <v>1158</v>
      </c>
      <c r="C325" s="8"/>
      <c r="D325" s="8"/>
      <c r="E325" s="8"/>
      <c r="F325" s="8"/>
      <c r="G325" s="8"/>
      <c r="H325" s="8"/>
      <c r="I325" s="8" t="s">
        <v>1159</v>
      </c>
      <c r="J325" s="8" t="s">
        <v>64</v>
      </c>
      <c r="K325" s="8" t="s">
        <v>1094</v>
      </c>
      <c r="L325" s="8"/>
      <c r="M325" s="8"/>
      <c r="N325" s="8" t="s">
        <v>62</v>
      </c>
      <c r="O325" s="8" t="s">
        <v>63</v>
      </c>
      <c r="P325" s="4" t="n">
        <v>25</v>
      </c>
      <c r="Q325" s="8"/>
      <c r="R325" s="4" t="s">
        <v>1158</v>
      </c>
      <c r="S325" s="4"/>
    </row>
    <row r="326" customFormat="false" ht="15" hidden="false" customHeight="false" outlineLevel="0" collapsed="false">
      <c r="A326" s="4" t="s">
        <v>1160</v>
      </c>
      <c r="B326" s="8" t="s">
        <v>1015</v>
      </c>
      <c r="C326" s="8" t="s">
        <v>58</v>
      </c>
      <c r="D326" s="8"/>
      <c r="E326" s="8" t="s">
        <v>60</v>
      </c>
      <c r="F326" s="8"/>
      <c r="G326" s="8"/>
      <c r="H326" s="8"/>
      <c r="I326" s="8" t="s">
        <v>1016</v>
      </c>
      <c r="J326" s="8" t="s">
        <v>64</v>
      </c>
      <c r="K326" s="8" t="s">
        <v>1094</v>
      </c>
      <c r="L326" s="8"/>
      <c r="M326" s="8"/>
      <c r="N326" s="8" t="s">
        <v>62</v>
      </c>
      <c r="O326" s="8" t="s">
        <v>63</v>
      </c>
      <c r="P326" s="4" t="n">
        <v>25</v>
      </c>
      <c r="Q326" s="8"/>
      <c r="R326" s="4" t="s">
        <v>1017</v>
      </c>
      <c r="S326" s="4"/>
    </row>
    <row r="327" customFormat="false" ht="15" hidden="false" customHeight="false" outlineLevel="0" collapsed="false">
      <c r="A327" s="4" t="s">
        <v>1161</v>
      </c>
      <c r="B327" s="8" t="s">
        <v>1089</v>
      </c>
      <c r="C327" s="8"/>
      <c r="D327" s="8"/>
      <c r="E327" s="8" t="s">
        <v>68</v>
      </c>
      <c r="F327" s="8" t="s">
        <v>1090</v>
      </c>
      <c r="G327" s="8" t="s">
        <v>1091</v>
      </c>
      <c r="H327" s="8"/>
      <c r="I327" s="8" t="s">
        <v>1092</v>
      </c>
      <c r="J327" s="8" t="s">
        <v>64</v>
      </c>
      <c r="K327" s="8" t="s">
        <v>1094</v>
      </c>
      <c r="L327" s="8"/>
      <c r="M327" s="8"/>
      <c r="N327" s="8" t="s">
        <v>62</v>
      </c>
      <c r="O327" s="8" t="s">
        <v>63</v>
      </c>
      <c r="P327" s="4" t="n">
        <v>25</v>
      </c>
      <c r="Q327" s="8"/>
      <c r="R327" s="4" t="s">
        <v>1089</v>
      </c>
      <c r="S327" s="4"/>
    </row>
    <row r="328" customFormat="false" ht="15" hidden="false" customHeight="false" outlineLevel="0" collapsed="false">
      <c r="A328" s="4" t="s">
        <v>1162</v>
      </c>
      <c r="B328" s="8" t="s">
        <v>1019</v>
      </c>
      <c r="C328" s="8" t="s">
        <v>58</v>
      </c>
      <c r="D328" s="8"/>
      <c r="E328" s="8" t="s">
        <v>60</v>
      </c>
      <c r="F328" s="8"/>
      <c r="G328" s="8"/>
      <c r="H328" s="8"/>
      <c r="I328" s="8" t="s">
        <v>1020</v>
      </c>
      <c r="J328" s="8" t="s">
        <v>64</v>
      </c>
      <c r="K328" s="8" t="s">
        <v>1094</v>
      </c>
      <c r="L328" s="8"/>
      <c r="M328" s="8"/>
      <c r="N328" s="8" t="s">
        <v>62</v>
      </c>
      <c r="O328" s="8" t="s">
        <v>63</v>
      </c>
      <c r="P328" s="4" t="n">
        <v>25</v>
      </c>
      <c r="Q328" s="8"/>
      <c r="R328" s="4" t="s">
        <v>1021</v>
      </c>
      <c r="S328" s="4"/>
    </row>
    <row r="329" customFormat="false" ht="15" hidden="false" customHeight="false" outlineLevel="0" collapsed="false">
      <c r="A329" s="4" t="s">
        <v>1163</v>
      </c>
      <c r="B329" s="8" t="s">
        <v>1023</v>
      </c>
      <c r="C329" s="8"/>
      <c r="D329" s="8"/>
      <c r="E329" s="8" t="s">
        <v>68</v>
      </c>
      <c r="F329" s="8" t="s">
        <v>1024</v>
      </c>
      <c r="G329" s="8" t="s">
        <v>1025</v>
      </c>
      <c r="H329" s="8"/>
      <c r="I329" s="8" t="s">
        <v>1026</v>
      </c>
      <c r="J329" s="8" t="s">
        <v>64</v>
      </c>
      <c r="K329" s="8" t="s">
        <v>1094</v>
      </c>
      <c r="L329" s="8" t="s">
        <v>688</v>
      </c>
      <c r="M329" s="8"/>
      <c r="N329" s="8" t="s">
        <v>62</v>
      </c>
      <c r="O329" s="8" t="s">
        <v>63</v>
      </c>
      <c r="P329" s="4" t="n">
        <v>25</v>
      </c>
      <c r="Q329" s="8"/>
      <c r="R329" s="4" t="s">
        <v>1023</v>
      </c>
      <c r="S329" s="4"/>
    </row>
    <row r="330" customFormat="false" ht="15" hidden="false" customHeight="false" outlineLevel="0" collapsed="false">
      <c r="A330" s="4" t="s">
        <v>1164</v>
      </c>
      <c r="B330" s="8" t="s">
        <v>1028</v>
      </c>
      <c r="C330" s="8"/>
      <c r="D330" s="8"/>
      <c r="E330" s="8" t="s">
        <v>68</v>
      </c>
      <c r="F330" s="8" t="s">
        <v>1029</v>
      </c>
      <c r="G330" s="8" t="s">
        <v>1030</v>
      </c>
      <c r="H330" s="8"/>
      <c r="I330" s="8" t="s">
        <v>1031</v>
      </c>
      <c r="J330" s="8" t="s">
        <v>64</v>
      </c>
      <c r="K330" s="8" t="s">
        <v>1094</v>
      </c>
      <c r="L330" s="8" t="s">
        <v>688</v>
      </c>
      <c r="M330" s="8"/>
      <c r="N330" s="8" t="s">
        <v>62</v>
      </c>
      <c r="O330" s="8" t="s">
        <v>63</v>
      </c>
      <c r="P330" s="4" t="n">
        <v>25</v>
      </c>
      <c r="Q330" s="8"/>
      <c r="R330" s="4" t="s">
        <v>1028</v>
      </c>
      <c r="S330" s="4"/>
    </row>
    <row r="331" customFormat="false" ht="15" hidden="false" customHeight="false" outlineLevel="0" collapsed="false">
      <c r="A331" s="4" t="s">
        <v>1165</v>
      </c>
      <c r="B331" s="8" t="s">
        <v>1033</v>
      </c>
      <c r="C331" s="8"/>
      <c r="D331" s="8"/>
      <c r="E331" s="8" t="s">
        <v>68</v>
      </c>
      <c r="F331" s="8" t="s">
        <v>1034</v>
      </c>
      <c r="G331" s="8" t="s">
        <v>1035</v>
      </c>
      <c r="H331" s="8"/>
      <c r="I331" s="8" t="s">
        <v>1036</v>
      </c>
      <c r="J331" s="8" t="s">
        <v>64</v>
      </c>
      <c r="K331" s="8" t="s">
        <v>1094</v>
      </c>
      <c r="L331" s="8" t="s">
        <v>688</v>
      </c>
      <c r="M331" s="8"/>
      <c r="N331" s="8" t="s">
        <v>62</v>
      </c>
      <c r="O331" s="8" t="s">
        <v>63</v>
      </c>
      <c r="P331" s="4" t="n">
        <v>25</v>
      </c>
      <c r="Q331" s="8"/>
      <c r="R331" s="4" t="s">
        <v>1033</v>
      </c>
      <c r="S331" s="4"/>
    </row>
    <row r="332" customFormat="false" ht="15" hidden="false" customHeight="false" outlineLevel="0" collapsed="false">
      <c r="A332" s="4" t="s">
        <v>1166</v>
      </c>
      <c r="B332" s="8" t="s">
        <v>1038</v>
      </c>
      <c r="C332" s="8"/>
      <c r="D332" s="8"/>
      <c r="E332" s="8" t="s">
        <v>68</v>
      </c>
      <c r="F332" s="8" t="s">
        <v>1039</v>
      </c>
      <c r="G332" s="8" t="s">
        <v>1040</v>
      </c>
      <c r="H332" s="8"/>
      <c r="I332" s="8" t="s">
        <v>1041</v>
      </c>
      <c r="J332" s="8" t="s">
        <v>64</v>
      </c>
      <c r="K332" s="8" t="s">
        <v>1094</v>
      </c>
      <c r="L332" s="8" t="s">
        <v>688</v>
      </c>
      <c r="M332" s="8"/>
      <c r="N332" s="8" t="s">
        <v>62</v>
      </c>
      <c r="O332" s="8" t="s">
        <v>63</v>
      </c>
      <c r="P332" s="4" t="n">
        <v>25</v>
      </c>
      <c r="Q332" s="8"/>
      <c r="R332" s="4" t="s">
        <v>1038</v>
      </c>
      <c r="S332" s="4"/>
    </row>
    <row r="333" customFormat="false" ht="15" hidden="false" customHeight="false" outlineLevel="0" collapsed="false">
      <c r="A333" s="4" t="s">
        <v>1167</v>
      </c>
      <c r="B333" s="8" t="s">
        <v>1168</v>
      </c>
      <c r="C333" s="8"/>
      <c r="D333" s="8"/>
      <c r="E333" s="8" t="s">
        <v>68</v>
      </c>
      <c r="F333" s="8" t="s">
        <v>1044</v>
      </c>
      <c r="G333" s="8" t="s">
        <v>1169</v>
      </c>
      <c r="H333" s="8"/>
      <c r="I333" s="8" t="s">
        <v>1170</v>
      </c>
      <c r="J333" s="8" t="s">
        <v>64</v>
      </c>
      <c r="K333" s="8" t="s">
        <v>1094</v>
      </c>
      <c r="L333" s="8" t="s">
        <v>688</v>
      </c>
      <c r="M333" s="8"/>
      <c r="N333" s="8" t="s">
        <v>62</v>
      </c>
      <c r="O333" s="8" t="s">
        <v>63</v>
      </c>
      <c r="P333" s="4" t="n">
        <v>25</v>
      </c>
      <c r="Q333" s="8"/>
      <c r="R333" s="4" t="s">
        <v>1168</v>
      </c>
      <c r="S333" s="4" t="n">
        <v>161</v>
      </c>
    </row>
    <row r="334" customFormat="false" ht="15" hidden="false" customHeight="false" outlineLevel="0" collapsed="false">
      <c r="A334" s="4" t="s">
        <v>1171</v>
      </c>
      <c r="B334" s="8" t="s">
        <v>1172</v>
      </c>
      <c r="C334" s="8"/>
      <c r="D334" s="8"/>
      <c r="E334" s="8" t="s">
        <v>68</v>
      </c>
      <c r="F334" s="8" t="s">
        <v>1049</v>
      </c>
      <c r="G334" s="8" t="s">
        <v>1173</v>
      </c>
      <c r="H334" s="8"/>
      <c r="I334" s="8" t="s">
        <v>1051</v>
      </c>
      <c r="J334" s="8" t="s">
        <v>64</v>
      </c>
      <c r="K334" s="8" t="s">
        <v>1094</v>
      </c>
      <c r="L334" s="8" t="s">
        <v>688</v>
      </c>
      <c r="M334" s="8"/>
      <c r="N334" s="8" t="s">
        <v>62</v>
      </c>
      <c r="O334" s="8" t="s">
        <v>63</v>
      </c>
      <c r="P334" s="4" t="n">
        <v>25</v>
      </c>
      <c r="Q334" s="8"/>
      <c r="R334" s="4" t="s">
        <v>1172</v>
      </c>
      <c r="S334" s="4" t="n">
        <v>1045</v>
      </c>
    </row>
    <row r="335" customFormat="false" ht="15" hidden="false" customHeight="false" outlineLevel="0" collapsed="false">
      <c r="A335" s="4" t="s">
        <v>1174</v>
      </c>
      <c r="B335" s="8" t="s">
        <v>1053</v>
      </c>
      <c r="C335" s="8"/>
      <c r="D335" s="8"/>
      <c r="E335" s="8" t="s">
        <v>68</v>
      </c>
      <c r="F335" s="8" t="s">
        <v>1054</v>
      </c>
      <c r="G335" s="8" t="s">
        <v>1055</v>
      </c>
      <c r="H335" s="8"/>
      <c r="I335" s="8" t="s">
        <v>1175</v>
      </c>
      <c r="J335" s="8" t="s">
        <v>64</v>
      </c>
      <c r="K335" s="8" t="s">
        <v>1094</v>
      </c>
      <c r="L335" s="8" t="s">
        <v>688</v>
      </c>
      <c r="M335" s="8"/>
      <c r="N335" s="8" t="s">
        <v>62</v>
      </c>
      <c r="O335" s="8" t="s">
        <v>63</v>
      </c>
      <c r="P335" s="4" t="n">
        <v>25</v>
      </c>
      <c r="Q335" s="8"/>
      <c r="R335" s="4" t="s">
        <v>1053</v>
      </c>
      <c r="S335" s="4" t="n">
        <v>294</v>
      </c>
    </row>
    <row r="336" customFormat="false" ht="15" hidden="false" customHeight="false" outlineLevel="0" collapsed="false">
      <c r="A336" s="4" t="s">
        <v>1176</v>
      </c>
      <c r="B336" s="8" t="s">
        <v>1058</v>
      </c>
      <c r="C336" s="8"/>
      <c r="D336" s="8"/>
      <c r="E336" s="8" t="s">
        <v>68</v>
      </c>
      <c r="F336" s="8" t="s">
        <v>1059</v>
      </c>
      <c r="G336" s="8" t="s">
        <v>1060</v>
      </c>
      <c r="H336" s="8"/>
      <c r="I336" s="8" t="s">
        <v>1177</v>
      </c>
      <c r="J336" s="8" t="s">
        <v>64</v>
      </c>
      <c r="K336" s="8" t="s">
        <v>1094</v>
      </c>
      <c r="L336" s="8" t="s">
        <v>688</v>
      </c>
      <c r="M336" s="8"/>
      <c r="N336" s="8" t="s">
        <v>62</v>
      </c>
      <c r="O336" s="8" t="s">
        <v>63</v>
      </c>
      <c r="P336" s="4" t="n">
        <v>25</v>
      </c>
      <c r="Q336" s="8"/>
      <c r="R336" s="4" t="s">
        <v>1058</v>
      </c>
      <c r="S336" s="4"/>
    </row>
    <row r="337" customFormat="false" ht="15" hidden="false" customHeight="false" outlineLevel="0" collapsed="false">
      <c r="A337" s="4" t="s">
        <v>1178</v>
      </c>
      <c r="B337" s="8" t="s">
        <v>1063</v>
      </c>
      <c r="C337" s="8"/>
      <c r="D337" s="8"/>
      <c r="E337" s="8" t="s">
        <v>68</v>
      </c>
      <c r="F337" s="8" t="s">
        <v>1064</v>
      </c>
      <c r="G337" s="8" t="s">
        <v>1065</v>
      </c>
      <c r="H337" s="8"/>
      <c r="I337" s="8" t="s">
        <v>1066</v>
      </c>
      <c r="J337" s="8" t="s">
        <v>64</v>
      </c>
      <c r="K337" s="8" t="s">
        <v>1094</v>
      </c>
      <c r="L337" s="8" t="s">
        <v>688</v>
      </c>
      <c r="M337" s="8"/>
      <c r="N337" s="8" t="s">
        <v>62</v>
      </c>
      <c r="O337" s="8" t="s">
        <v>63</v>
      </c>
      <c r="P337" s="4" t="n">
        <v>25</v>
      </c>
      <c r="Q337" s="8"/>
      <c r="R337" s="4" t="s">
        <v>1063</v>
      </c>
      <c r="S337" s="4"/>
    </row>
    <row r="338" customFormat="false" ht="15" hidden="false" customHeight="false" outlineLevel="0" collapsed="false">
      <c r="A338" s="4" t="s">
        <v>1179</v>
      </c>
      <c r="B338" s="8" t="s">
        <v>1068</v>
      </c>
      <c r="C338" s="8"/>
      <c r="D338" s="8"/>
      <c r="E338" s="8" t="s">
        <v>68</v>
      </c>
      <c r="F338" s="8" t="s">
        <v>1069</v>
      </c>
      <c r="G338" s="8" t="s">
        <v>1070</v>
      </c>
      <c r="H338" s="8"/>
      <c r="I338" s="8" t="s">
        <v>1180</v>
      </c>
      <c r="J338" s="8" t="s">
        <v>64</v>
      </c>
      <c r="K338" s="8" t="s">
        <v>1094</v>
      </c>
      <c r="L338" s="8" t="s">
        <v>688</v>
      </c>
      <c r="M338" s="8"/>
      <c r="N338" s="8" t="s">
        <v>62</v>
      </c>
      <c r="O338" s="8" t="s">
        <v>63</v>
      </c>
      <c r="P338" s="4" t="n">
        <v>25</v>
      </c>
      <c r="Q338" s="8"/>
      <c r="R338" s="4" t="s">
        <v>1068</v>
      </c>
      <c r="S338" s="4"/>
    </row>
    <row r="339" customFormat="false" ht="26.85" hidden="false" customHeight="false" outlineLevel="0" collapsed="false">
      <c r="A339" s="4" t="s">
        <v>1181</v>
      </c>
      <c r="B339" s="8" t="s">
        <v>1078</v>
      </c>
      <c r="C339" s="8"/>
      <c r="D339" s="8"/>
      <c r="E339" s="8" t="s">
        <v>68</v>
      </c>
      <c r="F339" s="8" t="s">
        <v>1079</v>
      </c>
      <c r="G339" s="8" t="s">
        <v>1080</v>
      </c>
      <c r="H339" s="8"/>
      <c r="I339" s="8" t="s">
        <v>1081</v>
      </c>
      <c r="J339" s="8" t="s">
        <v>64</v>
      </c>
      <c r="K339" s="8" t="s">
        <v>1094</v>
      </c>
      <c r="L339" s="8" t="s">
        <v>688</v>
      </c>
      <c r="M339" s="8"/>
      <c r="N339" s="8" t="s">
        <v>62</v>
      </c>
      <c r="O339" s="8" t="s">
        <v>63</v>
      </c>
      <c r="P339" s="4" t="n">
        <v>25</v>
      </c>
      <c r="Q339" s="8"/>
      <c r="R339" s="4" t="s">
        <v>1078</v>
      </c>
      <c r="S339" s="4"/>
    </row>
    <row r="340" customFormat="false" ht="15" hidden="false" customHeight="false" outlineLevel="0" collapsed="false">
      <c r="A340" s="4" t="s">
        <v>1182</v>
      </c>
      <c r="B340" s="8" t="s">
        <v>1083</v>
      </c>
      <c r="C340" s="8"/>
      <c r="D340" s="8"/>
      <c r="E340" s="8" t="s">
        <v>68</v>
      </c>
      <c r="F340" s="8" t="s">
        <v>1084</v>
      </c>
      <c r="G340" s="8" t="s">
        <v>1085</v>
      </c>
      <c r="H340" s="8"/>
      <c r="I340" s="8" t="s">
        <v>1086</v>
      </c>
      <c r="J340" s="8" t="s">
        <v>64</v>
      </c>
      <c r="K340" s="8" t="s">
        <v>1094</v>
      </c>
      <c r="L340" s="8" t="s">
        <v>688</v>
      </c>
      <c r="M340" s="8"/>
      <c r="N340" s="8" t="s">
        <v>62</v>
      </c>
      <c r="O340" s="8" t="s">
        <v>63</v>
      </c>
      <c r="P340" s="4" t="n">
        <v>26</v>
      </c>
      <c r="Q340" s="8"/>
      <c r="R340" s="4" t="s">
        <v>1083</v>
      </c>
      <c r="S340" s="4"/>
    </row>
    <row r="341" customFormat="false" ht="15" hidden="false" customHeight="false" outlineLevel="0" collapsed="false">
      <c r="A341" s="4" t="s">
        <v>1183</v>
      </c>
      <c r="B341" s="8" t="s">
        <v>1184</v>
      </c>
      <c r="C341" s="8"/>
      <c r="D341" s="8"/>
      <c r="E341" s="8" t="s">
        <v>68</v>
      </c>
      <c r="F341" s="8" t="s">
        <v>1185</v>
      </c>
      <c r="G341" s="8" t="s">
        <v>1186</v>
      </c>
      <c r="H341" s="8"/>
      <c r="I341" s="8" t="s">
        <v>1187</v>
      </c>
      <c r="J341" s="8" t="s">
        <v>64</v>
      </c>
      <c r="K341" s="8" t="s">
        <v>1094</v>
      </c>
      <c r="L341" s="8" t="s">
        <v>688</v>
      </c>
      <c r="M341" s="8"/>
      <c r="N341" s="8" t="s">
        <v>62</v>
      </c>
      <c r="O341" s="8" t="s">
        <v>63</v>
      </c>
      <c r="P341" s="4" t="n">
        <v>26</v>
      </c>
      <c r="Q341" s="8"/>
      <c r="R341" s="4" t="s">
        <v>1184</v>
      </c>
      <c r="S341" s="4"/>
    </row>
    <row r="342" customFormat="false" ht="15" hidden="false" customHeight="false" outlineLevel="0" collapsed="false">
      <c r="A342" s="4" t="s">
        <v>1188</v>
      </c>
      <c r="B342" s="8" t="s">
        <v>1189</v>
      </c>
      <c r="C342" s="8"/>
      <c r="D342" s="8"/>
      <c r="E342" s="8"/>
      <c r="F342" s="8"/>
      <c r="G342" s="8"/>
      <c r="H342" s="8"/>
      <c r="I342" s="8" t="s">
        <v>1190</v>
      </c>
      <c r="J342" s="8" t="s">
        <v>64</v>
      </c>
      <c r="K342" s="8" t="s">
        <v>1191</v>
      </c>
      <c r="L342" s="8"/>
      <c r="M342" s="8"/>
      <c r="N342" s="8" t="s">
        <v>62</v>
      </c>
      <c r="O342" s="8" t="s">
        <v>63</v>
      </c>
      <c r="P342" s="4" t="n">
        <v>26</v>
      </c>
      <c r="Q342" s="8"/>
      <c r="R342" s="4" t="s">
        <v>1189</v>
      </c>
      <c r="S342" s="4" t="n">
        <v>804</v>
      </c>
    </row>
    <row r="343" customFormat="false" ht="15" hidden="false" customHeight="false" outlineLevel="0" collapsed="false">
      <c r="A343" s="4" t="s">
        <v>1192</v>
      </c>
      <c r="B343" s="8" t="s">
        <v>1193</v>
      </c>
      <c r="C343" s="8"/>
      <c r="D343" s="8"/>
      <c r="E343" s="8"/>
      <c r="F343" s="8"/>
      <c r="G343" s="8"/>
      <c r="H343" s="8"/>
      <c r="I343" s="8" t="s">
        <v>1194</v>
      </c>
      <c r="J343" s="8" t="s">
        <v>64</v>
      </c>
      <c r="K343" s="8" t="s">
        <v>1191</v>
      </c>
      <c r="L343" s="8"/>
      <c r="M343" s="8"/>
      <c r="N343" s="8" t="s">
        <v>62</v>
      </c>
      <c r="O343" s="8" t="s">
        <v>63</v>
      </c>
      <c r="P343" s="4" t="n">
        <v>26</v>
      </c>
      <c r="Q343" s="8"/>
      <c r="R343" s="4" t="s">
        <v>1193</v>
      </c>
      <c r="S343" s="4" t="n">
        <v>628</v>
      </c>
    </row>
    <row r="344" customFormat="false" ht="15" hidden="false" customHeight="false" outlineLevel="0" collapsed="false">
      <c r="A344" s="4" t="s">
        <v>1195</v>
      </c>
      <c r="B344" s="8" t="s">
        <v>1196</v>
      </c>
      <c r="C344" s="8" t="s">
        <v>58</v>
      </c>
      <c r="D344" s="8"/>
      <c r="E344" s="8" t="s">
        <v>60</v>
      </c>
      <c r="F344" s="8"/>
      <c r="G344" s="8"/>
      <c r="H344" s="8"/>
      <c r="I344" s="8" t="s">
        <v>1197</v>
      </c>
      <c r="J344" s="8" t="s">
        <v>64</v>
      </c>
      <c r="K344" s="8" t="s">
        <v>1191</v>
      </c>
      <c r="L344" s="8"/>
      <c r="M344" s="8"/>
      <c r="N344" s="8" t="s">
        <v>62</v>
      </c>
      <c r="O344" s="8" t="s">
        <v>63</v>
      </c>
      <c r="P344" s="4" t="n">
        <v>26</v>
      </c>
      <c r="Q344" s="8"/>
      <c r="R344" s="4" t="s">
        <v>1198</v>
      </c>
      <c r="S344" s="4"/>
    </row>
    <row r="345" customFormat="false" ht="15" hidden="false" customHeight="false" outlineLevel="0" collapsed="false">
      <c r="A345" s="4" t="s">
        <v>1199</v>
      </c>
      <c r="B345" s="8" t="s">
        <v>1200</v>
      </c>
      <c r="C345" s="8" t="s">
        <v>58</v>
      </c>
      <c r="D345" s="8"/>
      <c r="E345" s="8" t="s">
        <v>60</v>
      </c>
      <c r="F345" s="8"/>
      <c r="G345" s="8"/>
      <c r="H345" s="8"/>
      <c r="I345" s="8" t="s">
        <v>1201</v>
      </c>
      <c r="J345" s="8" t="s">
        <v>64</v>
      </c>
      <c r="K345" s="8" t="s">
        <v>1191</v>
      </c>
      <c r="L345" s="8"/>
      <c r="M345" s="8"/>
      <c r="N345" s="8" t="s">
        <v>62</v>
      </c>
      <c r="O345" s="8" t="s">
        <v>63</v>
      </c>
      <c r="P345" s="4" t="n">
        <v>26</v>
      </c>
      <c r="Q345" s="8"/>
      <c r="R345" s="4" t="s">
        <v>1202</v>
      </c>
      <c r="S345" s="4" t="n">
        <v>429</v>
      </c>
    </row>
    <row r="346" customFormat="false" ht="15" hidden="false" customHeight="false" outlineLevel="0" collapsed="false">
      <c r="A346" s="4" t="s">
        <v>1203</v>
      </c>
      <c r="B346" s="8" t="s">
        <v>1204</v>
      </c>
      <c r="C346" s="8"/>
      <c r="D346" s="8"/>
      <c r="E346" s="8"/>
      <c r="F346" s="8"/>
      <c r="G346" s="8"/>
      <c r="H346" s="8"/>
      <c r="I346" s="8" t="s">
        <v>1205</v>
      </c>
      <c r="J346" s="8" t="s">
        <v>64</v>
      </c>
      <c r="K346" s="8" t="s">
        <v>1191</v>
      </c>
      <c r="L346" s="8"/>
      <c r="M346" s="8"/>
      <c r="N346" s="8" t="s">
        <v>62</v>
      </c>
      <c r="O346" s="8" t="s">
        <v>63</v>
      </c>
      <c r="P346" s="4" t="n">
        <v>26</v>
      </c>
      <c r="Q346" s="8"/>
      <c r="R346" s="4" t="s">
        <v>1204</v>
      </c>
      <c r="S346" s="4"/>
    </row>
    <row r="347" customFormat="false" ht="15" hidden="false" customHeight="false" outlineLevel="0" collapsed="false">
      <c r="A347" s="4" t="s">
        <v>1206</v>
      </c>
      <c r="B347" s="8" t="s">
        <v>1207</v>
      </c>
      <c r="C347" s="8"/>
      <c r="D347" s="8"/>
      <c r="E347" s="8"/>
      <c r="F347" s="8"/>
      <c r="G347" s="8"/>
      <c r="H347" s="8"/>
      <c r="I347" s="8" t="s">
        <v>1208</v>
      </c>
      <c r="J347" s="8" t="s">
        <v>64</v>
      </c>
      <c r="K347" s="8" t="s">
        <v>1191</v>
      </c>
      <c r="L347" s="8"/>
      <c r="M347" s="8"/>
      <c r="N347" s="8" t="s">
        <v>62</v>
      </c>
      <c r="O347" s="8" t="s">
        <v>63</v>
      </c>
      <c r="P347" s="4" t="n">
        <v>26</v>
      </c>
      <c r="Q347" s="8"/>
      <c r="R347" s="4" t="s">
        <v>1207</v>
      </c>
      <c r="S347" s="4"/>
    </row>
    <row r="348" customFormat="false" ht="15" hidden="false" customHeight="false" outlineLevel="0" collapsed="false">
      <c r="A348" s="4" t="s">
        <v>1209</v>
      </c>
      <c r="B348" s="8" t="s">
        <v>1210</v>
      </c>
      <c r="C348" s="8" t="s">
        <v>58</v>
      </c>
      <c r="D348" s="8"/>
      <c r="E348" s="8" t="s">
        <v>60</v>
      </c>
      <c r="F348" s="8"/>
      <c r="G348" s="8"/>
      <c r="H348" s="8"/>
      <c r="I348" s="8" t="s">
        <v>1211</v>
      </c>
      <c r="J348" s="8" t="s">
        <v>64</v>
      </c>
      <c r="K348" s="8" t="s">
        <v>1191</v>
      </c>
      <c r="L348" s="8"/>
      <c r="M348" s="8"/>
      <c r="N348" s="8" t="s">
        <v>62</v>
      </c>
      <c r="O348" s="8" t="s">
        <v>63</v>
      </c>
      <c r="P348" s="4" t="n">
        <v>26</v>
      </c>
      <c r="Q348" s="8"/>
      <c r="R348" s="4" t="s">
        <v>1212</v>
      </c>
      <c r="S348" s="4"/>
    </row>
    <row r="349" customFormat="false" ht="15" hidden="false" customHeight="false" outlineLevel="0" collapsed="false">
      <c r="A349" s="4" t="s">
        <v>1213</v>
      </c>
      <c r="B349" s="8" t="s">
        <v>1214</v>
      </c>
      <c r="C349" s="8" t="s">
        <v>58</v>
      </c>
      <c r="D349" s="8"/>
      <c r="E349" s="8" t="s">
        <v>60</v>
      </c>
      <c r="F349" s="8"/>
      <c r="G349" s="8"/>
      <c r="H349" s="8"/>
      <c r="I349" s="8" t="s">
        <v>1215</v>
      </c>
      <c r="J349" s="8" t="s">
        <v>64</v>
      </c>
      <c r="K349" s="8" t="s">
        <v>1191</v>
      </c>
      <c r="L349" s="8"/>
      <c r="M349" s="8"/>
      <c r="N349" s="8" t="s">
        <v>62</v>
      </c>
      <c r="O349" s="8" t="s">
        <v>63</v>
      </c>
      <c r="P349" s="4" t="n">
        <v>26</v>
      </c>
      <c r="Q349" s="8"/>
      <c r="R349" s="4" t="s">
        <v>1216</v>
      </c>
      <c r="S349" s="4" t="n">
        <v>366</v>
      </c>
    </row>
    <row r="350" customFormat="false" ht="15" hidden="false" customHeight="false" outlineLevel="0" collapsed="false">
      <c r="A350" s="4" t="s">
        <v>1217</v>
      </c>
      <c r="B350" s="8" t="s">
        <v>1218</v>
      </c>
      <c r="C350" s="8" t="s">
        <v>58</v>
      </c>
      <c r="D350" s="8"/>
      <c r="E350" s="8" t="s">
        <v>60</v>
      </c>
      <c r="F350" s="8"/>
      <c r="G350" s="8"/>
      <c r="H350" s="8"/>
      <c r="I350" s="8" t="s">
        <v>1219</v>
      </c>
      <c r="J350" s="8" t="s">
        <v>64</v>
      </c>
      <c r="K350" s="8" t="s">
        <v>1191</v>
      </c>
      <c r="L350" s="8"/>
      <c r="M350" s="8"/>
      <c r="N350" s="8" t="s">
        <v>62</v>
      </c>
      <c r="O350" s="8" t="s">
        <v>63</v>
      </c>
      <c r="P350" s="4" t="n">
        <v>26</v>
      </c>
      <c r="Q350" s="8"/>
      <c r="R350" s="4" t="s">
        <v>1220</v>
      </c>
      <c r="S350" s="4" t="n">
        <v>137</v>
      </c>
    </row>
    <row r="351" customFormat="false" ht="15" hidden="false" customHeight="false" outlineLevel="0" collapsed="false">
      <c r="A351" s="4" t="s">
        <v>1221</v>
      </c>
      <c r="B351" s="8" t="s">
        <v>1222</v>
      </c>
      <c r="C351" s="8"/>
      <c r="D351" s="8"/>
      <c r="E351" s="8"/>
      <c r="F351" s="8"/>
      <c r="G351" s="8"/>
      <c r="H351" s="8"/>
      <c r="I351" s="8" t="s">
        <v>1223</v>
      </c>
      <c r="J351" s="8" t="s">
        <v>64</v>
      </c>
      <c r="K351" s="8" t="s">
        <v>1191</v>
      </c>
      <c r="L351" s="8"/>
      <c r="M351" s="8"/>
      <c r="N351" s="8" t="s">
        <v>62</v>
      </c>
      <c r="O351" s="8" t="s">
        <v>63</v>
      </c>
      <c r="P351" s="4" t="n">
        <v>26</v>
      </c>
      <c r="Q351" s="8"/>
      <c r="R351" s="4" t="s">
        <v>1222</v>
      </c>
      <c r="S351" s="4" t="n">
        <v>55</v>
      </c>
    </row>
    <row r="352" customFormat="false" ht="15" hidden="false" customHeight="false" outlineLevel="0" collapsed="false">
      <c r="A352" s="4" t="s">
        <v>1224</v>
      </c>
      <c r="B352" s="8" t="s">
        <v>1225</v>
      </c>
      <c r="C352" s="8"/>
      <c r="D352" s="8"/>
      <c r="E352" s="8"/>
      <c r="F352" s="8"/>
      <c r="G352" s="8"/>
      <c r="H352" s="8"/>
      <c r="I352" s="8" t="s">
        <v>1226</v>
      </c>
      <c r="J352" s="8" t="s">
        <v>64</v>
      </c>
      <c r="K352" s="8" t="s">
        <v>1191</v>
      </c>
      <c r="L352" s="8"/>
      <c r="M352" s="8"/>
      <c r="N352" s="8" t="s">
        <v>62</v>
      </c>
      <c r="O352" s="8" t="s">
        <v>63</v>
      </c>
      <c r="P352" s="4" t="n">
        <v>26</v>
      </c>
      <c r="Q352" s="8"/>
      <c r="R352" s="4" t="s">
        <v>1225</v>
      </c>
      <c r="S352" s="4" t="n">
        <v>834</v>
      </c>
    </row>
    <row r="353" customFormat="false" ht="15" hidden="false" customHeight="false" outlineLevel="0" collapsed="false">
      <c r="A353" s="4" t="s">
        <v>1227</v>
      </c>
      <c r="B353" s="8" t="s">
        <v>1228</v>
      </c>
      <c r="C353" s="8"/>
      <c r="D353" s="8"/>
      <c r="E353" s="8"/>
      <c r="F353" s="8"/>
      <c r="G353" s="8"/>
      <c r="H353" s="8"/>
      <c r="I353" s="8" t="s">
        <v>1229</v>
      </c>
      <c r="J353" s="8" t="s">
        <v>64</v>
      </c>
      <c r="K353" s="8" t="s">
        <v>1191</v>
      </c>
      <c r="L353" s="8"/>
      <c r="M353" s="8"/>
      <c r="N353" s="8" t="s">
        <v>62</v>
      </c>
      <c r="O353" s="8" t="s">
        <v>63</v>
      </c>
      <c r="P353" s="4" t="n">
        <v>26</v>
      </c>
      <c r="Q353" s="8"/>
      <c r="R353" s="4" t="s">
        <v>1228</v>
      </c>
      <c r="S353" s="4"/>
    </row>
    <row r="354" customFormat="false" ht="15" hidden="false" customHeight="false" outlineLevel="0" collapsed="false">
      <c r="A354" s="4" t="s">
        <v>1230</v>
      </c>
      <c r="B354" s="8" t="s">
        <v>1231</v>
      </c>
      <c r="C354" s="8" t="s">
        <v>58</v>
      </c>
      <c r="D354" s="8"/>
      <c r="E354" s="8" t="s">
        <v>60</v>
      </c>
      <c r="F354" s="8"/>
      <c r="G354" s="8"/>
      <c r="H354" s="8"/>
      <c r="I354" s="8" t="s">
        <v>1232</v>
      </c>
      <c r="J354" s="8" t="s">
        <v>64</v>
      </c>
      <c r="K354" s="8" t="s">
        <v>1191</v>
      </c>
      <c r="L354" s="8"/>
      <c r="M354" s="8"/>
      <c r="N354" s="8" t="s">
        <v>62</v>
      </c>
      <c r="O354" s="8" t="s">
        <v>63</v>
      </c>
      <c r="P354" s="4" t="n">
        <v>26</v>
      </c>
      <c r="Q354" s="8"/>
      <c r="R354" s="4" t="s">
        <v>1233</v>
      </c>
      <c r="S354" s="4" t="n">
        <v>1029</v>
      </c>
    </row>
    <row r="355" customFormat="false" ht="15" hidden="false" customHeight="false" outlineLevel="0" collapsed="false">
      <c r="A355" s="4" t="s">
        <v>1234</v>
      </c>
      <c r="B355" s="8" t="s">
        <v>1235</v>
      </c>
      <c r="C355" s="8" t="s">
        <v>58</v>
      </c>
      <c r="D355" s="8"/>
      <c r="E355" s="8" t="s">
        <v>60</v>
      </c>
      <c r="F355" s="8"/>
      <c r="G355" s="8"/>
      <c r="H355" s="8"/>
      <c r="I355" s="8" t="s">
        <v>1236</v>
      </c>
      <c r="J355" s="8" t="s">
        <v>64</v>
      </c>
      <c r="K355" s="8" t="s">
        <v>1191</v>
      </c>
      <c r="L355" s="8"/>
      <c r="M355" s="8"/>
      <c r="N355" s="8" t="s">
        <v>62</v>
      </c>
      <c r="O355" s="8" t="s">
        <v>63</v>
      </c>
      <c r="P355" s="4" t="n">
        <v>26</v>
      </c>
      <c r="Q355" s="8"/>
      <c r="R355" s="4" t="s">
        <v>1237</v>
      </c>
      <c r="S355" s="4" t="n">
        <v>3838</v>
      </c>
    </row>
    <row r="356" customFormat="false" ht="15" hidden="false" customHeight="false" outlineLevel="0" collapsed="false">
      <c r="A356" s="4" t="s">
        <v>1238</v>
      </c>
      <c r="B356" s="8" t="s">
        <v>1239</v>
      </c>
      <c r="C356" s="8"/>
      <c r="D356" s="8"/>
      <c r="E356" s="8"/>
      <c r="F356" s="8"/>
      <c r="G356" s="8"/>
      <c r="H356" s="8"/>
      <c r="I356" s="8" t="s">
        <v>1240</v>
      </c>
      <c r="J356" s="8" t="s">
        <v>64</v>
      </c>
      <c r="K356" s="8" t="s">
        <v>1191</v>
      </c>
      <c r="L356" s="8"/>
      <c r="M356" s="8"/>
      <c r="N356" s="8" t="s">
        <v>62</v>
      </c>
      <c r="O356" s="8" t="s">
        <v>63</v>
      </c>
      <c r="P356" s="4" t="n">
        <v>26</v>
      </c>
      <c r="Q356" s="8"/>
      <c r="R356" s="4" t="s">
        <v>1239</v>
      </c>
      <c r="S356" s="4"/>
    </row>
    <row r="357" customFormat="false" ht="15" hidden="false" customHeight="false" outlineLevel="0" collapsed="false">
      <c r="A357" s="4" t="s">
        <v>1241</v>
      </c>
      <c r="B357" s="8" t="s">
        <v>1242</v>
      </c>
      <c r="C357" s="8"/>
      <c r="D357" s="8"/>
      <c r="E357" s="8"/>
      <c r="F357" s="8"/>
      <c r="G357" s="8"/>
      <c r="H357" s="8"/>
      <c r="I357" s="8" t="s">
        <v>1243</v>
      </c>
      <c r="J357" s="8" t="s">
        <v>64</v>
      </c>
      <c r="K357" s="8" t="s">
        <v>1191</v>
      </c>
      <c r="L357" s="8"/>
      <c r="M357" s="8"/>
      <c r="N357" s="8" t="s">
        <v>62</v>
      </c>
      <c r="O357" s="8" t="s">
        <v>63</v>
      </c>
      <c r="P357" s="4" t="n">
        <v>26</v>
      </c>
      <c r="Q357" s="8"/>
      <c r="R357" s="4" t="s">
        <v>1242</v>
      </c>
      <c r="S357" s="4" t="n">
        <v>85</v>
      </c>
    </row>
    <row r="358" customFormat="false" ht="15" hidden="false" customHeight="false" outlineLevel="0" collapsed="false">
      <c r="A358" s="4" t="s">
        <v>1244</v>
      </c>
      <c r="B358" s="8" t="s">
        <v>1245</v>
      </c>
      <c r="C358" s="8"/>
      <c r="D358" s="8"/>
      <c r="E358" s="8"/>
      <c r="F358" s="8"/>
      <c r="G358" s="8"/>
      <c r="H358" s="8"/>
      <c r="I358" s="8" t="s">
        <v>1246</v>
      </c>
      <c r="J358" s="8" t="s">
        <v>64</v>
      </c>
      <c r="K358" s="8" t="s">
        <v>1191</v>
      </c>
      <c r="L358" s="8"/>
      <c r="M358" s="8"/>
      <c r="N358" s="8" t="s">
        <v>62</v>
      </c>
      <c r="O358" s="8" t="s">
        <v>63</v>
      </c>
      <c r="P358" s="4" t="n">
        <v>26</v>
      </c>
      <c r="Q358" s="8"/>
      <c r="R358" s="4" t="s">
        <v>1245</v>
      </c>
      <c r="S358" s="4" t="n">
        <v>139</v>
      </c>
    </row>
    <row r="359" customFormat="false" ht="15" hidden="false" customHeight="false" outlineLevel="0" collapsed="false">
      <c r="A359" s="4" t="s">
        <v>1247</v>
      </c>
      <c r="B359" s="8" t="s">
        <v>1248</v>
      </c>
      <c r="C359" s="8"/>
      <c r="D359" s="8"/>
      <c r="E359" s="8"/>
      <c r="F359" s="8"/>
      <c r="G359" s="8"/>
      <c r="H359" s="8"/>
      <c r="I359" s="8" t="s">
        <v>1249</v>
      </c>
      <c r="J359" s="8" t="s">
        <v>64</v>
      </c>
      <c r="K359" s="8" t="s">
        <v>1191</v>
      </c>
      <c r="L359" s="8"/>
      <c r="M359" s="8"/>
      <c r="N359" s="8" t="s">
        <v>62</v>
      </c>
      <c r="O359" s="8" t="s">
        <v>63</v>
      </c>
      <c r="P359" s="4" t="n">
        <v>26</v>
      </c>
      <c r="Q359" s="8"/>
      <c r="R359" s="4" t="s">
        <v>1248</v>
      </c>
      <c r="S359" s="4" t="n">
        <v>250</v>
      </c>
    </row>
    <row r="360" customFormat="false" ht="15" hidden="false" customHeight="false" outlineLevel="0" collapsed="false">
      <c r="A360" s="4" t="s">
        <v>1250</v>
      </c>
      <c r="B360" s="8" t="s">
        <v>1251</v>
      </c>
      <c r="C360" s="8"/>
      <c r="D360" s="8"/>
      <c r="E360" s="8"/>
      <c r="F360" s="8"/>
      <c r="G360" s="8"/>
      <c r="H360" s="8"/>
      <c r="I360" s="8" t="s">
        <v>1252</v>
      </c>
      <c r="J360" s="8" t="s">
        <v>64</v>
      </c>
      <c r="K360" s="8" t="s">
        <v>1191</v>
      </c>
      <c r="L360" s="8"/>
      <c r="M360" s="8"/>
      <c r="N360" s="8" t="s">
        <v>62</v>
      </c>
      <c r="O360" s="8" t="s">
        <v>63</v>
      </c>
      <c r="P360" s="4" t="n">
        <v>26</v>
      </c>
      <c r="Q360" s="8"/>
      <c r="R360" s="4" t="s">
        <v>1251</v>
      </c>
      <c r="S360" s="4" t="n">
        <v>637</v>
      </c>
    </row>
    <row r="361" customFormat="false" ht="15" hidden="false" customHeight="false" outlineLevel="0" collapsed="false">
      <c r="A361" s="4" t="s">
        <v>1253</v>
      </c>
      <c r="B361" s="8" t="s">
        <v>1254</v>
      </c>
      <c r="C361" s="8" t="s">
        <v>58</v>
      </c>
      <c r="D361" s="8"/>
      <c r="E361" s="8" t="s">
        <v>60</v>
      </c>
      <c r="F361" s="8"/>
      <c r="G361" s="8"/>
      <c r="H361" s="8"/>
      <c r="I361" s="8" t="s">
        <v>511</v>
      </c>
      <c r="J361" s="8" t="s">
        <v>64</v>
      </c>
      <c r="K361" s="8" t="s">
        <v>1191</v>
      </c>
      <c r="L361" s="8"/>
      <c r="M361" s="8"/>
      <c r="N361" s="8" t="s">
        <v>62</v>
      </c>
      <c r="O361" s="8" t="s">
        <v>63</v>
      </c>
      <c r="P361" s="4" t="n">
        <v>26</v>
      </c>
      <c r="Q361" s="8"/>
      <c r="R361" s="4" t="s">
        <v>1255</v>
      </c>
      <c r="S361" s="4"/>
    </row>
    <row r="362" customFormat="false" ht="15" hidden="false" customHeight="false" outlineLevel="0" collapsed="false">
      <c r="A362" s="4" t="s">
        <v>1256</v>
      </c>
      <c r="B362" s="8" t="s">
        <v>1257</v>
      </c>
      <c r="C362" s="8"/>
      <c r="D362" s="8"/>
      <c r="E362" s="8"/>
      <c r="F362" s="8"/>
      <c r="G362" s="8"/>
      <c r="H362" s="8"/>
      <c r="I362" s="8" t="s">
        <v>1258</v>
      </c>
      <c r="J362" s="8" t="s">
        <v>64</v>
      </c>
      <c r="K362" s="8" t="s">
        <v>1191</v>
      </c>
      <c r="L362" s="8"/>
      <c r="M362" s="8"/>
      <c r="N362" s="8" t="s">
        <v>62</v>
      </c>
      <c r="O362" s="8" t="s">
        <v>63</v>
      </c>
      <c r="P362" s="4" t="n">
        <v>26</v>
      </c>
      <c r="Q362" s="8"/>
      <c r="R362" s="4" t="s">
        <v>1257</v>
      </c>
      <c r="S362" s="4"/>
    </row>
    <row r="363" customFormat="false" ht="15" hidden="false" customHeight="false" outlineLevel="0" collapsed="false">
      <c r="A363" s="4" t="s">
        <v>1259</v>
      </c>
      <c r="B363" s="8" t="s">
        <v>1260</v>
      </c>
      <c r="C363" s="8"/>
      <c r="D363" s="8"/>
      <c r="E363" s="8"/>
      <c r="F363" s="8"/>
      <c r="G363" s="8"/>
      <c r="H363" s="8"/>
      <c r="I363" s="8" t="s">
        <v>1261</v>
      </c>
      <c r="J363" s="8" t="s">
        <v>64</v>
      </c>
      <c r="K363" s="8" t="s">
        <v>1191</v>
      </c>
      <c r="L363" s="8"/>
      <c r="M363" s="8"/>
      <c r="N363" s="8" t="s">
        <v>62</v>
      </c>
      <c r="O363" s="8" t="s">
        <v>63</v>
      </c>
      <c r="P363" s="4" t="n">
        <v>26</v>
      </c>
      <c r="Q363" s="8"/>
      <c r="R363" s="4" t="s">
        <v>1260</v>
      </c>
      <c r="S363" s="4" t="n">
        <v>543</v>
      </c>
    </row>
    <row r="364" customFormat="false" ht="15" hidden="false" customHeight="false" outlineLevel="0" collapsed="false">
      <c r="A364" s="4" t="s">
        <v>1262</v>
      </c>
      <c r="B364" s="8" t="s">
        <v>1263</v>
      </c>
      <c r="C364" s="8"/>
      <c r="D364" s="8"/>
      <c r="E364" s="8"/>
      <c r="F364" s="8"/>
      <c r="G364" s="8"/>
      <c r="H364" s="8"/>
      <c r="I364" s="8" t="s">
        <v>1264</v>
      </c>
      <c r="J364" s="8" t="s">
        <v>64</v>
      </c>
      <c r="K364" s="8" t="s">
        <v>1191</v>
      </c>
      <c r="L364" s="8"/>
      <c r="M364" s="8"/>
      <c r="N364" s="8" t="s">
        <v>62</v>
      </c>
      <c r="O364" s="8" t="s">
        <v>63</v>
      </c>
      <c r="P364" s="4" t="n">
        <v>26</v>
      </c>
      <c r="Q364" s="8"/>
      <c r="R364" s="4" t="s">
        <v>1263</v>
      </c>
      <c r="S364" s="4" t="n">
        <v>306</v>
      </c>
    </row>
    <row r="365" customFormat="false" ht="15" hidden="false" customHeight="false" outlineLevel="0" collapsed="false">
      <c r="A365" s="4" t="s">
        <v>1265</v>
      </c>
      <c r="B365" s="8" t="s">
        <v>781</v>
      </c>
      <c r="C365" s="8"/>
      <c r="D365" s="8"/>
      <c r="E365" s="8"/>
      <c r="F365" s="8"/>
      <c r="G365" s="8"/>
      <c r="H365" s="8"/>
      <c r="I365" s="8" t="s">
        <v>782</v>
      </c>
      <c r="J365" s="8" t="s">
        <v>64</v>
      </c>
      <c r="K365" s="8" t="s">
        <v>1191</v>
      </c>
      <c r="L365" s="8"/>
      <c r="M365" s="8"/>
      <c r="N365" s="8" t="s">
        <v>62</v>
      </c>
      <c r="O365" s="8" t="s">
        <v>63</v>
      </c>
      <c r="P365" s="4" t="n">
        <v>26</v>
      </c>
      <c r="Q365" s="8"/>
      <c r="R365" s="4" t="s">
        <v>781</v>
      </c>
      <c r="S365" s="4"/>
    </row>
    <row r="366" customFormat="false" ht="15" hidden="false" customHeight="false" outlineLevel="0" collapsed="false">
      <c r="A366" s="4" t="s">
        <v>1266</v>
      </c>
      <c r="B366" s="8" t="s">
        <v>1267</v>
      </c>
      <c r="C366" s="8" t="s">
        <v>58</v>
      </c>
      <c r="D366" s="8"/>
      <c r="E366" s="8" t="s">
        <v>60</v>
      </c>
      <c r="F366" s="8"/>
      <c r="G366" s="8"/>
      <c r="H366" s="8"/>
      <c r="I366" s="8" t="s">
        <v>1268</v>
      </c>
      <c r="J366" s="8" t="s">
        <v>64</v>
      </c>
      <c r="K366" s="8" t="s">
        <v>1191</v>
      </c>
      <c r="L366" s="8"/>
      <c r="M366" s="8"/>
      <c r="N366" s="8" t="s">
        <v>62</v>
      </c>
      <c r="O366" s="8" t="s">
        <v>63</v>
      </c>
      <c r="P366" s="4" t="n">
        <v>26</v>
      </c>
      <c r="Q366" s="8"/>
      <c r="R366" s="4" t="s">
        <v>1269</v>
      </c>
      <c r="S366" s="4"/>
    </row>
    <row r="367" customFormat="false" ht="15" hidden="false" customHeight="false" outlineLevel="0" collapsed="false">
      <c r="A367" s="4" t="s">
        <v>1270</v>
      </c>
      <c r="B367" s="8" t="s">
        <v>1271</v>
      </c>
      <c r="C367" s="8"/>
      <c r="D367" s="8"/>
      <c r="E367" s="8"/>
      <c r="F367" s="8"/>
      <c r="G367" s="8"/>
      <c r="H367" s="8"/>
      <c r="I367" s="8" t="s">
        <v>1272</v>
      </c>
      <c r="J367" s="8" t="s">
        <v>64</v>
      </c>
      <c r="K367" s="8" t="s">
        <v>1191</v>
      </c>
      <c r="L367" s="8"/>
      <c r="M367" s="8"/>
      <c r="N367" s="8" t="s">
        <v>62</v>
      </c>
      <c r="O367" s="8" t="s">
        <v>63</v>
      </c>
      <c r="P367" s="4" t="n">
        <v>26</v>
      </c>
      <c r="Q367" s="8"/>
      <c r="R367" s="4" t="s">
        <v>1271</v>
      </c>
      <c r="S367" s="4" t="n">
        <v>959</v>
      </c>
    </row>
    <row r="368" customFormat="false" ht="15" hidden="false" customHeight="false" outlineLevel="0" collapsed="false">
      <c r="A368" s="4" t="s">
        <v>1273</v>
      </c>
      <c r="B368" s="8" t="s">
        <v>1274</v>
      </c>
      <c r="C368" s="8"/>
      <c r="D368" s="8"/>
      <c r="E368" s="8"/>
      <c r="F368" s="8"/>
      <c r="G368" s="8"/>
      <c r="H368" s="8"/>
      <c r="I368" s="8" t="s">
        <v>1275</v>
      </c>
      <c r="J368" s="8" t="s">
        <v>64</v>
      </c>
      <c r="K368" s="8" t="s">
        <v>1191</v>
      </c>
      <c r="L368" s="8"/>
      <c r="M368" s="8"/>
      <c r="N368" s="8" t="s">
        <v>62</v>
      </c>
      <c r="O368" s="8" t="s">
        <v>63</v>
      </c>
      <c r="P368" s="4" t="n">
        <v>26</v>
      </c>
      <c r="Q368" s="8"/>
      <c r="R368" s="4" t="s">
        <v>1274</v>
      </c>
      <c r="S368" s="4" t="n">
        <v>163</v>
      </c>
    </row>
    <row r="369" customFormat="false" ht="15" hidden="false" customHeight="false" outlineLevel="0" collapsed="false">
      <c r="A369" s="4" t="s">
        <v>1276</v>
      </c>
      <c r="B369" s="8" t="s">
        <v>1277</v>
      </c>
      <c r="C369" s="8"/>
      <c r="D369" s="8"/>
      <c r="E369" s="8"/>
      <c r="F369" s="8"/>
      <c r="G369" s="8"/>
      <c r="H369" s="8"/>
      <c r="I369" s="8" t="s">
        <v>1278</v>
      </c>
      <c r="J369" s="8" t="s">
        <v>64</v>
      </c>
      <c r="K369" s="8" t="s">
        <v>1191</v>
      </c>
      <c r="L369" s="8"/>
      <c r="M369" s="8"/>
      <c r="N369" s="8" t="s">
        <v>62</v>
      </c>
      <c r="O369" s="8" t="s">
        <v>63</v>
      </c>
      <c r="P369" s="4" t="n">
        <v>26</v>
      </c>
      <c r="Q369" s="8"/>
      <c r="R369" s="4" t="s">
        <v>1277</v>
      </c>
      <c r="S369" s="4"/>
    </row>
    <row r="370" customFormat="false" ht="15" hidden="false" customHeight="false" outlineLevel="0" collapsed="false">
      <c r="A370" s="4" t="s">
        <v>1279</v>
      </c>
      <c r="B370" s="8" t="s">
        <v>1280</v>
      </c>
      <c r="C370" s="8"/>
      <c r="D370" s="8"/>
      <c r="E370" s="8"/>
      <c r="F370" s="8"/>
      <c r="G370" s="8"/>
      <c r="H370" s="8"/>
      <c r="I370" s="8" t="s">
        <v>1281</v>
      </c>
      <c r="J370" s="8" t="s">
        <v>64</v>
      </c>
      <c r="K370" s="8" t="s">
        <v>1191</v>
      </c>
      <c r="L370" s="8"/>
      <c r="M370" s="8"/>
      <c r="N370" s="8" t="s">
        <v>62</v>
      </c>
      <c r="O370" s="8" t="s">
        <v>63</v>
      </c>
      <c r="P370" s="4" t="n">
        <v>26</v>
      </c>
      <c r="Q370" s="8"/>
      <c r="R370" s="4" t="s">
        <v>1280</v>
      </c>
      <c r="S370" s="4"/>
    </row>
    <row r="371" customFormat="false" ht="15" hidden="false" customHeight="false" outlineLevel="0" collapsed="false">
      <c r="A371" s="4" t="s">
        <v>1282</v>
      </c>
      <c r="B371" s="8" t="s">
        <v>1283</v>
      </c>
      <c r="C371" s="8" t="s">
        <v>58</v>
      </c>
      <c r="D371" s="8"/>
      <c r="E371" s="8" t="s">
        <v>60</v>
      </c>
      <c r="F371" s="8"/>
      <c r="G371" s="8"/>
      <c r="H371" s="8"/>
      <c r="I371" s="8" t="s">
        <v>1284</v>
      </c>
      <c r="J371" s="8" t="s">
        <v>64</v>
      </c>
      <c r="K371" s="8" t="s">
        <v>1191</v>
      </c>
      <c r="L371" s="8"/>
      <c r="M371" s="8"/>
      <c r="N371" s="8" t="s">
        <v>62</v>
      </c>
      <c r="O371" s="8" t="s">
        <v>63</v>
      </c>
      <c r="P371" s="4" t="n">
        <v>26</v>
      </c>
      <c r="Q371" s="8"/>
      <c r="R371" s="4" t="s">
        <v>1285</v>
      </c>
      <c r="S371" s="4" t="n">
        <v>1857</v>
      </c>
    </row>
    <row r="372" customFormat="false" ht="15" hidden="false" customHeight="false" outlineLevel="0" collapsed="false">
      <c r="A372" s="4" t="s">
        <v>1286</v>
      </c>
      <c r="B372" s="8" t="s">
        <v>1287</v>
      </c>
      <c r="C372" s="8" t="s">
        <v>58</v>
      </c>
      <c r="D372" s="8"/>
      <c r="E372" s="8" t="s">
        <v>60</v>
      </c>
      <c r="F372" s="8"/>
      <c r="G372" s="8"/>
      <c r="H372" s="8"/>
      <c r="I372" s="8" t="s">
        <v>1288</v>
      </c>
      <c r="J372" s="8" t="s">
        <v>64</v>
      </c>
      <c r="K372" s="8" t="s">
        <v>1191</v>
      </c>
      <c r="L372" s="8"/>
      <c r="M372" s="8"/>
      <c r="N372" s="8" t="s">
        <v>62</v>
      </c>
      <c r="O372" s="8" t="s">
        <v>63</v>
      </c>
      <c r="P372" s="4" t="n">
        <v>26</v>
      </c>
      <c r="Q372" s="8"/>
      <c r="R372" s="4" t="s">
        <v>1289</v>
      </c>
      <c r="S372" s="4"/>
    </row>
    <row r="373" customFormat="false" ht="15" hidden="false" customHeight="false" outlineLevel="0" collapsed="false">
      <c r="A373" s="4" t="s">
        <v>1290</v>
      </c>
      <c r="B373" s="8" t="s">
        <v>1291</v>
      </c>
      <c r="C373" s="8" t="s">
        <v>58</v>
      </c>
      <c r="D373" s="8"/>
      <c r="E373" s="8" t="s">
        <v>60</v>
      </c>
      <c r="F373" s="8"/>
      <c r="G373" s="8"/>
      <c r="H373" s="8"/>
      <c r="I373" s="8" t="s">
        <v>1292</v>
      </c>
      <c r="J373" s="8" t="s">
        <v>64</v>
      </c>
      <c r="K373" s="8" t="s">
        <v>1191</v>
      </c>
      <c r="L373" s="8"/>
      <c r="M373" s="8"/>
      <c r="N373" s="8" t="s">
        <v>62</v>
      </c>
      <c r="O373" s="8" t="s">
        <v>63</v>
      </c>
      <c r="P373" s="4" t="n">
        <v>26</v>
      </c>
      <c r="Q373" s="8"/>
      <c r="R373" s="4" t="s">
        <v>1293</v>
      </c>
      <c r="S373" s="4" t="n">
        <v>889</v>
      </c>
    </row>
    <row r="374" customFormat="false" ht="15" hidden="false" customHeight="false" outlineLevel="0" collapsed="false">
      <c r="A374" s="4" t="s">
        <v>1294</v>
      </c>
      <c r="B374" s="8" t="s">
        <v>1295</v>
      </c>
      <c r="C374" s="8" t="s">
        <v>58</v>
      </c>
      <c r="D374" s="8"/>
      <c r="E374" s="8" t="s">
        <v>60</v>
      </c>
      <c r="F374" s="8"/>
      <c r="G374" s="8"/>
      <c r="H374" s="8"/>
      <c r="I374" s="8" t="s">
        <v>1296</v>
      </c>
      <c r="J374" s="8" t="s">
        <v>64</v>
      </c>
      <c r="K374" s="8" t="s">
        <v>1191</v>
      </c>
      <c r="L374" s="8"/>
      <c r="M374" s="8"/>
      <c r="N374" s="8" t="s">
        <v>62</v>
      </c>
      <c r="O374" s="8" t="s">
        <v>63</v>
      </c>
      <c r="P374" s="4" t="n">
        <v>26</v>
      </c>
      <c r="Q374" s="8"/>
      <c r="R374" s="4" t="s">
        <v>1297</v>
      </c>
      <c r="S374" s="4"/>
    </row>
    <row r="375" customFormat="false" ht="15" hidden="false" customHeight="false" outlineLevel="0" collapsed="false">
      <c r="A375" s="4" t="s">
        <v>1298</v>
      </c>
      <c r="B375" s="8" t="s">
        <v>1299</v>
      </c>
      <c r="C375" s="8" t="s">
        <v>58</v>
      </c>
      <c r="D375" s="8"/>
      <c r="E375" s="8" t="s">
        <v>60</v>
      </c>
      <c r="F375" s="8"/>
      <c r="G375" s="8"/>
      <c r="H375" s="8"/>
      <c r="I375" s="8" t="s">
        <v>1300</v>
      </c>
      <c r="J375" s="8" t="s">
        <v>64</v>
      </c>
      <c r="K375" s="8" t="s">
        <v>1191</v>
      </c>
      <c r="L375" s="8"/>
      <c r="M375" s="8"/>
      <c r="N375" s="8" t="s">
        <v>62</v>
      </c>
      <c r="O375" s="8" t="s">
        <v>63</v>
      </c>
      <c r="P375" s="4" t="n">
        <v>26</v>
      </c>
      <c r="Q375" s="8"/>
      <c r="R375" s="4" t="s">
        <v>1301</v>
      </c>
      <c r="S375" s="4"/>
    </row>
    <row r="376" customFormat="false" ht="15" hidden="false" customHeight="false" outlineLevel="0" collapsed="false">
      <c r="A376" s="4" t="s">
        <v>1302</v>
      </c>
      <c r="B376" s="8" t="s">
        <v>1303</v>
      </c>
      <c r="C376" s="8" t="s">
        <v>58</v>
      </c>
      <c r="D376" s="8"/>
      <c r="E376" s="8" t="s">
        <v>60</v>
      </c>
      <c r="F376" s="8"/>
      <c r="G376" s="8"/>
      <c r="H376" s="8"/>
      <c r="I376" s="8" t="s">
        <v>1304</v>
      </c>
      <c r="J376" s="8" t="s">
        <v>64</v>
      </c>
      <c r="K376" s="8" t="s">
        <v>1191</v>
      </c>
      <c r="L376" s="8"/>
      <c r="M376" s="8"/>
      <c r="N376" s="8" t="s">
        <v>62</v>
      </c>
      <c r="O376" s="8" t="s">
        <v>63</v>
      </c>
      <c r="P376" s="4" t="n">
        <v>26</v>
      </c>
      <c r="Q376" s="8"/>
      <c r="R376" s="4" t="s">
        <v>1305</v>
      </c>
      <c r="S376" s="4"/>
    </row>
    <row r="377" customFormat="false" ht="15" hidden="false" customHeight="false" outlineLevel="0" collapsed="false">
      <c r="A377" s="4" t="s">
        <v>1306</v>
      </c>
      <c r="B377" s="8" t="s">
        <v>1307</v>
      </c>
      <c r="C377" s="8" t="s">
        <v>58</v>
      </c>
      <c r="D377" s="8"/>
      <c r="E377" s="8" t="s">
        <v>60</v>
      </c>
      <c r="F377" s="8"/>
      <c r="G377" s="8"/>
      <c r="H377" s="8"/>
      <c r="I377" s="8" t="s">
        <v>1308</v>
      </c>
      <c r="J377" s="8" t="s">
        <v>64</v>
      </c>
      <c r="K377" s="8" t="s">
        <v>1191</v>
      </c>
      <c r="L377" s="8"/>
      <c r="M377" s="8"/>
      <c r="N377" s="8" t="s">
        <v>62</v>
      </c>
      <c r="O377" s="8" t="s">
        <v>63</v>
      </c>
      <c r="P377" s="4" t="n">
        <v>26</v>
      </c>
      <c r="Q377" s="8"/>
      <c r="R377" s="4" t="s">
        <v>1309</v>
      </c>
      <c r="S377" s="4"/>
    </row>
    <row r="378" customFormat="false" ht="15" hidden="false" customHeight="false" outlineLevel="0" collapsed="false">
      <c r="A378" s="4" t="s">
        <v>1310</v>
      </c>
      <c r="B378" s="8" t="s">
        <v>691</v>
      </c>
      <c r="C378" s="8"/>
      <c r="D378" s="8"/>
      <c r="E378" s="8"/>
      <c r="F378" s="8"/>
      <c r="G378" s="8"/>
      <c r="H378" s="8"/>
      <c r="I378" s="8" t="s">
        <v>693</v>
      </c>
      <c r="J378" s="8" t="s">
        <v>64</v>
      </c>
      <c r="K378" s="8" t="s">
        <v>1191</v>
      </c>
      <c r="L378" s="8"/>
      <c r="M378" s="8"/>
      <c r="N378" s="8" t="s">
        <v>62</v>
      </c>
      <c r="O378" s="8" t="s">
        <v>63</v>
      </c>
      <c r="P378" s="4" t="n">
        <v>26</v>
      </c>
      <c r="Q378" s="8"/>
      <c r="R378" s="4" t="s">
        <v>691</v>
      </c>
      <c r="S378" s="4"/>
    </row>
    <row r="379" customFormat="false" ht="15" hidden="false" customHeight="false" outlineLevel="0" collapsed="false">
      <c r="A379" s="4" t="s">
        <v>1311</v>
      </c>
      <c r="B379" s="8" t="s">
        <v>1312</v>
      </c>
      <c r="C379" s="8" t="s">
        <v>58</v>
      </c>
      <c r="D379" s="8"/>
      <c r="E379" s="8" t="s">
        <v>60</v>
      </c>
      <c r="F379" s="8"/>
      <c r="G379" s="8"/>
      <c r="H379" s="8"/>
      <c r="I379" s="8" t="s">
        <v>1313</v>
      </c>
      <c r="J379" s="8" t="s">
        <v>64</v>
      </c>
      <c r="K379" s="8" t="s">
        <v>1191</v>
      </c>
      <c r="L379" s="8"/>
      <c r="M379" s="8"/>
      <c r="N379" s="8" t="s">
        <v>62</v>
      </c>
      <c r="O379" s="8" t="s">
        <v>63</v>
      </c>
      <c r="P379" s="4" t="n">
        <v>26</v>
      </c>
      <c r="Q379" s="8"/>
      <c r="R379" s="4" t="s">
        <v>1314</v>
      </c>
      <c r="S379" s="4"/>
    </row>
    <row r="380" customFormat="false" ht="15" hidden="false" customHeight="false" outlineLevel="0" collapsed="false">
      <c r="A380" s="4" t="s">
        <v>1315</v>
      </c>
      <c r="B380" s="8" t="s">
        <v>1316</v>
      </c>
      <c r="C380" s="8" t="s">
        <v>58</v>
      </c>
      <c r="D380" s="8"/>
      <c r="E380" s="8" t="s">
        <v>60</v>
      </c>
      <c r="F380" s="8"/>
      <c r="G380" s="8"/>
      <c r="H380" s="8"/>
      <c r="I380" s="8" t="s">
        <v>1317</v>
      </c>
      <c r="J380" s="8" t="s">
        <v>64</v>
      </c>
      <c r="K380" s="8" t="s">
        <v>1191</v>
      </c>
      <c r="L380" s="8"/>
      <c r="M380" s="8"/>
      <c r="N380" s="8" t="s">
        <v>62</v>
      </c>
      <c r="O380" s="8" t="s">
        <v>63</v>
      </c>
      <c r="P380" s="4" t="n">
        <v>26</v>
      </c>
      <c r="Q380" s="8"/>
      <c r="R380" s="4" t="s">
        <v>1318</v>
      </c>
      <c r="S380" s="4"/>
    </row>
    <row r="381" customFormat="false" ht="15" hidden="false" customHeight="false" outlineLevel="0" collapsed="false">
      <c r="A381" s="4" t="s">
        <v>1319</v>
      </c>
      <c r="B381" s="8" t="s">
        <v>1320</v>
      </c>
      <c r="C381" s="8" t="s">
        <v>58</v>
      </c>
      <c r="D381" s="8"/>
      <c r="E381" s="8" t="s">
        <v>60</v>
      </c>
      <c r="F381" s="8"/>
      <c r="G381" s="8"/>
      <c r="H381" s="8"/>
      <c r="I381" s="8" t="s">
        <v>1321</v>
      </c>
      <c r="J381" s="8" t="s">
        <v>64</v>
      </c>
      <c r="K381" s="8" t="s">
        <v>1191</v>
      </c>
      <c r="L381" s="8"/>
      <c r="M381" s="8"/>
      <c r="N381" s="8" t="s">
        <v>62</v>
      </c>
      <c r="O381" s="8" t="s">
        <v>63</v>
      </c>
      <c r="P381" s="4" t="n">
        <v>26</v>
      </c>
      <c r="Q381" s="8"/>
      <c r="R381" s="4" t="s">
        <v>1322</v>
      </c>
      <c r="S381" s="4"/>
    </row>
    <row r="382" customFormat="false" ht="15" hidden="false" customHeight="false" outlineLevel="0" collapsed="false">
      <c r="A382" s="4" t="s">
        <v>1323</v>
      </c>
      <c r="B382" s="8" t="s">
        <v>1324</v>
      </c>
      <c r="C382" s="8" t="s">
        <v>58</v>
      </c>
      <c r="D382" s="8"/>
      <c r="E382" s="8" t="s">
        <v>60</v>
      </c>
      <c r="F382" s="8"/>
      <c r="G382" s="8"/>
      <c r="H382" s="8"/>
      <c r="I382" s="8" t="s">
        <v>1325</v>
      </c>
      <c r="J382" s="8" t="s">
        <v>64</v>
      </c>
      <c r="K382" s="8" t="s">
        <v>1191</v>
      </c>
      <c r="L382" s="8"/>
      <c r="M382" s="8"/>
      <c r="N382" s="8" t="s">
        <v>62</v>
      </c>
      <c r="O382" s="8" t="s">
        <v>63</v>
      </c>
      <c r="P382" s="4" t="n">
        <v>26</v>
      </c>
      <c r="Q382" s="8"/>
      <c r="R382" s="4" t="s">
        <v>1326</v>
      </c>
      <c r="S382" s="4"/>
    </row>
    <row r="383" customFormat="false" ht="15" hidden="false" customHeight="false" outlineLevel="0" collapsed="false">
      <c r="A383" s="4" t="s">
        <v>1327</v>
      </c>
      <c r="B383" s="8" t="s">
        <v>1328</v>
      </c>
      <c r="C383" s="8" t="s">
        <v>58</v>
      </c>
      <c r="D383" s="8"/>
      <c r="E383" s="8" t="s">
        <v>60</v>
      </c>
      <c r="F383" s="8"/>
      <c r="G383" s="8"/>
      <c r="H383" s="8"/>
      <c r="I383" s="8" t="s">
        <v>1329</v>
      </c>
      <c r="J383" s="8" t="s">
        <v>64</v>
      </c>
      <c r="K383" s="8" t="s">
        <v>1191</v>
      </c>
      <c r="L383" s="8"/>
      <c r="M383" s="8"/>
      <c r="N383" s="8" t="s">
        <v>62</v>
      </c>
      <c r="O383" s="8" t="s">
        <v>63</v>
      </c>
      <c r="P383" s="4" t="n">
        <v>26</v>
      </c>
      <c r="Q383" s="8"/>
      <c r="R383" s="4" t="s">
        <v>1330</v>
      </c>
      <c r="S383" s="4" t="n">
        <v>6302</v>
      </c>
    </row>
    <row r="384" customFormat="false" ht="15" hidden="false" customHeight="false" outlineLevel="0" collapsed="false">
      <c r="A384" s="4" t="s">
        <v>1331</v>
      </c>
      <c r="B384" s="8" t="s">
        <v>1332</v>
      </c>
      <c r="C384" s="8"/>
      <c r="D384" s="8"/>
      <c r="E384" s="8" t="s">
        <v>68</v>
      </c>
      <c r="F384" s="8" t="s">
        <v>702</v>
      </c>
      <c r="G384" s="8" t="s">
        <v>703</v>
      </c>
      <c r="H384" s="8"/>
      <c r="I384" s="8" t="s">
        <v>1333</v>
      </c>
      <c r="J384" s="8" t="s">
        <v>64</v>
      </c>
      <c r="K384" s="8" t="s">
        <v>1191</v>
      </c>
      <c r="L384" s="8"/>
      <c r="M384" s="8"/>
      <c r="N384" s="8" t="s">
        <v>62</v>
      </c>
      <c r="O384" s="8" t="s">
        <v>63</v>
      </c>
      <c r="P384" s="4" t="n">
        <v>26</v>
      </c>
      <c r="Q384" s="8"/>
      <c r="R384" s="4" t="s">
        <v>1332</v>
      </c>
      <c r="S384" s="4" t="n">
        <v>1165</v>
      </c>
    </row>
    <row r="385" customFormat="false" ht="15" hidden="false" customHeight="false" outlineLevel="0" collapsed="false">
      <c r="A385" s="4" t="s">
        <v>1334</v>
      </c>
      <c r="B385" s="8" t="s">
        <v>1335</v>
      </c>
      <c r="C385" s="8"/>
      <c r="D385" s="8"/>
      <c r="E385" s="8" t="s">
        <v>68</v>
      </c>
      <c r="F385" s="8" t="s">
        <v>1336</v>
      </c>
      <c r="G385" s="8" t="s">
        <v>1337</v>
      </c>
      <c r="H385" s="8"/>
      <c r="I385" s="8" t="s">
        <v>705</v>
      </c>
      <c r="J385" s="8" t="s">
        <v>64</v>
      </c>
      <c r="K385" s="8" t="s">
        <v>1191</v>
      </c>
      <c r="L385" s="8"/>
      <c r="M385" s="8"/>
      <c r="N385" s="8" t="s">
        <v>62</v>
      </c>
      <c r="O385" s="8" t="s">
        <v>63</v>
      </c>
      <c r="P385" s="4" t="n">
        <v>27</v>
      </c>
      <c r="Q385" s="8"/>
      <c r="R385" s="4" t="s">
        <v>1335</v>
      </c>
      <c r="S385" s="4"/>
    </row>
    <row r="386" customFormat="false" ht="15" hidden="false" customHeight="false" outlineLevel="0" collapsed="false">
      <c r="A386" s="4" t="s">
        <v>1338</v>
      </c>
      <c r="B386" s="8" t="s">
        <v>799</v>
      </c>
      <c r="C386" s="8" t="s">
        <v>58</v>
      </c>
      <c r="D386" s="8"/>
      <c r="E386" s="8" t="s">
        <v>60</v>
      </c>
      <c r="F386" s="8"/>
      <c r="G386" s="8"/>
      <c r="H386" s="8"/>
      <c r="I386" s="8" t="s">
        <v>800</v>
      </c>
      <c r="J386" s="8" t="s">
        <v>64</v>
      </c>
      <c r="K386" s="8" t="s">
        <v>1191</v>
      </c>
      <c r="L386" s="8"/>
      <c r="M386" s="8"/>
      <c r="N386" s="8" t="s">
        <v>62</v>
      </c>
      <c r="O386" s="8" t="s">
        <v>63</v>
      </c>
      <c r="P386" s="4" t="n">
        <v>27</v>
      </c>
      <c r="Q386" s="8"/>
      <c r="R386" s="4" t="s">
        <v>801</v>
      </c>
      <c r="S386" s="4"/>
    </row>
    <row r="387" customFormat="false" ht="15" hidden="false" customHeight="false" outlineLevel="0" collapsed="false">
      <c r="A387" s="4" t="s">
        <v>1339</v>
      </c>
      <c r="B387" s="8" t="s">
        <v>1340</v>
      </c>
      <c r="C387" s="8" t="s">
        <v>58</v>
      </c>
      <c r="D387" s="8"/>
      <c r="E387" s="8" t="s">
        <v>60</v>
      </c>
      <c r="F387" s="8"/>
      <c r="G387" s="8"/>
      <c r="H387" s="8"/>
      <c r="I387" s="8" t="s">
        <v>1341</v>
      </c>
      <c r="J387" s="8" t="s">
        <v>64</v>
      </c>
      <c r="K387" s="8" t="s">
        <v>1191</v>
      </c>
      <c r="L387" s="8"/>
      <c r="M387" s="8"/>
      <c r="N387" s="8" t="s">
        <v>62</v>
      </c>
      <c r="O387" s="8" t="s">
        <v>63</v>
      </c>
      <c r="P387" s="4" t="n">
        <v>27</v>
      </c>
      <c r="Q387" s="8"/>
      <c r="R387" s="4" t="s">
        <v>1342</v>
      </c>
      <c r="S387" s="4" t="n">
        <v>941</v>
      </c>
    </row>
    <row r="388" customFormat="false" ht="15" hidden="false" customHeight="false" outlineLevel="0" collapsed="false">
      <c r="A388" s="4" t="s">
        <v>1343</v>
      </c>
      <c r="B388" s="8" t="s">
        <v>1344</v>
      </c>
      <c r="C388" s="8" t="s">
        <v>58</v>
      </c>
      <c r="D388" s="8"/>
      <c r="E388" s="8" t="s">
        <v>60</v>
      </c>
      <c r="F388" s="8"/>
      <c r="G388" s="8"/>
      <c r="H388" s="8"/>
      <c r="I388" s="8" t="s">
        <v>1345</v>
      </c>
      <c r="J388" s="8" t="s">
        <v>64</v>
      </c>
      <c r="K388" s="8" t="s">
        <v>1191</v>
      </c>
      <c r="L388" s="8"/>
      <c r="M388" s="8"/>
      <c r="N388" s="8" t="s">
        <v>62</v>
      </c>
      <c r="O388" s="8" t="s">
        <v>63</v>
      </c>
      <c r="P388" s="4" t="n">
        <v>27</v>
      </c>
      <c r="Q388" s="8"/>
      <c r="R388" s="4" t="s">
        <v>1346</v>
      </c>
      <c r="S388" s="4"/>
    </row>
    <row r="389" customFormat="false" ht="15" hidden="false" customHeight="false" outlineLevel="0" collapsed="false">
      <c r="A389" s="4" t="s">
        <v>1347</v>
      </c>
      <c r="B389" s="8" t="s">
        <v>1348</v>
      </c>
      <c r="C389" s="8"/>
      <c r="D389" s="8"/>
      <c r="E389" s="8"/>
      <c r="F389" s="8"/>
      <c r="G389" s="8"/>
      <c r="H389" s="8"/>
      <c r="I389" s="8" t="s">
        <v>1349</v>
      </c>
      <c r="J389" s="8" t="s">
        <v>64</v>
      </c>
      <c r="K389" s="8" t="s">
        <v>1191</v>
      </c>
      <c r="L389" s="8"/>
      <c r="M389" s="8"/>
      <c r="N389" s="8" t="s">
        <v>62</v>
      </c>
      <c r="O389" s="8" t="s">
        <v>63</v>
      </c>
      <c r="P389" s="4" t="n">
        <v>27</v>
      </c>
      <c r="Q389" s="8"/>
      <c r="R389" s="4" t="s">
        <v>1348</v>
      </c>
      <c r="S389" s="4" t="n">
        <v>14680</v>
      </c>
    </row>
    <row r="390" customFormat="false" ht="15" hidden="false" customHeight="false" outlineLevel="0" collapsed="false">
      <c r="A390" s="4" t="s">
        <v>1350</v>
      </c>
      <c r="B390" s="8" t="s">
        <v>1351</v>
      </c>
      <c r="C390" s="8" t="s">
        <v>58</v>
      </c>
      <c r="D390" s="8"/>
      <c r="E390" s="8" t="s">
        <v>60</v>
      </c>
      <c r="F390" s="8"/>
      <c r="G390" s="8"/>
      <c r="H390" s="8"/>
      <c r="I390" s="8" t="s">
        <v>1352</v>
      </c>
      <c r="J390" s="8" t="s">
        <v>64</v>
      </c>
      <c r="K390" s="8" t="s">
        <v>1191</v>
      </c>
      <c r="L390" s="8"/>
      <c r="M390" s="8"/>
      <c r="N390" s="8" t="s">
        <v>62</v>
      </c>
      <c r="O390" s="8" t="s">
        <v>63</v>
      </c>
      <c r="P390" s="4" t="n">
        <v>27</v>
      </c>
      <c r="Q390" s="8"/>
      <c r="R390" s="4" t="s">
        <v>1353</v>
      </c>
      <c r="S390" s="4"/>
    </row>
    <row r="391" customFormat="false" ht="15" hidden="false" customHeight="false" outlineLevel="0" collapsed="false">
      <c r="A391" s="4" t="s">
        <v>1354</v>
      </c>
      <c r="B391" s="8" t="s">
        <v>1355</v>
      </c>
      <c r="C391" s="8" t="s">
        <v>58</v>
      </c>
      <c r="D391" s="8"/>
      <c r="E391" s="8" t="s">
        <v>60</v>
      </c>
      <c r="F391" s="8"/>
      <c r="G391" s="8"/>
      <c r="H391" s="8"/>
      <c r="I391" s="8" t="s">
        <v>1356</v>
      </c>
      <c r="J391" s="8" t="s">
        <v>64</v>
      </c>
      <c r="K391" s="8" t="s">
        <v>1191</v>
      </c>
      <c r="L391" s="8"/>
      <c r="M391" s="8"/>
      <c r="N391" s="8" t="s">
        <v>62</v>
      </c>
      <c r="O391" s="8" t="s">
        <v>63</v>
      </c>
      <c r="P391" s="4" t="n">
        <v>27</v>
      </c>
      <c r="Q391" s="8"/>
      <c r="R391" s="4" t="s">
        <v>1357</v>
      </c>
      <c r="S391" s="4"/>
    </row>
    <row r="392" customFormat="false" ht="15" hidden="false" customHeight="false" outlineLevel="0" collapsed="false">
      <c r="A392" s="4" t="s">
        <v>1358</v>
      </c>
      <c r="B392" s="8" t="s">
        <v>1359</v>
      </c>
      <c r="C392" s="8" t="s">
        <v>58</v>
      </c>
      <c r="D392" s="8"/>
      <c r="E392" s="8" t="s">
        <v>60</v>
      </c>
      <c r="F392" s="8"/>
      <c r="G392" s="8"/>
      <c r="H392" s="8"/>
      <c r="I392" s="8" t="s">
        <v>1360</v>
      </c>
      <c r="J392" s="8" t="s">
        <v>64</v>
      </c>
      <c r="K392" s="8" t="s">
        <v>1191</v>
      </c>
      <c r="L392" s="8"/>
      <c r="M392" s="8"/>
      <c r="N392" s="8" t="s">
        <v>62</v>
      </c>
      <c r="O392" s="8" t="s">
        <v>63</v>
      </c>
      <c r="P392" s="4" t="n">
        <v>27</v>
      </c>
      <c r="Q392" s="8"/>
      <c r="R392" s="4" t="s">
        <v>1361</v>
      </c>
      <c r="S392" s="4" t="n">
        <v>461</v>
      </c>
    </row>
    <row r="393" customFormat="false" ht="15" hidden="false" customHeight="false" outlineLevel="0" collapsed="false">
      <c r="A393" s="4" t="s">
        <v>1362</v>
      </c>
      <c r="B393" s="8" t="s">
        <v>1363</v>
      </c>
      <c r="C393" s="8"/>
      <c r="D393" s="8"/>
      <c r="E393" s="8"/>
      <c r="F393" s="8"/>
      <c r="G393" s="8"/>
      <c r="H393" s="8"/>
      <c r="I393" s="8" t="s">
        <v>1364</v>
      </c>
      <c r="J393" s="8" t="s">
        <v>64</v>
      </c>
      <c r="K393" s="8" t="s">
        <v>1191</v>
      </c>
      <c r="L393" s="8"/>
      <c r="M393" s="8"/>
      <c r="N393" s="8" t="s">
        <v>62</v>
      </c>
      <c r="O393" s="8" t="s">
        <v>63</v>
      </c>
      <c r="P393" s="4" t="n">
        <v>27</v>
      </c>
      <c r="Q393" s="8"/>
      <c r="R393" s="4" t="s">
        <v>1363</v>
      </c>
      <c r="S393" s="4"/>
    </row>
    <row r="394" customFormat="false" ht="26.85" hidden="false" customHeight="false" outlineLevel="0" collapsed="false">
      <c r="A394" s="4" t="s">
        <v>1365</v>
      </c>
      <c r="B394" s="8" t="s">
        <v>1366</v>
      </c>
      <c r="C394" s="8" t="s">
        <v>58</v>
      </c>
      <c r="D394" s="8"/>
      <c r="E394" s="8" t="s">
        <v>60</v>
      </c>
      <c r="F394" s="8"/>
      <c r="G394" s="8"/>
      <c r="H394" s="8"/>
      <c r="I394" s="8" t="s">
        <v>1367</v>
      </c>
      <c r="J394" s="8" t="s">
        <v>64</v>
      </c>
      <c r="K394" s="8" t="s">
        <v>1191</v>
      </c>
      <c r="L394" s="8"/>
      <c r="M394" s="8"/>
      <c r="N394" s="8" t="s">
        <v>62</v>
      </c>
      <c r="O394" s="8" t="s">
        <v>63</v>
      </c>
      <c r="P394" s="4" t="n">
        <v>27</v>
      </c>
      <c r="Q394" s="8"/>
      <c r="R394" s="4" t="s">
        <v>1368</v>
      </c>
      <c r="S394" s="4" t="n">
        <v>695</v>
      </c>
    </row>
    <row r="395" customFormat="false" ht="15" hidden="false" customHeight="false" outlineLevel="0" collapsed="false">
      <c r="A395" s="4" t="s">
        <v>1369</v>
      </c>
      <c r="B395" s="8" t="s">
        <v>1370</v>
      </c>
      <c r="C395" s="8"/>
      <c r="D395" s="8"/>
      <c r="E395" s="8"/>
      <c r="F395" s="8"/>
      <c r="G395" s="8"/>
      <c r="H395" s="8"/>
      <c r="I395" s="8" t="s">
        <v>1371</v>
      </c>
      <c r="J395" s="8" t="s">
        <v>64</v>
      </c>
      <c r="K395" s="8" t="s">
        <v>1191</v>
      </c>
      <c r="L395" s="8"/>
      <c r="M395" s="8"/>
      <c r="N395" s="8" t="s">
        <v>62</v>
      </c>
      <c r="O395" s="8" t="s">
        <v>63</v>
      </c>
      <c r="P395" s="4" t="n">
        <v>27</v>
      </c>
      <c r="Q395" s="8"/>
      <c r="R395" s="4" t="s">
        <v>1370</v>
      </c>
      <c r="S395" s="4"/>
    </row>
    <row r="396" customFormat="false" ht="15" hidden="false" customHeight="false" outlineLevel="0" collapsed="false">
      <c r="A396" s="4" t="s">
        <v>1372</v>
      </c>
      <c r="B396" s="8" t="s">
        <v>1373</v>
      </c>
      <c r="C396" s="8" t="s">
        <v>58</v>
      </c>
      <c r="D396" s="8"/>
      <c r="E396" s="8" t="s">
        <v>60</v>
      </c>
      <c r="F396" s="8"/>
      <c r="G396" s="8"/>
      <c r="H396" s="8"/>
      <c r="I396" s="8" t="s">
        <v>1374</v>
      </c>
      <c r="J396" s="8" t="s">
        <v>64</v>
      </c>
      <c r="K396" s="8" t="s">
        <v>1191</v>
      </c>
      <c r="L396" s="8"/>
      <c r="M396" s="8"/>
      <c r="N396" s="8" t="s">
        <v>62</v>
      </c>
      <c r="O396" s="8" t="s">
        <v>63</v>
      </c>
      <c r="P396" s="4" t="n">
        <v>27</v>
      </c>
      <c r="Q396" s="8"/>
      <c r="R396" s="4" t="s">
        <v>1375</v>
      </c>
      <c r="S396" s="4"/>
    </row>
    <row r="397" customFormat="false" ht="15" hidden="false" customHeight="false" outlineLevel="0" collapsed="false">
      <c r="A397" s="4" t="s">
        <v>1376</v>
      </c>
      <c r="B397" s="8" t="s">
        <v>1377</v>
      </c>
      <c r="C397" s="8" t="s">
        <v>58</v>
      </c>
      <c r="D397" s="8"/>
      <c r="E397" s="8" t="s">
        <v>60</v>
      </c>
      <c r="F397" s="8"/>
      <c r="G397" s="8"/>
      <c r="H397" s="8"/>
      <c r="I397" s="8" t="s">
        <v>1378</v>
      </c>
      <c r="J397" s="8" t="s">
        <v>64</v>
      </c>
      <c r="K397" s="8" t="s">
        <v>1191</v>
      </c>
      <c r="L397" s="8"/>
      <c r="M397" s="8"/>
      <c r="N397" s="8" t="s">
        <v>62</v>
      </c>
      <c r="O397" s="8" t="s">
        <v>63</v>
      </c>
      <c r="P397" s="4" t="n">
        <v>27</v>
      </c>
      <c r="Q397" s="8"/>
      <c r="R397" s="4" t="s">
        <v>1379</v>
      </c>
      <c r="S397" s="4"/>
    </row>
    <row r="398" customFormat="false" ht="15" hidden="false" customHeight="false" outlineLevel="0" collapsed="false">
      <c r="A398" s="4" t="s">
        <v>1380</v>
      </c>
      <c r="B398" s="8" t="s">
        <v>1381</v>
      </c>
      <c r="C398" s="8"/>
      <c r="D398" s="8"/>
      <c r="E398" s="8"/>
      <c r="F398" s="8"/>
      <c r="G398" s="8"/>
      <c r="H398" s="8"/>
      <c r="I398" s="8" t="s">
        <v>1382</v>
      </c>
      <c r="J398" s="8" t="s">
        <v>64</v>
      </c>
      <c r="K398" s="8" t="s">
        <v>1191</v>
      </c>
      <c r="L398" s="8"/>
      <c r="M398" s="8"/>
      <c r="N398" s="8" t="s">
        <v>62</v>
      </c>
      <c r="O398" s="8" t="s">
        <v>63</v>
      </c>
      <c r="P398" s="4" t="n">
        <v>27</v>
      </c>
      <c r="Q398" s="8"/>
      <c r="R398" s="4" t="s">
        <v>1381</v>
      </c>
      <c r="S398" s="4"/>
    </row>
    <row r="399" customFormat="false" ht="15" hidden="false" customHeight="false" outlineLevel="0" collapsed="false">
      <c r="A399" s="4" t="s">
        <v>1383</v>
      </c>
      <c r="B399" s="8" t="s">
        <v>1384</v>
      </c>
      <c r="C399" s="8" t="s">
        <v>58</v>
      </c>
      <c r="D399" s="8"/>
      <c r="E399" s="8" t="s">
        <v>60</v>
      </c>
      <c r="F399" s="8"/>
      <c r="G399" s="8"/>
      <c r="H399" s="8"/>
      <c r="I399" s="8" t="s">
        <v>1385</v>
      </c>
      <c r="J399" s="8" t="s">
        <v>64</v>
      </c>
      <c r="K399" s="8" t="s">
        <v>1191</v>
      </c>
      <c r="L399" s="8"/>
      <c r="M399" s="8"/>
      <c r="N399" s="8" t="s">
        <v>62</v>
      </c>
      <c r="O399" s="8" t="s">
        <v>63</v>
      </c>
      <c r="P399" s="4" t="n">
        <v>27</v>
      </c>
      <c r="Q399" s="8"/>
      <c r="R399" s="4" t="s">
        <v>1386</v>
      </c>
      <c r="S399" s="4"/>
    </row>
    <row r="400" customFormat="false" ht="26.85" hidden="false" customHeight="false" outlineLevel="0" collapsed="false">
      <c r="A400" s="4" t="s">
        <v>1387</v>
      </c>
      <c r="B400" s="8" t="s">
        <v>1388</v>
      </c>
      <c r="C400" s="8" t="s">
        <v>58</v>
      </c>
      <c r="D400" s="8"/>
      <c r="E400" s="8" t="s">
        <v>60</v>
      </c>
      <c r="F400" s="8"/>
      <c r="G400" s="8"/>
      <c r="H400" s="8"/>
      <c r="I400" s="8" t="s">
        <v>1389</v>
      </c>
      <c r="J400" s="8" t="s">
        <v>64</v>
      </c>
      <c r="K400" s="8" t="s">
        <v>1191</v>
      </c>
      <c r="L400" s="8"/>
      <c r="M400" s="8"/>
      <c r="N400" s="8" t="s">
        <v>62</v>
      </c>
      <c r="O400" s="8" t="s">
        <v>63</v>
      </c>
      <c r="P400" s="4" t="n">
        <v>27</v>
      </c>
      <c r="Q400" s="8"/>
      <c r="R400" s="4" t="s">
        <v>1390</v>
      </c>
      <c r="S400" s="4" t="n">
        <v>502</v>
      </c>
    </row>
    <row r="401" customFormat="false" ht="15" hidden="false" customHeight="false" outlineLevel="0" collapsed="false">
      <c r="A401" s="4" t="s">
        <v>1391</v>
      </c>
      <c r="B401" s="8" t="s">
        <v>1392</v>
      </c>
      <c r="C401" s="8"/>
      <c r="D401" s="8"/>
      <c r="E401" s="8"/>
      <c r="F401" s="8"/>
      <c r="G401" s="8"/>
      <c r="H401" s="8"/>
      <c r="I401" s="8" t="s">
        <v>1393</v>
      </c>
      <c r="J401" s="8" t="s">
        <v>64</v>
      </c>
      <c r="K401" s="8" t="s">
        <v>1191</v>
      </c>
      <c r="L401" s="8"/>
      <c r="M401" s="8"/>
      <c r="N401" s="8" t="s">
        <v>62</v>
      </c>
      <c r="O401" s="8" t="s">
        <v>63</v>
      </c>
      <c r="P401" s="4" t="n">
        <v>27</v>
      </c>
      <c r="Q401" s="8"/>
      <c r="R401" s="4" t="s">
        <v>1392</v>
      </c>
      <c r="S401" s="4"/>
    </row>
    <row r="402" customFormat="false" ht="15" hidden="false" customHeight="false" outlineLevel="0" collapsed="false">
      <c r="A402" s="4" t="s">
        <v>1394</v>
      </c>
      <c r="B402" s="8" t="s">
        <v>1395</v>
      </c>
      <c r="C402" s="8" t="s">
        <v>58</v>
      </c>
      <c r="D402" s="8"/>
      <c r="E402" s="8" t="s">
        <v>60</v>
      </c>
      <c r="F402" s="8"/>
      <c r="G402" s="8"/>
      <c r="H402" s="8"/>
      <c r="I402" s="8" t="s">
        <v>1396</v>
      </c>
      <c r="J402" s="8" t="s">
        <v>64</v>
      </c>
      <c r="K402" s="8" t="s">
        <v>1191</v>
      </c>
      <c r="L402" s="8"/>
      <c r="M402" s="8"/>
      <c r="N402" s="8" t="s">
        <v>62</v>
      </c>
      <c r="O402" s="8" t="s">
        <v>63</v>
      </c>
      <c r="P402" s="4" t="n">
        <v>27</v>
      </c>
      <c r="Q402" s="8"/>
      <c r="R402" s="4" t="s">
        <v>1397</v>
      </c>
      <c r="S402" s="4"/>
    </row>
    <row r="403" customFormat="false" ht="15" hidden="false" customHeight="false" outlineLevel="0" collapsed="false">
      <c r="A403" s="4" t="s">
        <v>1398</v>
      </c>
      <c r="B403" s="8" t="s">
        <v>1399</v>
      </c>
      <c r="C403" s="8" t="s">
        <v>58</v>
      </c>
      <c r="D403" s="8" t="s">
        <v>67</v>
      </c>
      <c r="E403" s="8" t="s">
        <v>60</v>
      </c>
      <c r="F403" s="8"/>
      <c r="G403" s="8"/>
      <c r="H403" s="8"/>
      <c r="I403" s="8" t="s">
        <v>1400</v>
      </c>
      <c r="J403" s="8" t="s">
        <v>64</v>
      </c>
      <c r="K403" s="8" t="s">
        <v>1191</v>
      </c>
      <c r="L403" s="8"/>
      <c r="M403" s="8"/>
      <c r="N403" s="8" t="s">
        <v>62</v>
      </c>
      <c r="O403" s="8" t="s">
        <v>63</v>
      </c>
      <c r="P403" s="4" t="n">
        <v>27</v>
      </c>
      <c r="Q403" s="8"/>
      <c r="R403" s="4" t="s">
        <v>1401</v>
      </c>
      <c r="S403" s="4"/>
    </row>
    <row r="404" customFormat="false" ht="15" hidden="false" customHeight="false" outlineLevel="0" collapsed="false">
      <c r="A404" s="4" t="s">
        <v>1402</v>
      </c>
      <c r="B404" s="8" t="s">
        <v>1403</v>
      </c>
      <c r="C404" s="8" t="s">
        <v>58</v>
      </c>
      <c r="D404" s="8"/>
      <c r="E404" s="8" t="s">
        <v>60</v>
      </c>
      <c r="F404" s="8"/>
      <c r="G404" s="8"/>
      <c r="H404" s="8"/>
      <c r="I404" s="8" t="s">
        <v>1404</v>
      </c>
      <c r="J404" s="8" t="s">
        <v>64</v>
      </c>
      <c r="K404" s="8" t="s">
        <v>1191</v>
      </c>
      <c r="L404" s="8"/>
      <c r="M404" s="8"/>
      <c r="N404" s="8" t="s">
        <v>62</v>
      </c>
      <c r="O404" s="8" t="s">
        <v>63</v>
      </c>
      <c r="P404" s="4" t="n">
        <v>27</v>
      </c>
      <c r="Q404" s="8"/>
      <c r="R404" s="4" t="s">
        <v>1405</v>
      </c>
      <c r="S404" s="4"/>
    </row>
    <row r="405" customFormat="false" ht="15" hidden="false" customHeight="false" outlineLevel="0" collapsed="false">
      <c r="A405" s="4" t="s">
        <v>1406</v>
      </c>
      <c r="B405" s="8" t="s">
        <v>1407</v>
      </c>
      <c r="C405" s="8" t="s">
        <v>58</v>
      </c>
      <c r="D405" s="8"/>
      <c r="E405" s="8" t="s">
        <v>60</v>
      </c>
      <c r="F405" s="8"/>
      <c r="G405" s="8"/>
      <c r="H405" s="8"/>
      <c r="I405" s="8" t="s">
        <v>1408</v>
      </c>
      <c r="J405" s="8" t="s">
        <v>64</v>
      </c>
      <c r="K405" s="8" t="s">
        <v>1191</v>
      </c>
      <c r="L405" s="8"/>
      <c r="M405" s="8"/>
      <c r="N405" s="8" t="s">
        <v>62</v>
      </c>
      <c r="O405" s="8" t="s">
        <v>63</v>
      </c>
      <c r="P405" s="4" t="n">
        <v>27</v>
      </c>
      <c r="Q405" s="8"/>
      <c r="R405" s="4" t="s">
        <v>1409</v>
      </c>
      <c r="S405" s="4" t="n">
        <v>641</v>
      </c>
    </row>
    <row r="406" customFormat="false" ht="15" hidden="false" customHeight="false" outlineLevel="0" collapsed="false">
      <c r="A406" s="4" t="s">
        <v>1410</v>
      </c>
      <c r="B406" s="8" t="s">
        <v>1411</v>
      </c>
      <c r="C406" s="8" t="s">
        <v>58</v>
      </c>
      <c r="D406" s="8"/>
      <c r="E406" s="8" t="s">
        <v>60</v>
      </c>
      <c r="F406" s="8"/>
      <c r="G406" s="8"/>
      <c r="H406" s="8"/>
      <c r="I406" s="8" t="s">
        <v>1412</v>
      </c>
      <c r="J406" s="8" t="s">
        <v>64</v>
      </c>
      <c r="K406" s="8" t="s">
        <v>1191</v>
      </c>
      <c r="L406" s="8"/>
      <c r="M406" s="8"/>
      <c r="N406" s="8" t="s">
        <v>62</v>
      </c>
      <c r="O406" s="8" t="s">
        <v>63</v>
      </c>
      <c r="P406" s="4" t="n">
        <v>27</v>
      </c>
      <c r="Q406" s="8"/>
      <c r="R406" s="4" t="s">
        <v>1413</v>
      </c>
      <c r="S406" s="4"/>
    </row>
    <row r="407" customFormat="false" ht="15" hidden="false" customHeight="false" outlineLevel="0" collapsed="false">
      <c r="A407" s="4" t="s">
        <v>1414</v>
      </c>
      <c r="B407" s="8" t="s">
        <v>1415</v>
      </c>
      <c r="C407" s="8" t="s">
        <v>58</v>
      </c>
      <c r="D407" s="8"/>
      <c r="E407" s="8" t="s">
        <v>60</v>
      </c>
      <c r="F407" s="8"/>
      <c r="G407" s="8"/>
      <c r="H407" s="8"/>
      <c r="I407" s="8" t="s">
        <v>1416</v>
      </c>
      <c r="J407" s="8" t="s">
        <v>64</v>
      </c>
      <c r="K407" s="8" t="s">
        <v>1191</v>
      </c>
      <c r="L407" s="8"/>
      <c r="M407" s="8"/>
      <c r="N407" s="8" t="s">
        <v>62</v>
      </c>
      <c r="O407" s="8" t="s">
        <v>63</v>
      </c>
      <c r="P407" s="4" t="n">
        <v>27</v>
      </c>
      <c r="Q407" s="8"/>
      <c r="R407" s="4" t="s">
        <v>1417</v>
      </c>
      <c r="S407" s="4"/>
    </row>
    <row r="408" customFormat="false" ht="15" hidden="false" customHeight="false" outlineLevel="0" collapsed="false">
      <c r="A408" s="4" t="s">
        <v>1418</v>
      </c>
      <c r="B408" s="8" t="s">
        <v>1419</v>
      </c>
      <c r="C408" s="8"/>
      <c r="D408" s="8"/>
      <c r="E408" s="8"/>
      <c r="F408" s="8"/>
      <c r="G408" s="8"/>
      <c r="H408" s="8"/>
      <c r="I408" s="8" t="s">
        <v>1420</v>
      </c>
      <c r="J408" s="8" t="s">
        <v>64</v>
      </c>
      <c r="K408" s="8" t="s">
        <v>1191</v>
      </c>
      <c r="L408" s="8"/>
      <c r="M408" s="8"/>
      <c r="N408" s="8" t="s">
        <v>62</v>
      </c>
      <c r="O408" s="8" t="s">
        <v>63</v>
      </c>
      <c r="P408" s="4" t="n">
        <v>27</v>
      </c>
      <c r="Q408" s="8"/>
      <c r="R408" s="4" t="s">
        <v>1419</v>
      </c>
      <c r="S408" s="4"/>
    </row>
    <row r="409" customFormat="false" ht="15" hidden="false" customHeight="false" outlineLevel="0" collapsed="false">
      <c r="A409" s="4" t="s">
        <v>1421</v>
      </c>
      <c r="B409" s="8" t="s">
        <v>1422</v>
      </c>
      <c r="C409" s="8" t="s">
        <v>58</v>
      </c>
      <c r="D409" s="8"/>
      <c r="E409" s="8" t="s">
        <v>60</v>
      </c>
      <c r="F409" s="8"/>
      <c r="G409" s="8"/>
      <c r="H409" s="8"/>
      <c r="I409" s="8" t="s">
        <v>1423</v>
      </c>
      <c r="J409" s="8" t="s">
        <v>64</v>
      </c>
      <c r="K409" s="8" t="s">
        <v>1191</v>
      </c>
      <c r="L409" s="8"/>
      <c r="M409" s="8"/>
      <c r="N409" s="8" t="s">
        <v>62</v>
      </c>
      <c r="O409" s="8" t="s">
        <v>63</v>
      </c>
      <c r="P409" s="4" t="n">
        <v>27</v>
      </c>
      <c r="Q409" s="8"/>
      <c r="R409" s="4" t="s">
        <v>1424</v>
      </c>
      <c r="S409" s="4" t="n">
        <v>1794</v>
      </c>
    </row>
    <row r="410" customFormat="false" ht="15" hidden="false" customHeight="false" outlineLevel="0" collapsed="false">
      <c r="A410" s="4" t="s">
        <v>1425</v>
      </c>
      <c r="B410" s="8" t="s">
        <v>1426</v>
      </c>
      <c r="C410" s="8"/>
      <c r="D410" s="8"/>
      <c r="E410" s="8"/>
      <c r="F410" s="8"/>
      <c r="G410" s="8"/>
      <c r="H410" s="8"/>
      <c r="I410" s="8" t="s">
        <v>1427</v>
      </c>
      <c r="J410" s="8" t="s">
        <v>64</v>
      </c>
      <c r="K410" s="8" t="s">
        <v>1191</v>
      </c>
      <c r="L410" s="8"/>
      <c r="M410" s="8"/>
      <c r="N410" s="8" t="s">
        <v>62</v>
      </c>
      <c r="O410" s="8" t="s">
        <v>63</v>
      </c>
      <c r="P410" s="4" t="n">
        <v>27</v>
      </c>
      <c r="Q410" s="8"/>
      <c r="R410" s="4" t="s">
        <v>1426</v>
      </c>
      <c r="S410" s="4"/>
    </row>
    <row r="411" customFormat="false" ht="15" hidden="false" customHeight="false" outlineLevel="0" collapsed="false">
      <c r="A411" s="4" t="s">
        <v>1428</v>
      </c>
      <c r="B411" s="8" t="s">
        <v>1429</v>
      </c>
      <c r="C411" s="8" t="s">
        <v>58</v>
      </c>
      <c r="D411" s="8"/>
      <c r="E411" s="8" t="s">
        <v>60</v>
      </c>
      <c r="F411" s="8"/>
      <c r="G411" s="8"/>
      <c r="H411" s="8"/>
      <c r="I411" s="8" t="s">
        <v>1430</v>
      </c>
      <c r="J411" s="8" t="s">
        <v>64</v>
      </c>
      <c r="K411" s="8" t="s">
        <v>1191</v>
      </c>
      <c r="L411" s="8"/>
      <c r="M411" s="8"/>
      <c r="N411" s="8" t="s">
        <v>62</v>
      </c>
      <c r="O411" s="8" t="s">
        <v>63</v>
      </c>
      <c r="P411" s="4" t="n">
        <v>27</v>
      </c>
      <c r="Q411" s="8"/>
      <c r="R411" s="4" t="s">
        <v>1431</v>
      </c>
      <c r="S411" s="4"/>
    </row>
    <row r="412" customFormat="false" ht="15" hidden="false" customHeight="false" outlineLevel="0" collapsed="false">
      <c r="A412" s="4" t="s">
        <v>1432</v>
      </c>
      <c r="B412" s="8" t="s">
        <v>1433</v>
      </c>
      <c r="C412" s="8" t="s">
        <v>58</v>
      </c>
      <c r="D412" s="8"/>
      <c r="E412" s="8" t="s">
        <v>60</v>
      </c>
      <c r="F412" s="8"/>
      <c r="G412" s="8"/>
      <c r="H412" s="8"/>
      <c r="I412" s="8" t="s">
        <v>1434</v>
      </c>
      <c r="J412" s="8" t="s">
        <v>64</v>
      </c>
      <c r="K412" s="8" t="s">
        <v>1191</v>
      </c>
      <c r="L412" s="8"/>
      <c r="M412" s="8"/>
      <c r="N412" s="8" t="s">
        <v>62</v>
      </c>
      <c r="O412" s="8" t="s">
        <v>63</v>
      </c>
      <c r="P412" s="4" t="n">
        <v>27</v>
      </c>
      <c r="Q412" s="8"/>
      <c r="R412" s="4" t="s">
        <v>1435</v>
      </c>
      <c r="S412" s="4"/>
    </row>
    <row r="413" customFormat="false" ht="15" hidden="false" customHeight="false" outlineLevel="0" collapsed="false">
      <c r="A413" s="4" t="s">
        <v>1436</v>
      </c>
      <c r="B413" s="8" t="s">
        <v>1437</v>
      </c>
      <c r="C413" s="8"/>
      <c r="D413" s="8"/>
      <c r="E413" s="8"/>
      <c r="F413" s="8"/>
      <c r="G413" s="8"/>
      <c r="H413" s="8"/>
      <c r="I413" s="8" t="s">
        <v>1438</v>
      </c>
      <c r="J413" s="8" t="s">
        <v>64</v>
      </c>
      <c r="K413" s="8" t="s">
        <v>1191</v>
      </c>
      <c r="L413" s="8"/>
      <c r="M413" s="8"/>
      <c r="N413" s="8" t="s">
        <v>62</v>
      </c>
      <c r="O413" s="8" t="s">
        <v>63</v>
      </c>
      <c r="P413" s="4" t="n">
        <v>27</v>
      </c>
      <c r="Q413" s="8"/>
      <c r="R413" s="4" t="s">
        <v>1437</v>
      </c>
      <c r="S413" s="4"/>
    </row>
    <row r="414" customFormat="false" ht="15" hidden="false" customHeight="false" outlineLevel="0" collapsed="false">
      <c r="A414" s="4" t="s">
        <v>1439</v>
      </c>
      <c r="B414" s="8" t="s">
        <v>1440</v>
      </c>
      <c r="C414" s="8" t="s">
        <v>58</v>
      </c>
      <c r="D414" s="8"/>
      <c r="E414" s="8" t="s">
        <v>60</v>
      </c>
      <c r="F414" s="8"/>
      <c r="G414" s="8"/>
      <c r="H414" s="8"/>
      <c r="I414" s="8" t="s">
        <v>1441</v>
      </c>
      <c r="J414" s="8" t="s">
        <v>64</v>
      </c>
      <c r="K414" s="8" t="s">
        <v>1191</v>
      </c>
      <c r="L414" s="8"/>
      <c r="M414" s="8"/>
      <c r="N414" s="8" t="s">
        <v>62</v>
      </c>
      <c r="O414" s="8" t="s">
        <v>63</v>
      </c>
      <c r="P414" s="4" t="n">
        <v>27</v>
      </c>
      <c r="Q414" s="8"/>
      <c r="R414" s="4" t="s">
        <v>1442</v>
      </c>
      <c r="S414" s="4" t="n">
        <v>1966</v>
      </c>
    </row>
    <row r="415" customFormat="false" ht="15" hidden="false" customHeight="false" outlineLevel="0" collapsed="false">
      <c r="A415" s="4" t="s">
        <v>1443</v>
      </c>
      <c r="B415" s="8" t="s">
        <v>1444</v>
      </c>
      <c r="C415" s="8"/>
      <c r="D415" s="8"/>
      <c r="E415" s="8"/>
      <c r="F415" s="8"/>
      <c r="G415" s="8"/>
      <c r="H415" s="8"/>
      <c r="I415" s="8" t="s">
        <v>1445</v>
      </c>
      <c r="J415" s="8" t="s">
        <v>64</v>
      </c>
      <c r="K415" s="8" t="s">
        <v>1191</v>
      </c>
      <c r="L415" s="8"/>
      <c r="M415" s="8"/>
      <c r="N415" s="8" t="s">
        <v>62</v>
      </c>
      <c r="O415" s="8" t="s">
        <v>63</v>
      </c>
      <c r="P415" s="4" t="n">
        <v>27</v>
      </c>
      <c r="Q415" s="8"/>
      <c r="R415" s="4" t="s">
        <v>1444</v>
      </c>
      <c r="S415" s="4"/>
    </row>
    <row r="416" customFormat="false" ht="15" hidden="false" customHeight="false" outlineLevel="0" collapsed="false">
      <c r="A416" s="4" t="s">
        <v>1446</v>
      </c>
      <c r="B416" s="8" t="s">
        <v>1447</v>
      </c>
      <c r="C416" s="8" t="s">
        <v>58</v>
      </c>
      <c r="D416" s="8"/>
      <c r="E416" s="8" t="s">
        <v>60</v>
      </c>
      <c r="F416" s="8"/>
      <c r="G416" s="8"/>
      <c r="H416" s="8"/>
      <c r="I416" s="8" t="s">
        <v>1448</v>
      </c>
      <c r="J416" s="8" t="s">
        <v>64</v>
      </c>
      <c r="K416" s="8" t="s">
        <v>1191</v>
      </c>
      <c r="L416" s="8"/>
      <c r="M416" s="8"/>
      <c r="N416" s="8" t="s">
        <v>62</v>
      </c>
      <c r="O416" s="8" t="s">
        <v>63</v>
      </c>
      <c r="P416" s="4" t="n">
        <v>27</v>
      </c>
      <c r="Q416" s="8"/>
      <c r="R416" s="4" t="s">
        <v>1449</v>
      </c>
      <c r="S416" s="4" t="n">
        <v>1178</v>
      </c>
    </row>
    <row r="417" customFormat="false" ht="15" hidden="false" customHeight="false" outlineLevel="0" collapsed="false">
      <c r="A417" s="4" t="s">
        <v>1450</v>
      </c>
      <c r="B417" s="8" t="s">
        <v>1451</v>
      </c>
      <c r="C417" s="8" t="s">
        <v>58</v>
      </c>
      <c r="D417" s="8"/>
      <c r="E417" s="8" t="s">
        <v>60</v>
      </c>
      <c r="F417" s="8"/>
      <c r="G417" s="8"/>
      <c r="H417" s="8"/>
      <c r="I417" s="8" t="s">
        <v>1452</v>
      </c>
      <c r="J417" s="8" t="s">
        <v>64</v>
      </c>
      <c r="K417" s="8" t="s">
        <v>1191</v>
      </c>
      <c r="L417" s="8"/>
      <c r="M417" s="8"/>
      <c r="N417" s="8" t="s">
        <v>62</v>
      </c>
      <c r="O417" s="8" t="s">
        <v>63</v>
      </c>
      <c r="P417" s="4" t="n">
        <v>27</v>
      </c>
      <c r="Q417" s="8"/>
      <c r="R417" s="4" t="s">
        <v>1453</v>
      </c>
      <c r="S417" s="4" t="n">
        <v>1627</v>
      </c>
    </row>
    <row r="418" customFormat="false" ht="15" hidden="false" customHeight="false" outlineLevel="0" collapsed="false">
      <c r="A418" s="4" t="s">
        <v>1454</v>
      </c>
      <c r="B418" s="8" t="s">
        <v>1455</v>
      </c>
      <c r="C418" s="8"/>
      <c r="D418" s="8"/>
      <c r="E418" s="8"/>
      <c r="F418" s="8"/>
      <c r="G418" s="8"/>
      <c r="H418" s="8"/>
      <c r="I418" s="8" t="s">
        <v>1456</v>
      </c>
      <c r="J418" s="8" t="s">
        <v>64</v>
      </c>
      <c r="K418" s="8" t="s">
        <v>1191</v>
      </c>
      <c r="L418" s="8"/>
      <c r="M418" s="8"/>
      <c r="N418" s="8" t="s">
        <v>62</v>
      </c>
      <c r="O418" s="8" t="s">
        <v>63</v>
      </c>
      <c r="P418" s="4" t="n">
        <v>27</v>
      </c>
      <c r="Q418" s="8"/>
      <c r="R418" s="4" t="s">
        <v>1455</v>
      </c>
      <c r="S418" s="4"/>
    </row>
    <row r="419" customFormat="false" ht="15" hidden="false" customHeight="false" outlineLevel="0" collapsed="false">
      <c r="A419" s="4" t="s">
        <v>1457</v>
      </c>
      <c r="B419" s="8" t="s">
        <v>1458</v>
      </c>
      <c r="C419" s="8" t="s">
        <v>58</v>
      </c>
      <c r="D419" s="8"/>
      <c r="E419" s="8" t="s">
        <v>60</v>
      </c>
      <c r="F419" s="8"/>
      <c r="G419" s="8"/>
      <c r="H419" s="8"/>
      <c r="I419" s="8" t="s">
        <v>1459</v>
      </c>
      <c r="J419" s="8" t="s">
        <v>64</v>
      </c>
      <c r="K419" s="8" t="s">
        <v>1191</v>
      </c>
      <c r="L419" s="8"/>
      <c r="M419" s="8"/>
      <c r="N419" s="8" t="s">
        <v>62</v>
      </c>
      <c r="O419" s="8" t="s">
        <v>63</v>
      </c>
      <c r="P419" s="4" t="n">
        <v>27</v>
      </c>
      <c r="Q419" s="8"/>
      <c r="R419" s="4" t="s">
        <v>1460</v>
      </c>
      <c r="S419" s="4" t="n">
        <v>149</v>
      </c>
    </row>
    <row r="420" customFormat="false" ht="15" hidden="false" customHeight="false" outlineLevel="0" collapsed="false">
      <c r="A420" s="4" t="s">
        <v>1461</v>
      </c>
      <c r="B420" s="8" t="s">
        <v>838</v>
      </c>
      <c r="C420" s="8"/>
      <c r="D420" s="8"/>
      <c r="E420" s="8"/>
      <c r="F420" s="8"/>
      <c r="G420" s="8"/>
      <c r="H420" s="8"/>
      <c r="I420" s="8" t="s">
        <v>839</v>
      </c>
      <c r="J420" s="8" t="s">
        <v>64</v>
      </c>
      <c r="K420" s="8" t="s">
        <v>1191</v>
      </c>
      <c r="L420" s="8"/>
      <c r="M420" s="8"/>
      <c r="N420" s="8" t="s">
        <v>62</v>
      </c>
      <c r="O420" s="8" t="s">
        <v>63</v>
      </c>
      <c r="P420" s="4" t="n">
        <v>27</v>
      </c>
      <c r="Q420" s="8"/>
      <c r="R420" s="4" t="s">
        <v>838</v>
      </c>
      <c r="S420" s="4"/>
    </row>
    <row r="421" customFormat="false" ht="15" hidden="false" customHeight="false" outlineLevel="0" collapsed="false">
      <c r="A421" s="4" t="s">
        <v>1462</v>
      </c>
      <c r="B421" s="8" t="s">
        <v>1463</v>
      </c>
      <c r="C421" s="8" t="s">
        <v>58</v>
      </c>
      <c r="D421" s="8"/>
      <c r="E421" s="8" t="s">
        <v>60</v>
      </c>
      <c r="F421" s="8"/>
      <c r="G421" s="8"/>
      <c r="H421" s="8"/>
      <c r="I421" s="8" t="s">
        <v>1464</v>
      </c>
      <c r="J421" s="8" t="s">
        <v>64</v>
      </c>
      <c r="K421" s="8" t="s">
        <v>1191</v>
      </c>
      <c r="L421" s="8"/>
      <c r="M421" s="8"/>
      <c r="N421" s="8" t="s">
        <v>62</v>
      </c>
      <c r="O421" s="8" t="s">
        <v>63</v>
      </c>
      <c r="P421" s="4" t="n">
        <v>27</v>
      </c>
      <c r="Q421" s="8"/>
      <c r="R421" s="4" t="s">
        <v>1465</v>
      </c>
      <c r="S421" s="4"/>
    </row>
    <row r="422" customFormat="false" ht="15" hidden="false" customHeight="false" outlineLevel="0" collapsed="false">
      <c r="A422" s="4" t="s">
        <v>1466</v>
      </c>
      <c r="B422" s="8" t="s">
        <v>841</v>
      </c>
      <c r="C422" s="8" t="s">
        <v>58</v>
      </c>
      <c r="D422" s="8"/>
      <c r="E422" s="8" t="s">
        <v>60</v>
      </c>
      <c r="F422" s="8"/>
      <c r="G422" s="8"/>
      <c r="H422" s="8"/>
      <c r="I422" s="8" t="s">
        <v>842</v>
      </c>
      <c r="J422" s="8" t="s">
        <v>64</v>
      </c>
      <c r="K422" s="8" t="s">
        <v>1191</v>
      </c>
      <c r="L422" s="8"/>
      <c r="M422" s="8"/>
      <c r="N422" s="8" t="s">
        <v>62</v>
      </c>
      <c r="O422" s="8" t="s">
        <v>63</v>
      </c>
      <c r="P422" s="4" t="n">
        <v>27</v>
      </c>
      <c r="Q422" s="8"/>
      <c r="R422" s="4" t="s">
        <v>843</v>
      </c>
      <c r="S422" s="4"/>
    </row>
    <row r="423" customFormat="false" ht="15" hidden="false" customHeight="false" outlineLevel="0" collapsed="false">
      <c r="A423" s="4" t="s">
        <v>1467</v>
      </c>
      <c r="B423" s="8" t="s">
        <v>1468</v>
      </c>
      <c r="C423" s="8"/>
      <c r="D423" s="8"/>
      <c r="E423" s="8"/>
      <c r="F423" s="8"/>
      <c r="G423" s="8"/>
      <c r="H423" s="8"/>
      <c r="I423" s="8" t="s">
        <v>1469</v>
      </c>
      <c r="J423" s="8" t="s">
        <v>64</v>
      </c>
      <c r="K423" s="8" t="s">
        <v>1191</v>
      </c>
      <c r="L423" s="8"/>
      <c r="M423" s="8"/>
      <c r="N423" s="8" t="s">
        <v>62</v>
      </c>
      <c r="O423" s="8" t="s">
        <v>63</v>
      </c>
      <c r="P423" s="4" t="n">
        <v>27</v>
      </c>
      <c r="Q423" s="8"/>
      <c r="R423" s="4" t="s">
        <v>1468</v>
      </c>
      <c r="S423" s="4"/>
    </row>
    <row r="424" customFormat="false" ht="15" hidden="false" customHeight="false" outlineLevel="0" collapsed="false">
      <c r="A424" s="4" t="s">
        <v>1470</v>
      </c>
      <c r="B424" s="8" t="s">
        <v>1471</v>
      </c>
      <c r="C424" s="8" t="s">
        <v>58</v>
      </c>
      <c r="D424" s="8"/>
      <c r="E424" s="8" t="s">
        <v>60</v>
      </c>
      <c r="F424" s="8"/>
      <c r="G424" s="8"/>
      <c r="H424" s="8"/>
      <c r="I424" s="8" t="s">
        <v>1472</v>
      </c>
      <c r="J424" s="8" t="s">
        <v>64</v>
      </c>
      <c r="K424" s="8" t="s">
        <v>1191</v>
      </c>
      <c r="L424" s="8"/>
      <c r="M424" s="8"/>
      <c r="N424" s="8" t="s">
        <v>62</v>
      </c>
      <c r="O424" s="8" t="s">
        <v>63</v>
      </c>
      <c r="P424" s="4" t="n">
        <v>27</v>
      </c>
      <c r="Q424" s="8"/>
      <c r="R424" s="4" t="s">
        <v>1473</v>
      </c>
      <c r="S424" s="4"/>
    </row>
    <row r="425" customFormat="false" ht="15" hidden="false" customHeight="false" outlineLevel="0" collapsed="false">
      <c r="A425" s="4" t="s">
        <v>1474</v>
      </c>
      <c r="B425" s="8" t="s">
        <v>1475</v>
      </c>
      <c r="C425" s="8" t="s">
        <v>58</v>
      </c>
      <c r="D425" s="8" t="s">
        <v>67</v>
      </c>
      <c r="E425" s="8" t="s">
        <v>60</v>
      </c>
      <c r="F425" s="8"/>
      <c r="G425" s="8"/>
      <c r="H425" s="8"/>
      <c r="I425" s="8" t="s">
        <v>1476</v>
      </c>
      <c r="J425" s="8" t="s">
        <v>64</v>
      </c>
      <c r="K425" s="8" t="s">
        <v>1191</v>
      </c>
      <c r="L425" s="8"/>
      <c r="M425" s="8"/>
      <c r="N425" s="8" t="s">
        <v>62</v>
      </c>
      <c r="O425" s="8" t="s">
        <v>63</v>
      </c>
      <c r="P425" s="4" t="n">
        <v>27</v>
      </c>
      <c r="Q425" s="8"/>
      <c r="R425" s="4" t="s">
        <v>1477</v>
      </c>
      <c r="S425" s="4"/>
    </row>
    <row r="426" customFormat="false" ht="15" hidden="false" customHeight="false" outlineLevel="0" collapsed="false">
      <c r="A426" s="4" t="s">
        <v>1478</v>
      </c>
      <c r="B426" s="8" t="s">
        <v>1479</v>
      </c>
      <c r="C426" s="8"/>
      <c r="D426" s="8"/>
      <c r="E426" s="8"/>
      <c r="F426" s="8"/>
      <c r="G426" s="8"/>
      <c r="H426" s="8"/>
      <c r="I426" s="8" t="s">
        <v>1480</v>
      </c>
      <c r="J426" s="8" t="s">
        <v>64</v>
      </c>
      <c r="K426" s="8" t="s">
        <v>1191</v>
      </c>
      <c r="L426" s="8"/>
      <c r="M426" s="8"/>
      <c r="N426" s="8" t="s">
        <v>62</v>
      </c>
      <c r="O426" s="8" t="s">
        <v>63</v>
      </c>
      <c r="P426" s="4" t="n">
        <v>27</v>
      </c>
      <c r="Q426" s="8"/>
      <c r="R426" s="4" t="s">
        <v>1479</v>
      </c>
      <c r="S426" s="4" t="n">
        <v>1896</v>
      </c>
    </row>
    <row r="427" customFormat="false" ht="15" hidden="false" customHeight="false" outlineLevel="0" collapsed="false">
      <c r="A427" s="4" t="s">
        <v>1481</v>
      </c>
      <c r="B427" s="8" t="s">
        <v>1482</v>
      </c>
      <c r="C427" s="8"/>
      <c r="D427" s="8"/>
      <c r="E427" s="8"/>
      <c r="F427" s="8"/>
      <c r="G427" s="8"/>
      <c r="H427" s="8"/>
      <c r="I427" s="8" t="s">
        <v>1483</v>
      </c>
      <c r="J427" s="8" t="s">
        <v>64</v>
      </c>
      <c r="K427" s="8" t="s">
        <v>1191</v>
      </c>
      <c r="L427" s="8"/>
      <c r="M427" s="8"/>
      <c r="N427" s="8" t="s">
        <v>62</v>
      </c>
      <c r="O427" s="8" t="s">
        <v>63</v>
      </c>
      <c r="P427" s="4" t="n">
        <v>27</v>
      </c>
      <c r="Q427" s="8"/>
      <c r="R427" s="4" t="s">
        <v>1482</v>
      </c>
      <c r="S427" s="4"/>
    </row>
    <row r="428" customFormat="false" ht="15" hidden="false" customHeight="false" outlineLevel="0" collapsed="false">
      <c r="A428" s="4" t="s">
        <v>1484</v>
      </c>
      <c r="B428" s="8" t="s">
        <v>1485</v>
      </c>
      <c r="C428" s="8" t="s">
        <v>58</v>
      </c>
      <c r="D428" s="8"/>
      <c r="E428" s="8" t="s">
        <v>60</v>
      </c>
      <c r="F428" s="8"/>
      <c r="G428" s="8"/>
      <c r="H428" s="8"/>
      <c r="I428" s="8" t="s">
        <v>1486</v>
      </c>
      <c r="J428" s="8" t="s">
        <v>64</v>
      </c>
      <c r="K428" s="8" t="s">
        <v>1191</v>
      </c>
      <c r="L428" s="8"/>
      <c r="M428" s="8"/>
      <c r="N428" s="8" t="s">
        <v>62</v>
      </c>
      <c r="O428" s="8" t="s">
        <v>63</v>
      </c>
      <c r="P428" s="4" t="n">
        <v>27</v>
      </c>
      <c r="Q428" s="8"/>
      <c r="R428" s="4" t="s">
        <v>1487</v>
      </c>
      <c r="S428" s="4"/>
    </row>
    <row r="429" customFormat="false" ht="15" hidden="false" customHeight="false" outlineLevel="0" collapsed="false">
      <c r="A429" s="4" t="s">
        <v>1488</v>
      </c>
      <c r="B429" s="8" t="s">
        <v>1489</v>
      </c>
      <c r="C429" s="8"/>
      <c r="D429" s="8"/>
      <c r="E429" s="8"/>
      <c r="F429" s="8"/>
      <c r="G429" s="8"/>
      <c r="H429" s="8"/>
      <c r="I429" s="8" t="s">
        <v>1490</v>
      </c>
      <c r="J429" s="8" t="s">
        <v>64</v>
      </c>
      <c r="K429" s="8" t="s">
        <v>1191</v>
      </c>
      <c r="L429" s="8"/>
      <c r="M429" s="8"/>
      <c r="N429" s="8" t="s">
        <v>62</v>
      </c>
      <c r="O429" s="8" t="s">
        <v>63</v>
      </c>
      <c r="P429" s="4" t="n">
        <v>28</v>
      </c>
      <c r="Q429" s="8"/>
      <c r="R429" s="4" t="s">
        <v>1489</v>
      </c>
      <c r="S429" s="4"/>
    </row>
    <row r="430" customFormat="false" ht="15" hidden="false" customHeight="false" outlineLevel="0" collapsed="false">
      <c r="A430" s="4" t="s">
        <v>1491</v>
      </c>
      <c r="B430" s="8" t="s">
        <v>1492</v>
      </c>
      <c r="C430" s="8"/>
      <c r="D430" s="8"/>
      <c r="E430" s="8"/>
      <c r="F430" s="8"/>
      <c r="G430" s="8"/>
      <c r="H430" s="8"/>
      <c r="I430" s="8" t="s">
        <v>1493</v>
      </c>
      <c r="J430" s="8" t="s">
        <v>64</v>
      </c>
      <c r="K430" s="8" t="s">
        <v>1191</v>
      </c>
      <c r="L430" s="8"/>
      <c r="M430" s="8"/>
      <c r="N430" s="8" t="s">
        <v>62</v>
      </c>
      <c r="O430" s="8" t="s">
        <v>63</v>
      </c>
      <c r="P430" s="4" t="n">
        <v>28</v>
      </c>
      <c r="Q430" s="8"/>
      <c r="R430" s="4" t="s">
        <v>1492</v>
      </c>
      <c r="S430" s="4"/>
    </row>
    <row r="431" customFormat="false" ht="15" hidden="false" customHeight="false" outlineLevel="0" collapsed="false">
      <c r="A431" s="4" t="s">
        <v>1494</v>
      </c>
      <c r="B431" s="8" t="s">
        <v>1495</v>
      </c>
      <c r="C431" s="8"/>
      <c r="D431" s="8"/>
      <c r="E431" s="8"/>
      <c r="F431" s="8"/>
      <c r="G431" s="8"/>
      <c r="H431" s="8"/>
      <c r="I431" s="8" t="s">
        <v>1496</v>
      </c>
      <c r="J431" s="8" t="s">
        <v>64</v>
      </c>
      <c r="K431" s="8" t="s">
        <v>1191</v>
      </c>
      <c r="L431" s="8"/>
      <c r="M431" s="8"/>
      <c r="N431" s="8" t="s">
        <v>62</v>
      </c>
      <c r="O431" s="8" t="s">
        <v>63</v>
      </c>
      <c r="P431" s="4" t="n">
        <v>28</v>
      </c>
      <c r="Q431" s="8"/>
      <c r="R431" s="4" t="s">
        <v>1495</v>
      </c>
      <c r="S431" s="4"/>
    </row>
    <row r="432" customFormat="false" ht="15" hidden="false" customHeight="false" outlineLevel="0" collapsed="false">
      <c r="A432" s="4" t="s">
        <v>1497</v>
      </c>
      <c r="B432" s="8" t="s">
        <v>1498</v>
      </c>
      <c r="C432" s="8"/>
      <c r="D432" s="8"/>
      <c r="E432" s="8"/>
      <c r="F432" s="8"/>
      <c r="G432" s="8"/>
      <c r="H432" s="8"/>
      <c r="I432" s="8" t="s">
        <v>1499</v>
      </c>
      <c r="J432" s="8" t="s">
        <v>64</v>
      </c>
      <c r="K432" s="8" t="s">
        <v>1191</v>
      </c>
      <c r="L432" s="8"/>
      <c r="M432" s="8"/>
      <c r="N432" s="8" t="s">
        <v>62</v>
      </c>
      <c r="O432" s="8" t="s">
        <v>63</v>
      </c>
      <c r="P432" s="4" t="n">
        <v>28</v>
      </c>
      <c r="Q432" s="8"/>
      <c r="R432" s="4" t="s">
        <v>1498</v>
      </c>
      <c r="S432" s="4"/>
    </row>
    <row r="433" customFormat="false" ht="15" hidden="false" customHeight="false" outlineLevel="0" collapsed="false">
      <c r="A433" s="4" t="s">
        <v>1500</v>
      </c>
      <c r="B433" s="8" t="s">
        <v>1501</v>
      </c>
      <c r="C433" s="8" t="s">
        <v>58</v>
      </c>
      <c r="D433" s="8"/>
      <c r="E433" s="8" t="s">
        <v>60</v>
      </c>
      <c r="F433" s="8"/>
      <c r="G433" s="8"/>
      <c r="H433" s="8"/>
      <c r="I433" s="8" t="s">
        <v>1502</v>
      </c>
      <c r="J433" s="8" t="s">
        <v>64</v>
      </c>
      <c r="K433" s="8" t="s">
        <v>1191</v>
      </c>
      <c r="L433" s="8"/>
      <c r="M433" s="8"/>
      <c r="N433" s="8" t="s">
        <v>62</v>
      </c>
      <c r="O433" s="8" t="s">
        <v>63</v>
      </c>
      <c r="P433" s="4" t="n">
        <v>28</v>
      </c>
      <c r="Q433" s="8"/>
      <c r="R433" s="4" t="s">
        <v>1503</v>
      </c>
      <c r="S433" s="4"/>
    </row>
    <row r="434" customFormat="false" ht="15" hidden="false" customHeight="false" outlineLevel="0" collapsed="false">
      <c r="A434" s="4" t="s">
        <v>1504</v>
      </c>
      <c r="B434" s="8" t="s">
        <v>1505</v>
      </c>
      <c r="C434" s="8"/>
      <c r="D434" s="8"/>
      <c r="E434" s="8"/>
      <c r="F434" s="8"/>
      <c r="G434" s="8"/>
      <c r="H434" s="8"/>
      <c r="I434" s="8" t="s">
        <v>1506</v>
      </c>
      <c r="J434" s="8" t="s">
        <v>64</v>
      </c>
      <c r="K434" s="8" t="s">
        <v>1191</v>
      </c>
      <c r="L434" s="8"/>
      <c r="M434" s="8"/>
      <c r="N434" s="8" t="s">
        <v>62</v>
      </c>
      <c r="O434" s="8" t="s">
        <v>63</v>
      </c>
      <c r="P434" s="4" t="n">
        <v>28</v>
      </c>
      <c r="Q434" s="8"/>
      <c r="R434" s="4" t="s">
        <v>1505</v>
      </c>
      <c r="S434" s="4" t="n">
        <v>426</v>
      </c>
    </row>
    <row r="435" customFormat="false" ht="26.85" hidden="false" customHeight="false" outlineLevel="0" collapsed="false">
      <c r="A435" s="4" t="s">
        <v>1507</v>
      </c>
      <c r="B435" s="8" t="s">
        <v>848</v>
      </c>
      <c r="C435" s="8" t="s">
        <v>58</v>
      </c>
      <c r="D435" s="8"/>
      <c r="E435" s="8" t="s">
        <v>60</v>
      </c>
      <c r="F435" s="8"/>
      <c r="G435" s="8"/>
      <c r="H435" s="8"/>
      <c r="I435" s="8" t="s">
        <v>1508</v>
      </c>
      <c r="J435" s="8" t="s">
        <v>64</v>
      </c>
      <c r="K435" s="8" t="s">
        <v>1191</v>
      </c>
      <c r="L435" s="8"/>
      <c r="M435" s="8"/>
      <c r="N435" s="8" t="s">
        <v>62</v>
      </c>
      <c r="O435" s="8" t="s">
        <v>63</v>
      </c>
      <c r="P435" s="4" t="n">
        <v>28</v>
      </c>
      <c r="Q435" s="8"/>
      <c r="R435" s="4" t="s">
        <v>850</v>
      </c>
      <c r="S435" s="4"/>
    </row>
    <row r="436" customFormat="false" ht="15" hidden="false" customHeight="false" outlineLevel="0" collapsed="false">
      <c r="A436" s="4" t="s">
        <v>1509</v>
      </c>
      <c r="B436" s="8" t="s">
        <v>1510</v>
      </c>
      <c r="C436" s="8" t="s">
        <v>58</v>
      </c>
      <c r="D436" s="8"/>
      <c r="E436" s="8" t="s">
        <v>60</v>
      </c>
      <c r="F436" s="8"/>
      <c r="G436" s="8"/>
      <c r="H436" s="8"/>
      <c r="I436" s="8" t="s">
        <v>1511</v>
      </c>
      <c r="J436" s="8" t="s">
        <v>64</v>
      </c>
      <c r="K436" s="8" t="s">
        <v>1191</v>
      </c>
      <c r="L436" s="8"/>
      <c r="M436" s="8"/>
      <c r="N436" s="8" t="s">
        <v>62</v>
      </c>
      <c r="O436" s="8" t="s">
        <v>63</v>
      </c>
      <c r="P436" s="4" t="n">
        <v>28</v>
      </c>
      <c r="Q436" s="8"/>
      <c r="R436" s="4" t="s">
        <v>1512</v>
      </c>
      <c r="S436" s="4"/>
    </row>
    <row r="437" customFormat="false" ht="15" hidden="false" customHeight="false" outlineLevel="0" collapsed="false">
      <c r="A437" s="4" t="s">
        <v>1513</v>
      </c>
      <c r="B437" s="8" t="s">
        <v>1514</v>
      </c>
      <c r="C437" s="8"/>
      <c r="D437" s="8"/>
      <c r="E437" s="8"/>
      <c r="F437" s="8"/>
      <c r="G437" s="8"/>
      <c r="H437" s="8"/>
      <c r="I437" s="8" t="s">
        <v>1515</v>
      </c>
      <c r="J437" s="8" t="s">
        <v>64</v>
      </c>
      <c r="K437" s="8" t="s">
        <v>1191</v>
      </c>
      <c r="L437" s="8"/>
      <c r="M437" s="8"/>
      <c r="N437" s="8" t="s">
        <v>62</v>
      </c>
      <c r="O437" s="8" t="s">
        <v>63</v>
      </c>
      <c r="P437" s="4" t="n">
        <v>28</v>
      </c>
      <c r="Q437" s="8"/>
      <c r="R437" s="4" t="s">
        <v>1514</v>
      </c>
      <c r="S437" s="4" t="n">
        <v>82</v>
      </c>
    </row>
    <row r="438" customFormat="false" ht="15" hidden="false" customHeight="false" outlineLevel="0" collapsed="false">
      <c r="A438" s="4" t="s">
        <v>1516</v>
      </c>
      <c r="B438" s="8" t="s">
        <v>1517</v>
      </c>
      <c r="C438" s="8" t="s">
        <v>58</v>
      </c>
      <c r="D438" s="8"/>
      <c r="E438" s="8" t="s">
        <v>60</v>
      </c>
      <c r="F438" s="8"/>
      <c r="G438" s="8"/>
      <c r="H438" s="8"/>
      <c r="I438" s="8" t="s">
        <v>1518</v>
      </c>
      <c r="J438" s="8" t="s">
        <v>64</v>
      </c>
      <c r="K438" s="8" t="s">
        <v>1191</v>
      </c>
      <c r="L438" s="8"/>
      <c r="M438" s="8"/>
      <c r="N438" s="8" t="s">
        <v>62</v>
      </c>
      <c r="O438" s="8" t="s">
        <v>63</v>
      </c>
      <c r="P438" s="4" t="n">
        <v>28</v>
      </c>
      <c r="Q438" s="8"/>
      <c r="R438" s="4" t="s">
        <v>1519</v>
      </c>
      <c r="S438" s="4"/>
    </row>
    <row r="439" customFormat="false" ht="15" hidden="false" customHeight="false" outlineLevel="0" collapsed="false">
      <c r="A439" s="4" t="s">
        <v>1520</v>
      </c>
      <c r="B439" s="8" t="s">
        <v>1521</v>
      </c>
      <c r="C439" s="8"/>
      <c r="D439" s="8"/>
      <c r="E439" s="8" t="s">
        <v>68</v>
      </c>
      <c r="F439" s="8" t="s">
        <v>1522</v>
      </c>
      <c r="G439" s="8" t="s">
        <v>1523</v>
      </c>
      <c r="H439" s="8"/>
      <c r="I439" s="8" t="s">
        <v>1524</v>
      </c>
      <c r="J439" s="8" t="s">
        <v>64</v>
      </c>
      <c r="K439" s="8" t="s">
        <v>1191</v>
      </c>
      <c r="L439" s="8"/>
      <c r="M439" s="8"/>
      <c r="N439" s="8" t="s">
        <v>62</v>
      </c>
      <c r="O439" s="8" t="s">
        <v>63</v>
      </c>
      <c r="P439" s="4" t="n">
        <v>28</v>
      </c>
      <c r="Q439" s="8"/>
      <c r="R439" s="4" t="s">
        <v>1521</v>
      </c>
      <c r="S439" s="4" t="n">
        <v>1420</v>
      </c>
    </row>
    <row r="440" customFormat="false" ht="15" hidden="false" customHeight="false" outlineLevel="0" collapsed="false">
      <c r="A440" s="4" t="s">
        <v>1525</v>
      </c>
      <c r="B440" s="8" t="s">
        <v>1526</v>
      </c>
      <c r="C440" s="8" t="s">
        <v>58</v>
      </c>
      <c r="D440" s="8"/>
      <c r="E440" s="8" t="s">
        <v>60</v>
      </c>
      <c r="F440" s="8"/>
      <c r="G440" s="8"/>
      <c r="H440" s="8"/>
      <c r="I440" s="8" t="s">
        <v>1527</v>
      </c>
      <c r="J440" s="8" t="s">
        <v>64</v>
      </c>
      <c r="K440" s="8" t="s">
        <v>1191</v>
      </c>
      <c r="L440" s="8"/>
      <c r="M440" s="8"/>
      <c r="N440" s="8" t="s">
        <v>62</v>
      </c>
      <c r="O440" s="8" t="s">
        <v>63</v>
      </c>
      <c r="P440" s="4" t="n">
        <v>28</v>
      </c>
      <c r="Q440" s="8"/>
      <c r="R440" s="4" t="s">
        <v>1528</v>
      </c>
      <c r="S440" s="4"/>
    </row>
    <row r="441" customFormat="false" ht="15" hidden="false" customHeight="false" outlineLevel="0" collapsed="false">
      <c r="A441" s="4" t="s">
        <v>1529</v>
      </c>
      <c r="B441" s="8" t="s">
        <v>1530</v>
      </c>
      <c r="C441" s="8"/>
      <c r="D441" s="8"/>
      <c r="E441" s="8"/>
      <c r="F441" s="8"/>
      <c r="G441" s="8"/>
      <c r="H441" s="8"/>
      <c r="I441" s="8" t="s">
        <v>1531</v>
      </c>
      <c r="J441" s="8" t="s">
        <v>64</v>
      </c>
      <c r="K441" s="8" t="s">
        <v>1191</v>
      </c>
      <c r="L441" s="8"/>
      <c r="M441" s="8"/>
      <c r="N441" s="8" t="s">
        <v>62</v>
      </c>
      <c r="O441" s="8" t="s">
        <v>63</v>
      </c>
      <c r="P441" s="4" t="n">
        <v>28</v>
      </c>
      <c r="Q441" s="8"/>
      <c r="R441" s="4" t="s">
        <v>1530</v>
      </c>
      <c r="S441" s="4"/>
    </row>
    <row r="442" customFormat="false" ht="15" hidden="false" customHeight="false" outlineLevel="0" collapsed="false">
      <c r="A442" s="4" t="s">
        <v>1532</v>
      </c>
      <c r="B442" s="8" t="s">
        <v>1533</v>
      </c>
      <c r="C442" s="8" t="s">
        <v>58</v>
      </c>
      <c r="D442" s="8"/>
      <c r="E442" s="8" t="s">
        <v>60</v>
      </c>
      <c r="F442" s="8"/>
      <c r="G442" s="8"/>
      <c r="H442" s="8"/>
      <c r="I442" s="8" t="s">
        <v>1534</v>
      </c>
      <c r="J442" s="8" t="s">
        <v>64</v>
      </c>
      <c r="K442" s="8" t="s">
        <v>1191</v>
      </c>
      <c r="L442" s="8"/>
      <c r="M442" s="8"/>
      <c r="N442" s="8" t="s">
        <v>62</v>
      </c>
      <c r="O442" s="8" t="s">
        <v>63</v>
      </c>
      <c r="P442" s="4" t="n">
        <v>28</v>
      </c>
      <c r="Q442" s="8"/>
      <c r="R442" s="4" t="s">
        <v>1535</v>
      </c>
      <c r="S442" s="4"/>
    </row>
    <row r="443" customFormat="false" ht="15" hidden="false" customHeight="false" outlineLevel="0" collapsed="false">
      <c r="A443" s="4" t="s">
        <v>1536</v>
      </c>
      <c r="B443" s="8" t="s">
        <v>1537</v>
      </c>
      <c r="C443" s="8" t="s">
        <v>58</v>
      </c>
      <c r="D443" s="8"/>
      <c r="E443" s="8" t="s">
        <v>60</v>
      </c>
      <c r="F443" s="8"/>
      <c r="G443" s="8"/>
      <c r="H443" s="8"/>
      <c r="I443" s="8" t="s">
        <v>1538</v>
      </c>
      <c r="J443" s="8" t="s">
        <v>64</v>
      </c>
      <c r="K443" s="8" t="s">
        <v>1191</v>
      </c>
      <c r="L443" s="8"/>
      <c r="M443" s="8"/>
      <c r="N443" s="8" t="s">
        <v>62</v>
      </c>
      <c r="O443" s="8" t="s">
        <v>63</v>
      </c>
      <c r="P443" s="4" t="n">
        <v>28</v>
      </c>
      <c r="Q443" s="8"/>
      <c r="R443" s="4" t="s">
        <v>1539</v>
      </c>
      <c r="S443" s="4"/>
    </row>
    <row r="444" customFormat="false" ht="15" hidden="false" customHeight="false" outlineLevel="0" collapsed="false">
      <c r="A444" s="4" t="s">
        <v>1540</v>
      </c>
      <c r="B444" s="8" t="s">
        <v>1541</v>
      </c>
      <c r="C444" s="8" t="s">
        <v>58</v>
      </c>
      <c r="D444" s="8"/>
      <c r="E444" s="8" t="s">
        <v>60</v>
      </c>
      <c r="F444" s="8"/>
      <c r="G444" s="8"/>
      <c r="H444" s="8"/>
      <c r="I444" s="8" t="s">
        <v>1542</v>
      </c>
      <c r="J444" s="8" t="s">
        <v>64</v>
      </c>
      <c r="K444" s="8" t="s">
        <v>1191</v>
      </c>
      <c r="L444" s="8"/>
      <c r="M444" s="8"/>
      <c r="N444" s="8" t="s">
        <v>62</v>
      </c>
      <c r="O444" s="8" t="s">
        <v>63</v>
      </c>
      <c r="P444" s="4" t="n">
        <v>28</v>
      </c>
      <c r="Q444" s="8"/>
      <c r="R444" s="4" t="s">
        <v>1543</v>
      </c>
      <c r="S444" s="4" t="n">
        <v>913</v>
      </c>
    </row>
    <row r="445" customFormat="false" ht="15" hidden="false" customHeight="false" outlineLevel="0" collapsed="false">
      <c r="A445" s="4" t="s">
        <v>1544</v>
      </c>
      <c r="B445" s="8" t="s">
        <v>1545</v>
      </c>
      <c r="C445" s="8" t="s">
        <v>58</v>
      </c>
      <c r="D445" s="8"/>
      <c r="E445" s="8" t="s">
        <v>60</v>
      </c>
      <c r="F445" s="8"/>
      <c r="G445" s="8"/>
      <c r="H445" s="8"/>
      <c r="I445" s="8" t="s">
        <v>1546</v>
      </c>
      <c r="J445" s="8" t="s">
        <v>64</v>
      </c>
      <c r="K445" s="8" t="s">
        <v>1191</v>
      </c>
      <c r="L445" s="8"/>
      <c r="M445" s="8"/>
      <c r="N445" s="8" t="s">
        <v>62</v>
      </c>
      <c r="O445" s="8" t="s">
        <v>63</v>
      </c>
      <c r="P445" s="4" t="n">
        <v>28</v>
      </c>
      <c r="Q445" s="8"/>
      <c r="R445" s="4" t="s">
        <v>1547</v>
      </c>
      <c r="S445" s="4"/>
    </row>
    <row r="446" customFormat="false" ht="15" hidden="false" customHeight="false" outlineLevel="0" collapsed="false">
      <c r="A446" s="4" t="s">
        <v>1548</v>
      </c>
      <c r="B446" s="8" t="s">
        <v>868</v>
      </c>
      <c r="C446" s="8" t="s">
        <v>58</v>
      </c>
      <c r="D446" s="8"/>
      <c r="E446" s="8" t="s">
        <v>60</v>
      </c>
      <c r="F446" s="8"/>
      <c r="G446" s="8"/>
      <c r="H446" s="8"/>
      <c r="I446" s="8" t="s">
        <v>869</v>
      </c>
      <c r="J446" s="8" t="s">
        <v>64</v>
      </c>
      <c r="K446" s="8" t="s">
        <v>1191</v>
      </c>
      <c r="L446" s="8"/>
      <c r="M446" s="8"/>
      <c r="N446" s="8" t="s">
        <v>62</v>
      </c>
      <c r="O446" s="8" t="s">
        <v>63</v>
      </c>
      <c r="P446" s="4" t="n">
        <v>28</v>
      </c>
      <c r="Q446" s="8"/>
      <c r="R446" s="4" t="s">
        <v>870</v>
      </c>
      <c r="S446" s="4"/>
    </row>
    <row r="447" customFormat="false" ht="15" hidden="false" customHeight="false" outlineLevel="0" collapsed="false">
      <c r="A447" s="4" t="s">
        <v>1549</v>
      </c>
      <c r="B447" s="8" t="s">
        <v>1550</v>
      </c>
      <c r="C447" s="8"/>
      <c r="D447" s="8"/>
      <c r="E447" s="8"/>
      <c r="F447" s="8"/>
      <c r="G447" s="8"/>
      <c r="H447" s="8"/>
      <c r="I447" s="8" t="s">
        <v>1551</v>
      </c>
      <c r="J447" s="8" t="s">
        <v>64</v>
      </c>
      <c r="K447" s="8" t="s">
        <v>1191</v>
      </c>
      <c r="L447" s="8"/>
      <c r="M447" s="8"/>
      <c r="N447" s="8" t="s">
        <v>62</v>
      </c>
      <c r="O447" s="8" t="s">
        <v>63</v>
      </c>
      <c r="P447" s="4" t="n">
        <v>28</v>
      </c>
      <c r="Q447" s="8"/>
      <c r="R447" s="4" t="s">
        <v>1550</v>
      </c>
      <c r="S447" s="4" t="n">
        <v>135</v>
      </c>
    </row>
    <row r="448" customFormat="false" ht="15" hidden="false" customHeight="false" outlineLevel="0" collapsed="false">
      <c r="A448" s="4" t="s">
        <v>1552</v>
      </c>
      <c r="B448" s="8" t="s">
        <v>1553</v>
      </c>
      <c r="C448" s="8"/>
      <c r="D448" s="8"/>
      <c r="E448" s="8"/>
      <c r="F448" s="8"/>
      <c r="G448" s="8"/>
      <c r="H448" s="8"/>
      <c r="I448" s="8" t="s">
        <v>1264</v>
      </c>
      <c r="J448" s="8" t="s">
        <v>64</v>
      </c>
      <c r="K448" s="8" t="s">
        <v>1191</v>
      </c>
      <c r="L448" s="8"/>
      <c r="M448" s="8"/>
      <c r="N448" s="8" t="s">
        <v>62</v>
      </c>
      <c r="O448" s="8" t="s">
        <v>63</v>
      </c>
      <c r="P448" s="4" t="n">
        <v>28</v>
      </c>
      <c r="Q448" s="8"/>
      <c r="R448" s="4" t="s">
        <v>1553</v>
      </c>
      <c r="S448" s="4" t="n">
        <v>347</v>
      </c>
    </row>
    <row r="449" customFormat="false" ht="15" hidden="false" customHeight="false" outlineLevel="0" collapsed="false">
      <c r="A449" s="4" t="s">
        <v>1554</v>
      </c>
      <c r="B449" s="8" t="s">
        <v>1555</v>
      </c>
      <c r="C449" s="8"/>
      <c r="D449" s="8"/>
      <c r="E449" s="8"/>
      <c r="F449" s="8"/>
      <c r="G449" s="8"/>
      <c r="H449" s="8"/>
      <c r="I449" s="8" t="s">
        <v>1556</v>
      </c>
      <c r="J449" s="8" t="s">
        <v>64</v>
      </c>
      <c r="K449" s="8" t="s">
        <v>1191</v>
      </c>
      <c r="L449" s="8"/>
      <c r="M449" s="8"/>
      <c r="N449" s="8" t="s">
        <v>62</v>
      </c>
      <c r="O449" s="8" t="s">
        <v>63</v>
      </c>
      <c r="P449" s="4" t="n">
        <v>28</v>
      </c>
      <c r="Q449" s="8"/>
      <c r="R449" s="4" t="s">
        <v>1555</v>
      </c>
      <c r="S449" s="4"/>
    </row>
    <row r="450" customFormat="false" ht="15" hidden="false" customHeight="false" outlineLevel="0" collapsed="false">
      <c r="A450" s="4" t="s">
        <v>1557</v>
      </c>
      <c r="B450" s="8" t="s">
        <v>1558</v>
      </c>
      <c r="C450" s="8"/>
      <c r="D450" s="8"/>
      <c r="E450" s="8"/>
      <c r="F450" s="8"/>
      <c r="G450" s="8"/>
      <c r="H450" s="8"/>
      <c r="I450" s="8" t="s">
        <v>1559</v>
      </c>
      <c r="J450" s="8" t="s">
        <v>64</v>
      </c>
      <c r="K450" s="8" t="s">
        <v>1191</v>
      </c>
      <c r="L450" s="8"/>
      <c r="M450" s="8"/>
      <c r="N450" s="8" t="s">
        <v>62</v>
      </c>
      <c r="O450" s="8" t="s">
        <v>63</v>
      </c>
      <c r="P450" s="4" t="n">
        <v>28</v>
      </c>
      <c r="Q450" s="8"/>
      <c r="R450" s="4" t="s">
        <v>1558</v>
      </c>
      <c r="S450" s="4"/>
    </row>
    <row r="451" customFormat="false" ht="15" hidden="false" customHeight="false" outlineLevel="0" collapsed="false">
      <c r="A451" s="4" t="s">
        <v>1560</v>
      </c>
      <c r="B451" s="8" t="s">
        <v>1561</v>
      </c>
      <c r="C451" s="8" t="s">
        <v>58</v>
      </c>
      <c r="D451" s="8"/>
      <c r="E451" s="8" t="s">
        <v>60</v>
      </c>
      <c r="F451" s="8"/>
      <c r="G451" s="8"/>
      <c r="H451" s="8"/>
      <c r="I451" s="8" t="s">
        <v>1562</v>
      </c>
      <c r="J451" s="8" t="s">
        <v>64</v>
      </c>
      <c r="K451" s="8" t="s">
        <v>1191</v>
      </c>
      <c r="L451" s="8"/>
      <c r="M451" s="8"/>
      <c r="N451" s="8" t="s">
        <v>62</v>
      </c>
      <c r="O451" s="8" t="s">
        <v>63</v>
      </c>
      <c r="P451" s="4" t="n">
        <v>28</v>
      </c>
      <c r="Q451" s="8"/>
      <c r="R451" s="4" t="s">
        <v>1563</v>
      </c>
      <c r="S451" s="4" t="n">
        <v>1573</v>
      </c>
    </row>
    <row r="452" customFormat="false" ht="15" hidden="false" customHeight="false" outlineLevel="0" collapsed="false">
      <c r="A452" s="4" t="s">
        <v>1564</v>
      </c>
      <c r="B452" s="8" t="s">
        <v>1565</v>
      </c>
      <c r="C452" s="8"/>
      <c r="D452" s="8"/>
      <c r="E452" s="8"/>
      <c r="F452" s="8"/>
      <c r="G452" s="8"/>
      <c r="H452" s="8"/>
      <c r="I452" s="8" t="s">
        <v>1566</v>
      </c>
      <c r="J452" s="8" t="s">
        <v>64</v>
      </c>
      <c r="K452" s="8" t="s">
        <v>1191</v>
      </c>
      <c r="L452" s="8"/>
      <c r="M452" s="8"/>
      <c r="N452" s="8" t="s">
        <v>62</v>
      </c>
      <c r="O452" s="8" t="s">
        <v>63</v>
      </c>
      <c r="P452" s="4" t="n">
        <v>28</v>
      </c>
      <c r="Q452" s="8"/>
      <c r="R452" s="4" t="s">
        <v>1565</v>
      </c>
      <c r="S452" s="4" t="n">
        <v>8161</v>
      </c>
    </row>
    <row r="453" customFormat="false" ht="15" hidden="false" customHeight="false" outlineLevel="0" collapsed="false">
      <c r="A453" s="4" t="s">
        <v>1567</v>
      </c>
      <c r="B453" s="8" t="s">
        <v>1568</v>
      </c>
      <c r="C453" s="8"/>
      <c r="D453" s="8"/>
      <c r="E453" s="8" t="s">
        <v>68</v>
      </c>
      <c r="F453" s="8" t="s">
        <v>1569</v>
      </c>
      <c r="G453" s="8" t="s">
        <v>1570</v>
      </c>
      <c r="H453" s="8"/>
      <c r="I453" s="8" t="s">
        <v>1571</v>
      </c>
      <c r="J453" s="8" t="s">
        <v>64</v>
      </c>
      <c r="K453" s="8" t="s">
        <v>1191</v>
      </c>
      <c r="L453" s="8"/>
      <c r="M453" s="8"/>
      <c r="N453" s="8" t="s">
        <v>62</v>
      </c>
      <c r="O453" s="8" t="s">
        <v>63</v>
      </c>
      <c r="P453" s="4" t="n">
        <v>28</v>
      </c>
      <c r="Q453" s="8"/>
      <c r="R453" s="4" t="s">
        <v>1568</v>
      </c>
      <c r="S453" s="4"/>
    </row>
    <row r="454" customFormat="false" ht="15" hidden="false" customHeight="false" outlineLevel="0" collapsed="false">
      <c r="A454" s="4" t="s">
        <v>1572</v>
      </c>
      <c r="B454" s="8" t="s">
        <v>1573</v>
      </c>
      <c r="C454" s="8" t="s">
        <v>58</v>
      </c>
      <c r="D454" s="8"/>
      <c r="E454" s="8" t="s">
        <v>60</v>
      </c>
      <c r="F454" s="8"/>
      <c r="G454" s="8"/>
      <c r="H454" s="8"/>
      <c r="I454" s="8" t="s">
        <v>1574</v>
      </c>
      <c r="J454" s="8" t="s">
        <v>64</v>
      </c>
      <c r="K454" s="8" t="s">
        <v>1191</v>
      </c>
      <c r="L454" s="8"/>
      <c r="M454" s="8"/>
      <c r="N454" s="8" t="s">
        <v>62</v>
      </c>
      <c r="O454" s="8" t="s">
        <v>63</v>
      </c>
      <c r="P454" s="4" t="n">
        <v>28</v>
      </c>
      <c r="Q454" s="8"/>
      <c r="R454" s="4" t="s">
        <v>1575</v>
      </c>
      <c r="S454" s="4" t="n">
        <v>105</v>
      </c>
    </row>
    <row r="455" customFormat="false" ht="15" hidden="false" customHeight="false" outlineLevel="0" collapsed="false">
      <c r="A455" s="4" t="s">
        <v>1576</v>
      </c>
      <c r="B455" s="8" t="s">
        <v>1577</v>
      </c>
      <c r="C455" s="8" t="s">
        <v>58</v>
      </c>
      <c r="D455" s="8"/>
      <c r="E455" s="8" t="s">
        <v>60</v>
      </c>
      <c r="F455" s="8"/>
      <c r="G455" s="8"/>
      <c r="H455" s="8"/>
      <c r="I455" s="8" t="s">
        <v>1578</v>
      </c>
      <c r="J455" s="8" t="s">
        <v>64</v>
      </c>
      <c r="K455" s="8" t="s">
        <v>1191</v>
      </c>
      <c r="L455" s="8"/>
      <c r="M455" s="8"/>
      <c r="N455" s="8" t="s">
        <v>62</v>
      </c>
      <c r="O455" s="8" t="s">
        <v>63</v>
      </c>
      <c r="P455" s="4" t="n">
        <v>28</v>
      </c>
      <c r="Q455" s="8"/>
      <c r="R455" s="4" t="s">
        <v>1579</v>
      </c>
      <c r="S455" s="4" t="n">
        <v>234</v>
      </c>
    </row>
    <row r="456" customFormat="false" ht="15" hidden="false" customHeight="false" outlineLevel="0" collapsed="false">
      <c r="A456" s="4" t="s">
        <v>1580</v>
      </c>
      <c r="B456" s="8" t="s">
        <v>1581</v>
      </c>
      <c r="C456" s="8" t="s">
        <v>58</v>
      </c>
      <c r="D456" s="8"/>
      <c r="E456" s="8" t="s">
        <v>60</v>
      </c>
      <c r="F456" s="8"/>
      <c r="G456" s="8"/>
      <c r="H456" s="8"/>
      <c r="I456" s="8" t="s">
        <v>1582</v>
      </c>
      <c r="J456" s="8" t="s">
        <v>64</v>
      </c>
      <c r="K456" s="8" t="s">
        <v>1191</v>
      </c>
      <c r="L456" s="8"/>
      <c r="M456" s="8"/>
      <c r="N456" s="8" t="s">
        <v>62</v>
      </c>
      <c r="O456" s="8" t="s">
        <v>63</v>
      </c>
      <c r="P456" s="4" t="n">
        <v>28</v>
      </c>
      <c r="Q456" s="8"/>
      <c r="R456" s="4" t="s">
        <v>1583</v>
      </c>
      <c r="S456" s="4"/>
    </row>
    <row r="457" customFormat="false" ht="15" hidden="false" customHeight="false" outlineLevel="0" collapsed="false">
      <c r="A457" s="4" t="s">
        <v>1584</v>
      </c>
      <c r="B457" s="8" t="s">
        <v>1585</v>
      </c>
      <c r="C457" s="8"/>
      <c r="D457" s="8"/>
      <c r="E457" s="8"/>
      <c r="F457" s="8"/>
      <c r="G457" s="8"/>
      <c r="H457" s="8"/>
      <c r="I457" s="8" t="s">
        <v>1586</v>
      </c>
      <c r="J457" s="8" t="s">
        <v>64</v>
      </c>
      <c r="K457" s="8" t="s">
        <v>1191</v>
      </c>
      <c r="L457" s="8"/>
      <c r="M457" s="8"/>
      <c r="N457" s="8" t="s">
        <v>62</v>
      </c>
      <c r="O457" s="8" t="s">
        <v>63</v>
      </c>
      <c r="P457" s="4" t="n">
        <v>28</v>
      </c>
      <c r="Q457" s="8"/>
      <c r="R457" s="4" t="s">
        <v>1585</v>
      </c>
      <c r="S457" s="4"/>
    </row>
    <row r="458" customFormat="false" ht="15" hidden="false" customHeight="false" outlineLevel="0" collapsed="false">
      <c r="A458" s="4" t="s">
        <v>1587</v>
      </c>
      <c r="B458" s="8" t="s">
        <v>1588</v>
      </c>
      <c r="C458" s="8"/>
      <c r="D458" s="8"/>
      <c r="E458" s="8"/>
      <c r="F458" s="8"/>
      <c r="G458" s="8"/>
      <c r="H458" s="8"/>
      <c r="I458" s="8" t="s">
        <v>1589</v>
      </c>
      <c r="J458" s="8" t="s">
        <v>64</v>
      </c>
      <c r="K458" s="8" t="s">
        <v>1191</v>
      </c>
      <c r="L458" s="8"/>
      <c r="M458" s="8"/>
      <c r="N458" s="8" t="s">
        <v>62</v>
      </c>
      <c r="O458" s="8" t="s">
        <v>63</v>
      </c>
      <c r="P458" s="4" t="n">
        <v>28</v>
      </c>
      <c r="Q458" s="8"/>
      <c r="R458" s="4" t="s">
        <v>1588</v>
      </c>
      <c r="S458" s="4" t="n">
        <v>14611</v>
      </c>
    </row>
    <row r="459" customFormat="false" ht="15" hidden="false" customHeight="false" outlineLevel="0" collapsed="false">
      <c r="A459" s="4" t="s">
        <v>1590</v>
      </c>
      <c r="B459" s="8" t="s">
        <v>1591</v>
      </c>
      <c r="C459" s="8" t="s">
        <v>58</v>
      </c>
      <c r="D459" s="8"/>
      <c r="E459" s="8" t="s">
        <v>60</v>
      </c>
      <c r="F459" s="8"/>
      <c r="G459" s="8"/>
      <c r="H459" s="8"/>
      <c r="I459" s="8" t="s">
        <v>1592</v>
      </c>
      <c r="J459" s="8" t="s">
        <v>64</v>
      </c>
      <c r="K459" s="8" t="s">
        <v>1191</v>
      </c>
      <c r="L459" s="8"/>
      <c r="M459" s="8"/>
      <c r="N459" s="8" t="s">
        <v>62</v>
      </c>
      <c r="O459" s="8" t="s">
        <v>63</v>
      </c>
      <c r="P459" s="4" t="n">
        <v>28</v>
      </c>
      <c r="Q459" s="8"/>
      <c r="R459" s="4" t="s">
        <v>1593</v>
      </c>
      <c r="S459" s="4" t="n">
        <v>501</v>
      </c>
    </row>
    <row r="460" customFormat="false" ht="15" hidden="false" customHeight="false" outlineLevel="0" collapsed="false">
      <c r="A460" s="4" t="s">
        <v>1594</v>
      </c>
      <c r="B460" s="8" t="s">
        <v>1595</v>
      </c>
      <c r="C460" s="8"/>
      <c r="D460" s="8"/>
      <c r="E460" s="8"/>
      <c r="F460" s="8"/>
      <c r="G460" s="8"/>
      <c r="H460" s="8"/>
      <c r="I460" s="8" t="s">
        <v>1596</v>
      </c>
      <c r="J460" s="8" t="s">
        <v>64</v>
      </c>
      <c r="K460" s="8" t="s">
        <v>1191</v>
      </c>
      <c r="L460" s="8"/>
      <c r="M460" s="8"/>
      <c r="N460" s="8" t="s">
        <v>62</v>
      </c>
      <c r="O460" s="8" t="s">
        <v>63</v>
      </c>
      <c r="P460" s="4" t="n">
        <v>28</v>
      </c>
      <c r="Q460" s="8"/>
      <c r="R460" s="4" t="s">
        <v>1595</v>
      </c>
      <c r="S460" s="4" t="n">
        <v>750</v>
      </c>
    </row>
    <row r="461" customFormat="false" ht="15" hidden="false" customHeight="false" outlineLevel="0" collapsed="false">
      <c r="A461" s="4" t="s">
        <v>1597</v>
      </c>
      <c r="B461" s="8" t="s">
        <v>1598</v>
      </c>
      <c r="C461" s="8"/>
      <c r="D461" s="8"/>
      <c r="E461" s="8"/>
      <c r="F461" s="8"/>
      <c r="G461" s="8"/>
      <c r="H461" s="8"/>
      <c r="I461" s="8" t="s">
        <v>1592</v>
      </c>
      <c r="J461" s="8" t="s">
        <v>64</v>
      </c>
      <c r="K461" s="8" t="s">
        <v>1191</v>
      </c>
      <c r="L461" s="8"/>
      <c r="M461" s="8"/>
      <c r="N461" s="8" t="s">
        <v>62</v>
      </c>
      <c r="O461" s="8" t="s">
        <v>63</v>
      </c>
      <c r="P461" s="4" t="n">
        <v>28</v>
      </c>
      <c r="Q461" s="8"/>
      <c r="R461" s="4" t="s">
        <v>1598</v>
      </c>
      <c r="S461" s="4"/>
    </row>
    <row r="462" customFormat="false" ht="15" hidden="false" customHeight="false" outlineLevel="0" collapsed="false">
      <c r="A462" s="4" t="s">
        <v>1599</v>
      </c>
      <c r="B462" s="8" t="s">
        <v>1600</v>
      </c>
      <c r="C462" s="8"/>
      <c r="D462" s="8"/>
      <c r="E462" s="8"/>
      <c r="F462" s="8"/>
      <c r="G462" s="8"/>
      <c r="H462" s="8"/>
      <c r="I462" s="8" t="s">
        <v>1291</v>
      </c>
      <c r="J462" s="8" t="s">
        <v>64</v>
      </c>
      <c r="K462" s="8" t="s">
        <v>1191</v>
      </c>
      <c r="L462" s="8"/>
      <c r="M462" s="8"/>
      <c r="N462" s="8" t="s">
        <v>62</v>
      </c>
      <c r="O462" s="8" t="s">
        <v>63</v>
      </c>
      <c r="P462" s="4" t="n">
        <v>28</v>
      </c>
      <c r="Q462" s="8"/>
      <c r="R462" s="4" t="s">
        <v>1600</v>
      </c>
      <c r="S462" s="4"/>
    </row>
    <row r="463" customFormat="false" ht="15" hidden="false" customHeight="false" outlineLevel="0" collapsed="false">
      <c r="A463" s="4" t="s">
        <v>1601</v>
      </c>
      <c r="B463" s="8" t="s">
        <v>1602</v>
      </c>
      <c r="C463" s="8"/>
      <c r="D463" s="8"/>
      <c r="E463" s="8"/>
      <c r="F463" s="8"/>
      <c r="G463" s="8"/>
      <c r="H463" s="8"/>
      <c r="I463" s="8" t="s">
        <v>1603</v>
      </c>
      <c r="J463" s="8" t="s">
        <v>64</v>
      </c>
      <c r="K463" s="8" t="s">
        <v>1191</v>
      </c>
      <c r="L463" s="8"/>
      <c r="M463" s="8"/>
      <c r="N463" s="8" t="s">
        <v>62</v>
      </c>
      <c r="O463" s="8" t="s">
        <v>63</v>
      </c>
      <c r="P463" s="4" t="n">
        <v>28</v>
      </c>
      <c r="Q463" s="8"/>
      <c r="R463" s="4" t="s">
        <v>1602</v>
      </c>
      <c r="S463" s="4"/>
    </row>
    <row r="464" customFormat="false" ht="15" hidden="false" customHeight="false" outlineLevel="0" collapsed="false">
      <c r="A464" s="4" t="s">
        <v>1604</v>
      </c>
      <c r="B464" s="8" t="s">
        <v>1605</v>
      </c>
      <c r="C464" s="8"/>
      <c r="D464" s="8"/>
      <c r="E464" s="8"/>
      <c r="F464" s="8"/>
      <c r="G464" s="8"/>
      <c r="H464" s="8"/>
      <c r="I464" s="8" t="s">
        <v>1606</v>
      </c>
      <c r="J464" s="8" t="s">
        <v>64</v>
      </c>
      <c r="K464" s="8" t="s">
        <v>1191</v>
      </c>
      <c r="L464" s="8"/>
      <c r="M464" s="8"/>
      <c r="N464" s="8" t="s">
        <v>62</v>
      </c>
      <c r="O464" s="8" t="s">
        <v>63</v>
      </c>
      <c r="P464" s="4" t="n">
        <v>28</v>
      </c>
      <c r="Q464" s="8"/>
      <c r="R464" s="4" t="s">
        <v>1605</v>
      </c>
      <c r="S464" s="4"/>
    </row>
    <row r="465" customFormat="false" ht="15" hidden="false" customHeight="false" outlineLevel="0" collapsed="false">
      <c r="A465" s="4" t="s">
        <v>1607</v>
      </c>
      <c r="B465" s="8" t="s">
        <v>1608</v>
      </c>
      <c r="C465" s="8" t="s">
        <v>58</v>
      </c>
      <c r="D465" s="8"/>
      <c r="E465" s="8" t="s">
        <v>60</v>
      </c>
      <c r="F465" s="8"/>
      <c r="G465" s="8"/>
      <c r="H465" s="8"/>
      <c r="I465" s="8" t="s">
        <v>1609</v>
      </c>
      <c r="J465" s="8" t="s">
        <v>64</v>
      </c>
      <c r="K465" s="8" t="s">
        <v>1191</v>
      </c>
      <c r="L465" s="8"/>
      <c r="M465" s="8"/>
      <c r="N465" s="8" t="s">
        <v>62</v>
      </c>
      <c r="O465" s="8" t="s">
        <v>63</v>
      </c>
      <c r="P465" s="4" t="n">
        <v>28</v>
      </c>
      <c r="Q465" s="8"/>
      <c r="R465" s="4" t="s">
        <v>1610</v>
      </c>
      <c r="S465" s="4"/>
    </row>
    <row r="466" customFormat="false" ht="15" hidden="false" customHeight="false" outlineLevel="0" collapsed="false">
      <c r="A466" s="4" t="s">
        <v>1611</v>
      </c>
      <c r="B466" s="8" t="s">
        <v>1612</v>
      </c>
      <c r="C466" s="8" t="s">
        <v>58</v>
      </c>
      <c r="D466" s="8"/>
      <c r="E466" s="8" t="s">
        <v>60</v>
      </c>
      <c r="F466" s="8"/>
      <c r="G466" s="8"/>
      <c r="H466" s="8"/>
      <c r="I466" s="8" t="s">
        <v>1613</v>
      </c>
      <c r="J466" s="8" t="s">
        <v>64</v>
      </c>
      <c r="K466" s="8" t="s">
        <v>1191</v>
      </c>
      <c r="L466" s="8"/>
      <c r="M466" s="8"/>
      <c r="N466" s="8" t="s">
        <v>62</v>
      </c>
      <c r="O466" s="8" t="s">
        <v>63</v>
      </c>
      <c r="P466" s="4" t="n">
        <v>28</v>
      </c>
      <c r="Q466" s="8"/>
      <c r="R466" s="4" t="s">
        <v>1614</v>
      </c>
      <c r="S466" s="4"/>
    </row>
    <row r="467" customFormat="false" ht="15" hidden="false" customHeight="false" outlineLevel="0" collapsed="false">
      <c r="A467" s="4" t="s">
        <v>1615</v>
      </c>
      <c r="B467" s="8" t="s">
        <v>902</v>
      </c>
      <c r="C467" s="8" t="s">
        <v>58</v>
      </c>
      <c r="D467" s="8"/>
      <c r="E467" s="8" t="s">
        <v>60</v>
      </c>
      <c r="F467" s="8"/>
      <c r="G467" s="8"/>
      <c r="H467" s="8"/>
      <c r="I467" s="8" t="s">
        <v>903</v>
      </c>
      <c r="J467" s="8" t="s">
        <v>64</v>
      </c>
      <c r="K467" s="8" t="s">
        <v>1191</v>
      </c>
      <c r="L467" s="8"/>
      <c r="M467" s="8"/>
      <c r="N467" s="8" t="s">
        <v>62</v>
      </c>
      <c r="O467" s="8" t="s">
        <v>63</v>
      </c>
      <c r="P467" s="4" t="n">
        <v>28</v>
      </c>
      <c r="Q467" s="8"/>
      <c r="R467" s="4" t="s">
        <v>904</v>
      </c>
      <c r="S467" s="4"/>
    </row>
    <row r="468" customFormat="false" ht="15" hidden="false" customHeight="false" outlineLevel="0" collapsed="false">
      <c r="A468" s="4" t="s">
        <v>1616</v>
      </c>
      <c r="B468" s="8" t="s">
        <v>1617</v>
      </c>
      <c r="C468" s="8"/>
      <c r="D468" s="8"/>
      <c r="E468" s="8"/>
      <c r="F468" s="8"/>
      <c r="G468" s="8"/>
      <c r="H468" s="8"/>
      <c r="I468" s="8" t="s">
        <v>1618</v>
      </c>
      <c r="J468" s="8" t="s">
        <v>64</v>
      </c>
      <c r="K468" s="8" t="s">
        <v>1191</v>
      </c>
      <c r="L468" s="8"/>
      <c r="M468" s="8"/>
      <c r="N468" s="8" t="s">
        <v>62</v>
      </c>
      <c r="O468" s="8" t="s">
        <v>63</v>
      </c>
      <c r="P468" s="4" t="n">
        <v>28</v>
      </c>
      <c r="Q468" s="8"/>
      <c r="R468" s="4" t="s">
        <v>1617</v>
      </c>
      <c r="S468" s="4" t="n">
        <v>935</v>
      </c>
    </row>
    <row r="469" customFormat="false" ht="15" hidden="false" customHeight="false" outlineLevel="0" collapsed="false">
      <c r="A469" s="4" t="s">
        <v>1619</v>
      </c>
      <c r="B469" s="8" t="s">
        <v>1620</v>
      </c>
      <c r="C469" s="8"/>
      <c r="D469" s="8"/>
      <c r="E469" s="8"/>
      <c r="F469" s="8"/>
      <c r="G469" s="8"/>
      <c r="H469" s="8"/>
      <c r="I469" s="8" t="s">
        <v>1621</v>
      </c>
      <c r="J469" s="8" t="s">
        <v>64</v>
      </c>
      <c r="K469" s="8" t="s">
        <v>1191</v>
      </c>
      <c r="L469" s="8"/>
      <c r="M469" s="8"/>
      <c r="N469" s="8" t="s">
        <v>62</v>
      </c>
      <c r="O469" s="8" t="s">
        <v>63</v>
      </c>
      <c r="P469" s="4" t="n">
        <v>28</v>
      </c>
      <c r="Q469" s="8"/>
      <c r="R469" s="4" t="s">
        <v>1620</v>
      </c>
      <c r="S469" s="4" t="n">
        <v>2749</v>
      </c>
    </row>
    <row r="470" customFormat="false" ht="15" hidden="false" customHeight="false" outlineLevel="0" collapsed="false">
      <c r="A470" s="4" t="s">
        <v>1622</v>
      </c>
      <c r="B470" s="8" t="s">
        <v>1623</v>
      </c>
      <c r="C470" s="8" t="s">
        <v>58</v>
      </c>
      <c r="D470" s="8"/>
      <c r="E470" s="8" t="s">
        <v>60</v>
      </c>
      <c r="F470" s="8"/>
      <c r="G470" s="8"/>
      <c r="H470" s="8"/>
      <c r="I470" s="8" t="s">
        <v>1624</v>
      </c>
      <c r="J470" s="8" t="s">
        <v>64</v>
      </c>
      <c r="K470" s="8" t="s">
        <v>1191</v>
      </c>
      <c r="L470" s="8"/>
      <c r="M470" s="8"/>
      <c r="N470" s="8" t="s">
        <v>62</v>
      </c>
      <c r="O470" s="8" t="s">
        <v>63</v>
      </c>
      <c r="P470" s="4" t="n">
        <v>28</v>
      </c>
      <c r="Q470" s="8"/>
      <c r="R470" s="4" t="s">
        <v>1625</v>
      </c>
      <c r="S470" s="4" t="n">
        <v>14852</v>
      </c>
    </row>
    <row r="471" customFormat="false" ht="15" hidden="false" customHeight="false" outlineLevel="0" collapsed="false">
      <c r="A471" s="4" t="s">
        <v>1626</v>
      </c>
      <c r="B471" s="8" t="s">
        <v>1627</v>
      </c>
      <c r="C471" s="8"/>
      <c r="D471" s="8"/>
      <c r="E471" s="8"/>
      <c r="F471" s="8"/>
      <c r="G471" s="8"/>
      <c r="H471" s="8"/>
      <c r="I471" s="8" t="s">
        <v>1628</v>
      </c>
      <c r="J471" s="8" t="s">
        <v>64</v>
      </c>
      <c r="K471" s="8" t="s">
        <v>1191</v>
      </c>
      <c r="L471" s="8"/>
      <c r="M471" s="8"/>
      <c r="N471" s="8" t="s">
        <v>62</v>
      </c>
      <c r="O471" s="8" t="s">
        <v>63</v>
      </c>
      <c r="P471" s="4" t="n">
        <v>28</v>
      </c>
      <c r="Q471" s="8"/>
      <c r="R471" s="4" t="s">
        <v>1627</v>
      </c>
      <c r="S471" s="4" t="n">
        <v>1756</v>
      </c>
    </row>
    <row r="472" customFormat="false" ht="15" hidden="false" customHeight="false" outlineLevel="0" collapsed="false">
      <c r="A472" s="4" t="s">
        <v>1629</v>
      </c>
      <c r="B472" s="8" t="s">
        <v>1630</v>
      </c>
      <c r="C472" s="8"/>
      <c r="D472" s="8"/>
      <c r="E472" s="8"/>
      <c r="F472" s="8"/>
      <c r="G472" s="8"/>
      <c r="H472" s="8"/>
      <c r="I472" s="8" t="s">
        <v>1631</v>
      </c>
      <c r="J472" s="8" t="s">
        <v>64</v>
      </c>
      <c r="K472" s="8" t="s">
        <v>1191</v>
      </c>
      <c r="L472" s="8"/>
      <c r="M472" s="8"/>
      <c r="N472" s="8" t="s">
        <v>62</v>
      </c>
      <c r="O472" s="8" t="s">
        <v>63</v>
      </c>
      <c r="P472" s="4" t="n">
        <v>28</v>
      </c>
      <c r="Q472" s="8"/>
      <c r="R472" s="4" t="s">
        <v>1630</v>
      </c>
      <c r="S472" s="4"/>
    </row>
    <row r="473" customFormat="false" ht="15" hidden="false" customHeight="false" outlineLevel="0" collapsed="false">
      <c r="A473" s="4" t="s">
        <v>1632</v>
      </c>
      <c r="B473" s="8" t="s">
        <v>1633</v>
      </c>
      <c r="C473" s="8" t="s">
        <v>58</v>
      </c>
      <c r="D473" s="8"/>
      <c r="E473" s="8" t="s">
        <v>60</v>
      </c>
      <c r="F473" s="8"/>
      <c r="G473" s="8"/>
      <c r="H473" s="8"/>
      <c r="I473" s="8" t="s">
        <v>1634</v>
      </c>
      <c r="J473" s="8" t="s">
        <v>64</v>
      </c>
      <c r="K473" s="8" t="s">
        <v>1191</v>
      </c>
      <c r="L473" s="8"/>
      <c r="M473" s="8"/>
      <c r="N473" s="8" t="s">
        <v>62</v>
      </c>
      <c r="O473" s="8" t="s">
        <v>63</v>
      </c>
      <c r="P473" s="4" t="n">
        <v>28</v>
      </c>
      <c r="Q473" s="8"/>
      <c r="R473" s="4" t="s">
        <v>1635</v>
      </c>
      <c r="S473" s="4"/>
    </row>
    <row r="474" customFormat="false" ht="15" hidden="false" customHeight="false" outlineLevel="0" collapsed="false">
      <c r="A474" s="4" t="s">
        <v>1636</v>
      </c>
      <c r="B474" s="8" t="s">
        <v>1637</v>
      </c>
      <c r="C474" s="8"/>
      <c r="D474" s="8"/>
      <c r="E474" s="8"/>
      <c r="F474" s="8"/>
      <c r="G474" s="8"/>
      <c r="H474" s="8"/>
      <c r="I474" s="8" t="s">
        <v>1638</v>
      </c>
      <c r="J474" s="8" t="s">
        <v>64</v>
      </c>
      <c r="K474" s="8" t="s">
        <v>1191</v>
      </c>
      <c r="L474" s="8"/>
      <c r="M474" s="8"/>
      <c r="N474" s="8" t="s">
        <v>62</v>
      </c>
      <c r="O474" s="8" t="s">
        <v>63</v>
      </c>
      <c r="P474" s="4" t="n">
        <v>28</v>
      </c>
      <c r="Q474" s="8"/>
      <c r="R474" s="4" t="s">
        <v>1637</v>
      </c>
      <c r="S474" s="4" t="n">
        <v>19266</v>
      </c>
    </row>
    <row r="475" customFormat="false" ht="15" hidden="false" customHeight="false" outlineLevel="0" collapsed="false">
      <c r="A475" s="4" t="s">
        <v>1639</v>
      </c>
      <c r="B475" s="8" t="s">
        <v>1640</v>
      </c>
      <c r="C475" s="8"/>
      <c r="D475" s="8"/>
      <c r="E475" s="8"/>
      <c r="F475" s="8"/>
      <c r="G475" s="8"/>
      <c r="H475" s="8"/>
      <c r="I475" s="8" t="s">
        <v>1641</v>
      </c>
      <c r="J475" s="8" t="s">
        <v>64</v>
      </c>
      <c r="K475" s="8" t="s">
        <v>1191</v>
      </c>
      <c r="L475" s="8"/>
      <c r="M475" s="8"/>
      <c r="N475" s="8" t="s">
        <v>62</v>
      </c>
      <c r="O475" s="8" t="s">
        <v>63</v>
      </c>
      <c r="P475" s="4" t="n">
        <v>29</v>
      </c>
      <c r="Q475" s="8"/>
      <c r="R475" s="4" t="s">
        <v>1640</v>
      </c>
      <c r="S475" s="4"/>
    </row>
    <row r="476" customFormat="false" ht="15" hidden="false" customHeight="false" outlineLevel="0" collapsed="false">
      <c r="A476" s="4" t="s">
        <v>1642</v>
      </c>
      <c r="B476" s="8" t="s">
        <v>933</v>
      </c>
      <c r="C476" s="8" t="s">
        <v>58</v>
      </c>
      <c r="D476" s="8"/>
      <c r="E476" s="8" t="s">
        <v>60</v>
      </c>
      <c r="F476" s="8"/>
      <c r="G476" s="8"/>
      <c r="H476" s="8"/>
      <c r="I476" s="8" t="s">
        <v>934</v>
      </c>
      <c r="J476" s="8" t="s">
        <v>64</v>
      </c>
      <c r="K476" s="8" t="s">
        <v>1191</v>
      </c>
      <c r="L476" s="8"/>
      <c r="M476" s="8"/>
      <c r="N476" s="8" t="s">
        <v>62</v>
      </c>
      <c r="O476" s="8" t="s">
        <v>63</v>
      </c>
      <c r="P476" s="4" t="n">
        <v>29</v>
      </c>
      <c r="Q476" s="8"/>
      <c r="R476" s="4" t="s">
        <v>1643</v>
      </c>
      <c r="S476" s="4" t="n">
        <v>822</v>
      </c>
    </row>
    <row r="477" customFormat="false" ht="15" hidden="false" customHeight="false" outlineLevel="0" collapsed="false">
      <c r="A477" s="4" t="s">
        <v>1644</v>
      </c>
      <c r="B477" s="8" t="s">
        <v>1645</v>
      </c>
      <c r="C477" s="8" t="s">
        <v>58</v>
      </c>
      <c r="D477" s="8"/>
      <c r="E477" s="8" t="s">
        <v>60</v>
      </c>
      <c r="F477" s="8"/>
      <c r="G477" s="8"/>
      <c r="H477" s="8"/>
      <c r="I477" s="8" t="s">
        <v>1646</v>
      </c>
      <c r="J477" s="8" t="s">
        <v>64</v>
      </c>
      <c r="K477" s="8" t="s">
        <v>1191</v>
      </c>
      <c r="L477" s="8"/>
      <c r="M477" s="8"/>
      <c r="N477" s="8" t="s">
        <v>62</v>
      </c>
      <c r="O477" s="8" t="s">
        <v>63</v>
      </c>
      <c r="P477" s="4" t="n">
        <v>29</v>
      </c>
      <c r="Q477" s="8"/>
      <c r="R477" s="4" t="s">
        <v>1647</v>
      </c>
      <c r="S477" s="4"/>
    </row>
    <row r="478" customFormat="false" ht="15" hidden="false" customHeight="false" outlineLevel="0" collapsed="false">
      <c r="A478" s="4" t="s">
        <v>1648</v>
      </c>
      <c r="B478" s="8" t="s">
        <v>1649</v>
      </c>
      <c r="C478" s="8"/>
      <c r="D478" s="8"/>
      <c r="E478" s="8"/>
      <c r="F478" s="8"/>
      <c r="G478" s="8"/>
      <c r="H478" s="8"/>
      <c r="I478" s="8" t="s">
        <v>1650</v>
      </c>
      <c r="J478" s="8" t="s">
        <v>64</v>
      </c>
      <c r="K478" s="8" t="s">
        <v>1191</v>
      </c>
      <c r="L478" s="8"/>
      <c r="M478" s="8"/>
      <c r="N478" s="8" t="s">
        <v>62</v>
      </c>
      <c r="O478" s="8" t="s">
        <v>63</v>
      </c>
      <c r="P478" s="4" t="n">
        <v>29</v>
      </c>
      <c r="Q478" s="8"/>
      <c r="R478" s="4" t="s">
        <v>1649</v>
      </c>
      <c r="S478" s="4"/>
    </row>
    <row r="479" customFormat="false" ht="15" hidden="false" customHeight="false" outlineLevel="0" collapsed="false">
      <c r="A479" s="4" t="s">
        <v>1651</v>
      </c>
      <c r="B479" s="8" t="s">
        <v>1652</v>
      </c>
      <c r="C479" s="8" t="s">
        <v>58</v>
      </c>
      <c r="D479" s="8"/>
      <c r="E479" s="8" t="s">
        <v>60</v>
      </c>
      <c r="F479" s="8"/>
      <c r="G479" s="8"/>
      <c r="H479" s="8"/>
      <c r="I479" s="8" t="s">
        <v>1653</v>
      </c>
      <c r="J479" s="8" t="s">
        <v>64</v>
      </c>
      <c r="K479" s="8" t="s">
        <v>1191</v>
      </c>
      <c r="L479" s="8"/>
      <c r="M479" s="8"/>
      <c r="N479" s="8" t="s">
        <v>62</v>
      </c>
      <c r="O479" s="8" t="s">
        <v>63</v>
      </c>
      <c r="P479" s="4" t="n">
        <v>29</v>
      </c>
      <c r="Q479" s="8"/>
      <c r="R479" s="4" t="s">
        <v>1654</v>
      </c>
      <c r="S479" s="4"/>
    </row>
    <row r="480" customFormat="false" ht="15" hidden="false" customHeight="false" outlineLevel="0" collapsed="false">
      <c r="A480" s="4" t="s">
        <v>1655</v>
      </c>
      <c r="B480" s="8" t="s">
        <v>1656</v>
      </c>
      <c r="C480" s="8" t="s">
        <v>58</v>
      </c>
      <c r="D480" s="8"/>
      <c r="E480" s="8" t="s">
        <v>60</v>
      </c>
      <c r="F480" s="8"/>
      <c r="G480" s="8"/>
      <c r="H480" s="8"/>
      <c r="I480" s="8" t="s">
        <v>1657</v>
      </c>
      <c r="J480" s="8" t="s">
        <v>64</v>
      </c>
      <c r="K480" s="8" t="s">
        <v>1191</v>
      </c>
      <c r="L480" s="8"/>
      <c r="M480" s="8"/>
      <c r="N480" s="8" t="s">
        <v>62</v>
      </c>
      <c r="O480" s="8" t="s">
        <v>63</v>
      </c>
      <c r="P480" s="4" t="n">
        <v>29</v>
      </c>
      <c r="Q480" s="8"/>
      <c r="R480" s="4" t="s">
        <v>1658</v>
      </c>
      <c r="S480" s="4"/>
    </row>
    <row r="481" customFormat="false" ht="15" hidden="false" customHeight="false" outlineLevel="0" collapsed="false">
      <c r="A481" s="4" t="s">
        <v>1659</v>
      </c>
      <c r="B481" s="8" t="s">
        <v>1660</v>
      </c>
      <c r="C481" s="8"/>
      <c r="D481" s="8"/>
      <c r="E481" s="8"/>
      <c r="F481" s="8"/>
      <c r="G481" s="8"/>
      <c r="H481" s="8"/>
      <c r="I481" s="8" t="s">
        <v>1661</v>
      </c>
      <c r="J481" s="8" t="s">
        <v>64</v>
      </c>
      <c r="K481" s="8" t="s">
        <v>1191</v>
      </c>
      <c r="L481" s="8"/>
      <c r="M481" s="8"/>
      <c r="N481" s="8" t="s">
        <v>62</v>
      </c>
      <c r="O481" s="8" t="s">
        <v>63</v>
      </c>
      <c r="P481" s="4" t="n">
        <v>29</v>
      </c>
      <c r="Q481" s="8"/>
      <c r="R481" s="4" t="s">
        <v>1660</v>
      </c>
      <c r="S481" s="4"/>
    </row>
    <row r="482" customFormat="false" ht="15" hidden="false" customHeight="false" outlineLevel="0" collapsed="false">
      <c r="A482" s="4" t="s">
        <v>1662</v>
      </c>
      <c r="B482" s="8" t="s">
        <v>1663</v>
      </c>
      <c r="C482" s="8" t="s">
        <v>58</v>
      </c>
      <c r="D482" s="8"/>
      <c r="E482" s="8" t="s">
        <v>60</v>
      </c>
      <c r="F482" s="8"/>
      <c r="G482" s="8"/>
      <c r="H482" s="8"/>
      <c r="I482" s="8" t="s">
        <v>1664</v>
      </c>
      <c r="J482" s="8" t="s">
        <v>64</v>
      </c>
      <c r="K482" s="8" t="s">
        <v>1191</v>
      </c>
      <c r="L482" s="8"/>
      <c r="M482" s="8"/>
      <c r="N482" s="8" t="s">
        <v>62</v>
      </c>
      <c r="O482" s="8" t="s">
        <v>63</v>
      </c>
      <c r="P482" s="4" t="n">
        <v>29</v>
      </c>
      <c r="Q482" s="8"/>
      <c r="R482" s="4" t="s">
        <v>1665</v>
      </c>
      <c r="S482" s="4" t="n">
        <v>4115</v>
      </c>
    </row>
    <row r="483" customFormat="false" ht="15" hidden="false" customHeight="false" outlineLevel="0" collapsed="false">
      <c r="A483" s="4" t="s">
        <v>1666</v>
      </c>
      <c r="B483" s="8" t="s">
        <v>1667</v>
      </c>
      <c r="C483" s="8" t="s">
        <v>58</v>
      </c>
      <c r="D483" s="8"/>
      <c r="E483" s="8" t="s">
        <v>60</v>
      </c>
      <c r="F483" s="8"/>
      <c r="G483" s="8"/>
      <c r="H483" s="8"/>
      <c r="I483" s="8" t="s">
        <v>1668</v>
      </c>
      <c r="J483" s="8" t="s">
        <v>64</v>
      </c>
      <c r="K483" s="8" t="s">
        <v>1191</v>
      </c>
      <c r="L483" s="8"/>
      <c r="M483" s="8"/>
      <c r="N483" s="8" t="s">
        <v>62</v>
      </c>
      <c r="O483" s="8" t="s">
        <v>63</v>
      </c>
      <c r="P483" s="4" t="n">
        <v>29</v>
      </c>
      <c r="Q483" s="8"/>
      <c r="R483" s="4" t="s">
        <v>1669</v>
      </c>
      <c r="S483" s="4"/>
    </row>
    <row r="484" customFormat="false" ht="15" hidden="false" customHeight="false" outlineLevel="0" collapsed="false">
      <c r="A484" s="4" t="s">
        <v>1670</v>
      </c>
      <c r="B484" s="8" t="s">
        <v>1671</v>
      </c>
      <c r="C484" s="8" t="s">
        <v>58</v>
      </c>
      <c r="D484" s="8"/>
      <c r="E484" s="8" t="s">
        <v>60</v>
      </c>
      <c r="F484" s="8"/>
      <c r="G484" s="8"/>
      <c r="H484" s="8"/>
      <c r="I484" s="8" t="s">
        <v>1672</v>
      </c>
      <c r="J484" s="8" t="s">
        <v>64</v>
      </c>
      <c r="K484" s="8" t="s">
        <v>1191</v>
      </c>
      <c r="L484" s="8"/>
      <c r="M484" s="8"/>
      <c r="N484" s="8" t="s">
        <v>62</v>
      </c>
      <c r="O484" s="8" t="s">
        <v>63</v>
      </c>
      <c r="P484" s="4" t="n">
        <v>29</v>
      </c>
      <c r="Q484" s="8"/>
      <c r="R484" s="4" t="s">
        <v>1673</v>
      </c>
      <c r="S484" s="4"/>
    </row>
    <row r="485" customFormat="false" ht="15" hidden="false" customHeight="false" outlineLevel="0" collapsed="false">
      <c r="A485" s="4" t="s">
        <v>1674</v>
      </c>
      <c r="B485" s="8" t="s">
        <v>1675</v>
      </c>
      <c r="C485" s="8" t="s">
        <v>58</v>
      </c>
      <c r="D485" s="8"/>
      <c r="E485" s="8" t="s">
        <v>60</v>
      </c>
      <c r="F485" s="8"/>
      <c r="G485" s="8"/>
      <c r="H485" s="8"/>
      <c r="I485" s="8" t="s">
        <v>1676</v>
      </c>
      <c r="J485" s="8" t="s">
        <v>64</v>
      </c>
      <c r="K485" s="8" t="s">
        <v>1191</v>
      </c>
      <c r="L485" s="8"/>
      <c r="M485" s="8"/>
      <c r="N485" s="8" t="s">
        <v>62</v>
      </c>
      <c r="O485" s="8" t="s">
        <v>63</v>
      </c>
      <c r="P485" s="4" t="n">
        <v>29</v>
      </c>
      <c r="Q485" s="8"/>
      <c r="R485" s="4" t="s">
        <v>1677</v>
      </c>
      <c r="S485" s="4"/>
    </row>
    <row r="486" customFormat="false" ht="15" hidden="false" customHeight="false" outlineLevel="0" collapsed="false">
      <c r="A486" s="4" t="s">
        <v>1678</v>
      </c>
      <c r="B486" s="8" t="s">
        <v>959</v>
      </c>
      <c r="C486" s="8"/>
      <c r="D486" s="8"/>
      <c r="E486" s="8"/>
      <c r="F486" s="8"/>
      <c r="G486" s="8"/>
      <c r="H486" s="8"/>
      <c r="I486" s="8" t="s">
        <v>1679</v>
      </c>
      <c r="J486" s="8" t="s">
        <v>64</v>
      </c>
      <c r="K486" s="8" t="s">
        <v>1191</v>
      </c>
      <c r="L486" s="8"/>
      <c r="M486" s="8"/>
      <c r="N486" s="8" t="s">
        <v>62</v>
      </c>
      <c r="O486" s="8" t="s">
        <v>63</v>
      </c>
      <c r="P486" s="4" t="n">
        <v>29</v>
      </c>
      <c r="Q486" s="8"/>
      <c r="R486" s="4" t="s">
        <v>959</v>
      </c>
      <c r="S486" s="4"/>
    </row>
    <row r="487" customFormat="false" ht="15" hidden="false" customHeight="false" outlineLevel="0" collapsed="false">
      <c r="A487" s="4" t="s">
        <v>1680</v>
      </c>
      <c r="B487" s="8" t="s">
        <v>962</v>
      </c>
      <c r="C487" s="8" t="s">
        <v>58</v>
      </c>
      <c r="D487" s="8"/>
      <c r="E487" s="8" t="s">
        <v>60</v>
      </c>
      <c r="F487" s="8"/>
      <c r="G487" s="8"/>
      <c r="H487" s="8"/>
      <c r="I487" s="8" t="s">
        <v>963</v>
      </c>
      <c r="J487" s="8" t="s">
        <v>64</v>
      </c>
      <c r="K487" s="8" t="s">
        <v>1191</v>
      </c>
      <c r="L487" s="8"/>
      <c r="M487" s="8"/>
      <c r="N487" s="8" t="s">
        <v>62</v>
      </c>
      <c r="O487" s="8" t="s">
        <v>63</v>
      </c>
      <c r="P487" s="4" t="n">
        <v>29</v>
      </c>
      <c r="Q487" s="8"/>
      <c r="R487" s="4" t="s">
        <v>964</v>
      </c>
      <c r="S487" s="4" t="n">
        <v>703</v>
      </c>
    </row>
    <row r="488" customFormat="false" ht="26.85" hidden="false" customHeight="false" outlineLevel="0" collapsed="false">
      <c r="A488" s="4" t="s">
        <v>1681</v>
      </c>
      <c r="B488" s="8" t="s">
        <v>1682</v>
      </c>
      <c r="C488" s="8" t="s">
        <v>58</v>
      </c>
      <c r="D488" s="8"/>
      <c r="E488" s="8" t="s">
        <v>60</v>
      </c>
      <c r="F488" s="8"/>
      <c r="G488" s="8"/>
      <c r="H488" s="8"/>
      <c r="I488" s="8" t="s">
        <v>1683</v>
      </c>
      <c r="J488" s="8" t="s">
        <v>64</v>
      </c>
      <c r="K488" s="8" t="s">
        <v>1191</v>
      </c>
      <c r="L488" s="8"/>
      <c r="M488" s="8"/>
      <c r="N488" s="8" t="s">
        <v>62</v>
      </c>
      <c r="O488" s="8" t="s">
        <v>63</v>
      </c>
      <c r="P488" s="4" t="n">
        <v>29</v>
      </c>
      <c r="Q488" s="8"/>
      <c r="R488" s="4" t="s">
        <v>1684</v>
      </c>
      <c r="S488" s="4"/>
    </row>
    <row r="489" customFormat="false" ht="15" hidden="false" customHeight="false" outlineLevel="0" collapsed="false">
      <c r="A489" s="4" t="s">
        <v>1685</v>
      </c>
      <c r="B489" s="8" t="s">
        <v>1686</v>
      </c>
      <c r="C489" s="8" t="s">
        <v>58</v>
      </c>
      <c r="D489" s="8"/>
      <c r="E489" s="8" t="s">
        <v>60</v>
      </c>
      <c r="F489" s="8"/>
      <c r="G489" s="8"/>
      <c r="H489" s="8"/>
      <c r="I489" s="8" t="s">
        <v>1687</v>
      </c>
      <c r="J489" s="8" t="s">
        <v>64</v>
      </c>
      <c r="K489" s="8" t="s">
        <v>1191</v>
      </c>
      <c r="L489" s="8"/>
      <c r="M489" s="8"/>
      <c r="N489" s="8" t="s">
        <v>62</v>
      </c>
      <c r="O489" s="8" t="s">
        <v>63</v>
      </c>
      <c r="P489" s="4" t="n">
        <v>29</v>
      </c>
      <c r="Q489" s="8"/>
      <c r="R489" s="4" t="s">
        <v>1688</v>
      </c>
      <c r="S489" s="4" t="n">
        <v>1034</v>
      </c>
    </row>
    <row r="490" customFormat="false" ht="15" hidden="false" customHeight="false" outlineLevel="0" collapsed="false">
      <c r="A490" s="4" t="s">
        <v>1689</v>
      </c>
      <c r="B490" s="8" t="s">
        <v>1690</v>
      </c>
      <c r="C490" s="8" t="s">
        <v>58</v>
      </c>
      <c r="D490" s="8"/>
      <c r="E490" s="8" t="s">
        <v>60</v>
      </c>
      <c r="F490" s="8"/>
      <c r="G490" s="8"/>
      <c r="H490" s="8"/>
      <c r="I490" s="8" t="s">
        <v>1691</v>
      </c>
      <c r="J490" s="8" t="s">
        <v>64</v>
      </c>
      <c r="K490" s="8" t="s">
        <v>1191</v>
      </c>
      <c r="L490" s="8"/>
      <c r="M490" s="8"/>
      <c r="N490" s="8" t="s">
        <v>62</v>
      </c>
      <c r="O490" s="8" t="s">
        <v>63</v>
      </c>
      <c r="P490" s="4" t="n">
        <v>29</v>
      </c>
      <c r="Q490" s="8"/>
      <c r="R490" s="4" t="s">
        <v>1692</v>
      </c>
      <c r="S490" s="4"/>
    </row>
    <row r="491" customFormat="false" ht="15" hidden="false" customHeight="false" outlineLevel="0" collapsed="false">
      <c r="A491" s="4" t="s">
        <v>1693</v>
      </c>
      <c r="B491" s="8" t="s">
        <v>1694</v>
      </c>
      <c r="C491" s="8"/>
      <c r="D491" s="8"/>
      <c r="E491" s="8"/>
      <c r="F491" s="8"/>
      <c r="G491" s="8"/>
      <c r="H491" s="8"/>
      <c r="I491" s="8" t="s">
        <v>1695</v>
      </c>
      <c r="J491" s="8" t="s">
        <v>64</v>
      </c>
      <c r="K491" s="8" t="s">
        <v>1191</v>
      </c>
      <c r="L491" s="8"/>
      <c r="M491" s="8"/>
      <c r="N491" s="8" t="s">
        <v>62</v>
      </c>
      <c r="O491" s="8" t="s">
        <v>63</v>
      </c>
      <c r="P491" s="4" t="n">
        <v>29</v>
      </c>
      <c r="Q491" s="8"/>
      <c r="R491" s="4" t="s">
        <v>1694</v>
      </c>
      <c r="S491" s="4"/>
    </row>
    <row r="492" customFormat="false" ht="15" hidden="false" customHeight="false" outlineLevel="0" collapsed="false">
      <c r="A492" s="4" t="s">
        <v>1696</v>
      </c>
      <c r="B492" s="8" t="s">
        <v>966</v>
      </c>
      <c r="C492" s="8" t="s">
        <v>58</v>
      </c>
      <c r="D492" s="8"/>
      <c r="E492" s="8" t="s">
        <v>60</v>
      </c>
      <c r="F492" s="8"/>
      <c r="G492" s="8"/>
      <c r="H492" s="8"/>
      <c r="I492" s="8" t="s">
        <v>967</v>
      </c>
      <c r="J492" s="8" t="s">
        <v>64</v>
      </c>
      <c r="K492" s="8" t="s">
        <v>1191</v>
      </c>
      <c r="L492" s="8"/>
      <c r="M492" s="8"/>
      <c r="N492" s="8" t="s">
        <v>62</v>
      </c>
      <c r="O492" s="8" t="s">
        <v>63</v>
      </c>
      <c r="P492" s="4" t="n">
        <v>29</v>
      </c>
      <c r="Q492" s="8"/>
      <c r="R492" s="4" t="s">
        <v>968</v>
      </c>
      <c r="S492" s="4"/>
    </row>
    <row r="493" customFormat="false" ht="15" hidden="false" customHeight="false" outlineLevel="0" collapsed="false">
      <c r="A493" s="4" t="s">
        <v>1697</v>
      </c>
      <c r="B493" s="8" t="s">
        <v>970</v>
      </c>
      <c r="C493" s="8"/>
      <c r="D493" s="8"/>
      <c r="E493" s="8"/>
      <c r="F493" s="8"/>
      <c r="G493" s="8"/>
      <c r="H493" s="8"/>
      <c r="I493" s="8" t="s">
        <v>971</v>
      </c>
      <c r="J493" s="8" t="s">
        <v>64</v>
      </c>
      <c r="K493" s="8" t="s">
        <v>1191</v>
      </c>
      <c r="L493" s="8"/>
      <c r="M493" s="8"/>
      <c r="N493" s="8" t="s">
        <v>62</v>
      </c>
      <c r="O493" s="8" t="s">
        <v>63</v>
      </c>
      <c r="P493" s="4" t="n">
        <v>29</v>
      </c>
      <c r="Q493" s="8"/>
      <c r="R493" s="4" t="s">
        <v>970</v>
      </c>
      <c r="S493" s="4"/>
    </row>
    <row r="494" customFormat="false" ht="15" hidden="false" customHeight="false" outlineLevel="0" collapsed="false">
      <c r="A494" s="4" t="s">
        <v>1698</v>
      </c>
      <c r="B494" s="8" t="s">
        <v>1699</v>
      </c>
      <c r="C494" s="8" t="s">
        <v>58</v>
      </c>
      <c r="D494" s="8"/>
      <c r="E494" s="8" t="s">
        <v>60</v>
      </c>
      <c r="F494" s="8"/>
      <c r="G494" s="8"/>
      <c r="H494" s="8"/>
      <c r="I494" s="8" t="s">
        <v>1700</v>
      </c>
      <c r="J494" s="8" t="s">
        <v>64</v>
      </c>
      <c r="K494" s="8" t="s">
        <v>1191</v>
      </c>
      <c r="L494" s="8"/>
      <c r="M494" s="8"/>
      <c r="N494" s="8" t="s">
        <v>62</v>
      </c>
      <c r="O494" s="8" t="s">
        <v>63</v>
      </c>
      <c r="P494" s="4" t="n">
        <v>29</v>
      </c>
      <c r="Q494" s="8"/>
      <c r="R494" s="4" t="s">
        <v>1701</v>
      </c>
      <c r="S494" s="4"/>
    </row>
    <row r="495" customFormat="false" ht="15" hidden="false" customHeight="false" outlineLevel="0" collapsed="false">
      <c r="A495" s="4" t="s">
        <v>1702</v>
      </c>
      <c r="B495" s="8" t="s">
        <v>1703</v>
      </c>
      <c r="C495" s="8"/>
      <c r="D495" s="8"/>
      <c r="E495" s="8"/>
      <c r="F495" s="8"/>
      <c r="G495" s="8"/>
      <c r="H495" s="8"/>
      <c r="I495" s="8" t="s">
        <v>1704</v>
      </c>
      <c r="J495" s="8" t="s">
        <v>64</v>
      </c>
      <c r="K495" s="8" t="s">
        <v>1191</v>
      </c>
      <c r="L495" s="8"/>
      <c r="M495" s="8"/>
      <c r="N495" s="8" t="s">
        <v>62</v>
      </c>
      <c r="O495" s="8" t="s">
        <v>63</v>
      </c>
      <c r="P495" s="4" t="n">
        <v>29</v>
      </c>
      <c r="Q495" s="8"/>
      <c r="R495" s="4" t="s">
        <v>1703</v>
      </c>
      <c r="S495" s="4" t="n">
        <v>282</v>
      </c>
    </row>
    <row r="496" customFormat="false" ht="15" hidden="false" customHeight="false" outlineLevel="0" collapsed="false">
      <c r="A496" s="4" t="s">
        <v>1705</v>
      </c>
      <c r="B496" s="8" t="s">
        <v>1706</v>
      </c>
      <c r="C496" s="8"/>
      <c r="D496" s="8"/>
      <c r="E496" s="8"/>
      <c r="F496" s="8"/>
      <c r="G496" s="8"/>
      <c r="H496" s="8"/>
      <c r="I496" s="8" t="s">
        <v>1707</v>
      </c>
      <c r="J496" s="8" t="s">
        <v>64</v>
      </c>
      <c r="K496" s="8" t="s">
        <v>1191</v>
      </c>
      <c r="L496" s="8"/>
      <c r="M496" s="8"/>
      <c r="N496" s="8" t="s">
        <v>62</v>
      </c>
      <c r="O496" s="8" t="s">
        <v>63</v>
      </c>
      <c r="P496" s="4" t="n">
        <v>29</v>
      </c>
      <c r="Q496" s="8"/>
      <c r="R496" s="4" t="s">
        <v>1706</v>
      </c>
      <c r="S496" s="4"/>
    </row>
    <row r="497" customFormat="false" ht="15" hidden="false" customHeight="false" outlineLevel="0" collapsed="false">
      <c r="A497" s="4" t="s">
        <v>1708</v>
      </c>
      <c r="B497" s="8" t="s">
        <v>1709</v>
      </c>
      <c r="C497" s="8" t="s">
        <v>58</v>
      </c>
      <c r="D497" s="8"/>
      <c r="E497" s="8" t="s">
        <v>60</v>
      </c>
      <c r="F497" s="8"/>
      <c r="G497" s="8"/>
      <c r="H497" s="8"/>
      <c r="I497" s="8" t="s">
        <v>1710</v>
      </c>
      <c r="J497" s="8" t="s">
        <v>64</v>
      </c>
      <c r="K497" s="8" t="s">
        <v>1191</v>
      </c>
      <c r="L497" s="8"/>
      <c r="M497" s="8"/>
      <c r="N497" s="8" t="s">
        <v>62</v>
      </c>
      <c r="O497" s="8" t="s">
        <v>63</v>
      </c>
      <c r="P497" s="4" t="n">
        <v>29</v>
      </c>
      <c r="Q497" s="8"/>
      <c r="R497" s="4" t="s">
        <v>1711</v>
      </c>
      <c r="S497" s="4"/>
    </row>
    <row r="498" customFormat="false" ht="15" hidden="false" customHeight="false" outlineLevel="0" collapsed="false">
      <c r="A498" s="4" t="s">
        <v>1712</v>
      </c>
      <c r="B498" s="8" t="s">
        <v>1713</v>
      </c>
      <c r="C498" s="8" t="s">
        <v>58</v>
      </c>
      <c r="D498" s="8"/>
      <c r="E498" s="8" t="s">
        <v>60</v>
      </c>
      <c r="F498" s="8"/>
      <c r="G498" s="8"/>
      <c r="H498" s="8"/>
      <c r="I498" s="8" t="s">
        <v>1714</v>
      </c>
      <c r="J498" s="8" t="s">
        <v>64</v>
      </c>
      <c r="K498" s="8" t="s">
        <v>1191</v>
      </c>
      <c r="L498" s="8"/>
      <c r="M498" s="8"/>
      <c r="N498" s="8" t="s">
        <v>62</v>
      </c>
      <c r="O498" s="8" t="s">
        <v>63</v>
      </c>
      <c r="P498" s="4" t="n">
        <v>29</v>
      </c>
      <c r="Q498" s="8"/>
      <c r="R498" s="4" t="s">
        <v>1715</v>
      </c>
      <c r="S498" s="4"/>
    </row>
    <row r="499" customFormat="false" ht="15" hidden="false" customHeight="false" outlineLevel="0" collapsed="false">
      <c r="A499" s="4" t="s">
        <v>1716</v>
      </c>
      <c r="B499" s="8" t="s">
        <v>1717</v>
      </c>
      <c r="C499" s="8"/>
      <c r="D499" s="8"/>
      <c r="E499" s="8"/>
      <c r="F499" s="8"/>
      <c r="G499" s="8"/>
      <c r="H499" s="8"/>
      <c r="I499" s="8" t="s">
        <v>1718</v>
      </c>
      <c r="J499" s="8" t="s">
        <v>64</v>
      </c>
      <c r="K499" s="8" t="s">
        <v>1191</v>
      </c>
      <c r="L499" s="8"/>
      <c r="M499" s="8"/>
      <c r="N499" s="8" t="s">
        <v>62</v>
      </c>
      <c r="O499" s="8" t="s">
        <v>63</v>
      </c>
      <c r="P499" s="4" t="n">
        <v>29</v>
      </c>
      <c r="Q499" s="8"/>
      <c r="R499" s="4" t="s">
        <v>1717</v>
      </c>
      <c r="S499" s="4"/>
    </row>
    <row r="500" customFormat="false" ht="15" hidden="false" customHeight="false" outlineLevel="0" collapsed="false">
      <c r="A500" s="4" t="s">
        <v>1719</v>
      </c>
      <c r="B500" s="8" t="s">
        <v>1720</v>
      </c>
      <c r="C500" s="8" t="s">
        <v>58</v>
      </c>
      <c r="D500" s="8"/>
      <c r="E500" s="8" t="s">
        <v>60</v>
      </c>
      <c r="F500" s="8"/>
      <c r="G500" s="8"/>
      <c r="H500" s="8"/>
      <c r="I500" s="8" t="s">
        <v>1721</v>
      </c>
      <c r="J500" s="8" t="s">
        <v>64</v>
      </c>
      <c r="K500" s="8" t="s">
        <v>1191</v>
      </c>
      <c r="L500" s="8"/>
      <c r="M500" s="8"/>
      <c r="N500" s="8" t="s">
        <v>62</v>
      </c>
      <c r="O500" s="8" t="s">
        <v>63</v>
      </c>
      <c r="P500" s="4" t="n">
        <v>29</v>
      </c>
      <c r="Q500" s="8"/>
      <c r="R500" s="4" t="s">
        <v>1722</v>
      </c>
      <c r="S500" s="4" t="n">
        <v>1662</v>
      </c>
    </row>
    <row r="501" customFormat="false" ht="15" hidden="false" customHeight="false" outlineLevel="0" collapsed="false">
      <c r="A501" s="4" t="s">
        <v>1723</v>
      </c>
      <c r="B501" s="8" t="s">
        <v>1724</v>
      </c>
      <c r="C501" s="8" t="s">
        <v>58</v>
      </c>
      <c r="D501" s="8"/>
      <c r="E501" s="8" t="s">
        <v>60</v>
      </c>
      <c r="F501" s="8"/>
      <c r="G501" s="8"/>
      <c r="H501" s="8"/>
      <c r="I501" s="8" t="s">
        <v>1725</v>
      </c>
      <c r="J501" s="8" t="s">
        <v>64</v>
      </c>
      <c r="K501" s="8" t="s">
        <v>1191</v>
      </c>
      <c r="L501" s="8"/>
      <c r="M501" s="8"/>
      <c r="N501" s="8" t="s">
        <v>62</v>
      </c>
      <c r="O501" s="8" t="s">
        <v>63</v>
      </c>
      <c r="P501" s="4" t="n">
        <v>29</v>
      </c>
      <c r="Q501" s="8"/>
      <c r="R501" s="4" t="s">
        <v>1726</v>
      </c>
      <c r="S501" s="4"/>
    </row>
    <row r="502" customFormat="false" ht="15" hidden="false" customHeight="false" outlineLevel="0" collapsed="false">
      <c r="A502" s="4" t="s">
        <v>1727</v>
      </c>
      <c r="B502" s="8" t="s">
        <v>1728</v>
      </c>
      <c r="C502" s="8" t="s">
        <v>58</v>
      </c>
      <c r="D502" s="8"/>
      <c r="E502" s="8" t="s">
        <v>60</v>
      </c>
      <c r="F502" s="8"/>
      <c r="G502" s="8"/>
      <c r="H502" s="8"/>
      <c r="I502" s="8" t="s">
        <v>1729</v>
      </c>
      <c r="J502" s="8" t="s">
        <v>64</v>
      </c>
      <c r="K502" s="8" t="s">
        <v>1191</v>
      </c>
      <c r="L502" s="8"/>
      <c r="M502" s="8"/>
      <c r="N502" s="8" t="s">
        <v>62</v>
      </c>
      <c r="O502" s="8" t="s">
        <v>63</v>
      </c>
      <c r="P502" s="4" t="n">
        <v>29</v>
      </c>
      <c r="Q502" s="8"/>
      <c r="R502" s="4" t="s">
        <v>1730</v>
      </c>
      <c r="S502" s="4"/>
    </row>
    <row r="503" customFormat="false" ht="15" hidden="false" customHeight="false" outlineLevel="0" collapsed="false">
      <c r="A503" s="4" t="s">
        <v>1731</v>
      </c>
      <c r="B503" s="8" t="s">
        <v>1732</v>
      </c>
      <c r="C503" s="8" t="s">
        <v>58</v>
      </c>
      <c r="D503" s="8"/>
      <c r="E503" s="8" t="s">
        <v>60</v>
      </c>
      <c r="F503" s="8"/>
      <c r="G503" s="8"/>
      <c r="H503" s="8"/>
      <c r="I503" s="8" t="s">
        <v>1733</v>
      </c>
      <c r="J503" s="8" t="s">
        <v>64</v>
      </c>
      <c r="K503" s="8" t="s">
        <v>1191</v>
      </c>
      <c r="L503" s="8"/>
      <c r="M503" s="8"/>
      <c r="N503" s="8" t="s">
        <v>62</v>
      </c>
      <c r="O503" s="8" t="s">
        <v>63</v>
      </c>
      <c r="P503" s="4" t="n">
        <v>29</v>
      </c>
      <c r="Q503" s="8"/>
      <c r="R503" s="4" t="s">
        <v>1734</v>
      </c>
      <c r="S503" s="4"/>
    </row>
    <row r="504" customFormat="false" ht="15" hidden="false" customHeight="false" outlineLevel="0" collapsed="false">
      <c r="A504" s="4" t="s">
        <v>1735</v>
      </c>
      <c r="B504" s="8" t="s">
        <v>1736</v>
      </c>
      <c r="C504" s="8"/>
      <c r="D504" s="8"/>
      <c r="E504" s="8"/>
      <c r="F504" s="8"/>
      <c r="G504" s="8"/>
      <c r="H504" s="8"/>
      <c r="I504" s="8" t="s">
        <v>1737</v>
      </c>
      <c r="J504" s="8" t="s">
        <v>64</v>
      </c>
      <c r="K504" s="8" t="s">
        <v>1191</v>
      </c>
      <c r="L504" s="8"/>
      <c r="M504" s="8"/>
      <c r="N504" s="8" t="s">
        <v>62</v>
      </c>
      <c r="O504" s="8" t="s">
        <v>63</v>
      </c>
      <c r="P504" s="4" t="n">
        <v>29</v>
      </c>
      <c r="Q504" s="8"/>
      <c r="R504" s="4" t="s">
        <v>1736</v>
      </c>
      <c r="S504" s="4" t="n">
        <v>79410</v>
      </c>
    </row>
    <row r="505" customFormat="false" ht="15" hidden="false" customHeight="false" outlineLevel="0" collapsed="false">
      <c r="A505" s="4" t="s">
        <v>1738</v>
      </c>
      <c r="B505" s="8" t="s">
        <v>1739</v>
      </c>
      <c r="C505" s="8"/>
      <c r="D505" s="8"/>
      <c r="E505" s="8"/>
      <c r="F505" s="8"/>
      <c r="G505" s="8"/>
      <c r="H505" s="8"/>
      <c r="I505" s="8" t="s">
        <v>1740</v>
      </c>
      <c r="J505" s="8" t="s">
        <v>64</v>
      </c>
      <c r="K505" s="8" t="s">
        <v>1191</v>
      </c>
      <c r="L505" s="8"/>
      <c r="M505" s="8"/>
      <c r="N505" s="8" t="s">
        <v>62</v>
      </c>
      <c r="O505" s="8" t="s">
        <v>63</v>
      </c>
      <c r="P505" s="4" t="n">
        <v>29</v>
      </c>
      <c r="Q505" s="8"/>
      <c r="R505" s="4" t="s">
        <v>1739</v>
      </c>
      <c r="S505" s="4"/>
    </row>
    <row r="506" customFormat="false" ht="15" hidden="false" customHeight="false" outlineLevel="0" collapsed="false">
      <c r="A506" s="4" t="s">
        <v>1741</v>
      </c>
      <c r="B506" s="8" t="s">
        <v>1742</v>
      </c>
      <c r="C506" s="8" t="s">
        <v>58</v>
      </c>
      <c r="D506" s="8"/>
      <c r="E506" s="8" t="s">
        <v>60</v>
      </c>
      <c r="F506" s="8"/>
      <c r="G506" s="8"/>
      <c r="H506" s="8"/>
      <c r="I506" s="8" t="s">
        <v>1743</v>
      </c>
      <c r="J506" s="8" t="s">
        <v>64</v>
      </c>
      <c r="K506" s="8" t="s">
        <v>1191</v>
      </c>
      <c r="L506" s="8"/>
      <c r="M506" s="8"/>
      <c r="N506" s="8" t="s">
        <v>62</v>
      </c>
      <c r="O506" s="8" t="s">
        <v>63</v>
      </c>
      <c r="P506" s="4" t="n">
        <v>29</v>
      </c>
      <c r="Q506" s="8"/>
      <c r="R506" s="4" t="s">
        <v>1744</v>
      </c>
      <c r="S506" s="4" t="n">
        <v>1286</v>
      </c>
    </row>
    <row r="507" customFormat="false" ht="15" hidden="false" customHeight="false" outlineLevel="0" collapsed="false">
      <c r="A507" s="4" t="s">
        <v>1745</v>
      </c>
      <c r="B507" s="8" t="s">
        <v>1746</v>
      </c>
      <c r="C507" s="8"/>
      <c r="D507" s="8"/>
      <c r="E507" s="8"/>
      <c r="F507" s="8"/>
      <c r="G507" s="8"/>
      <c r="H507" s="8"/>
      <c r="I507" s="8" t="s">
        <v>1747</v>
      </c>
      <c r="J507" s="8" t="s">
        <v>64</v>
      </c>
      <c r="K507" s="8" t="s">
        <v>1191</v>
      </c>
      <c r="L507" s="8"/>
      <c r="M507" s="8"/>
      <c r="N507" s="8" t="s">
        <v>62</v>
      </c>
      <c r="O507" s="8" t="s">
        <v>63</v>
      </c>
      <c r="P507" s="4" t="n">
        <v>29</v>
      </c>
      <c r="Q507" s="8"/>
      <c r="R507" s="4" t="s">
        <v>1746</v>
      </c>
      <c r="S507" s="4"/>
    </row>
    <row r="508" customFormat="false" ht="15" hidden="false" customHeight="false" outlineLevel="0" collapsed="false">
      <c r="A508" s="4" t="s">
        <v>1748</v>
      </c>
      <c r="B508" s="8" t="s">
        <v>1749</v>
      </c>
      <c r="C508" s="8"/>
      <c r="D508" s="8"/>
      <c r="E508" s="8"/>
      <c r="F508" s="8"/>
      <c r="G508" s="8"/>
      <c r="H508" s="8"/>
      <c r="I508" s="8" t="s">
        <v>1750</v>
      </c>
      <c r="J508" s="8" t="s">
        <v>64</v>
      </c>
      <c r="K508" s="8" t="s">
        <v>1191</v>
      </c>
      <c r="L508" s="8"/>
      <c r="M508" s="8"/>
      <c r="N508" s="8" t="s">
        <v>62</v>
      </c>
      <c r="O508" s="8" t="s">
        <v>63</v>
      </c>
      <c r="P508" s="4" t="n">
        <v>29</v>
      </c>
      <c r="Q508" s="8"/>
      <c r="R508" s="4" t="s">
        <v>1749</v>
      </c>
      <c r="S508" s="4"/>
    </row>
    <row r="509" customFormat="false" ht="15" hidden="false" customHeight="false" outlineLevel="0" collapsed="false">
      <c r="A509" s="4" t="s">
        <v>1751</v>
      </c>
      <c r="B509" s="8" t="s">
        <v>1752</v>
      </c>
      <c r="C509" s="8"/>
      <c r="D509" s="8"/>
      <c r="E509" s="8"/>
      <c r="F509" s="8"/>
      <c r="G509" s="8"/>
      <c r="H509" s="8"/>
      <c r="I509" s="8" t="s">
        <v>1753</v>
      </c>
      <c r="J509" s="8" t="s">
        <v>64</v>
      </c>
      <c r="K509" s="8" t="s">
        <v>1191</v>
      </c>
      <c r="L509" s="8"/>
      <c r="M509" s="8"/>
      <c r="N509" s="8" t="s">
        <v>62</v>
      </c>
      <c r="O509" s="8" t="s">
        <v>63</v>
      </c>
      <c r="P509" s="4" t="n">
        <v>29</v>
      </c>
      <c r="Q509" s="8"/>
      <c r="R509" s="4" t="s">
        <v>1752</v>
      </c>
      <c r="S509" s="4"/>
    </row>
    <row r="510" customFormat="false" ht="15" hidden="false" customHeight="false" outlineLevel="0" collapsed="false">
      <c r="A510" s="4" t="s">
        <v>1754</v>
      </c>
      <c r="B510" s="8" t="s">
        <v>1755</v>
      </c>
      <c r="C510" s="8" t="s">
        <v>58</v>
      </c>
      <c r="D510" s="8"/>
      <c r="E510" s="8" t="s">
        <v>60</v>
      </c>
      <c r="F510" s="8"/>
      <c r="G510" s="8"/>
      <c r="H510" s="8"/>
      <c r="I510" s="8" t="s">
        <v>1756</v>
      </c>
      <c r="J510" s="8" t="s">
        <v>64</v>
      </c>
      <c r="K510" s="8" t="s">
        <v>1191</v>
      </c>
      <c r="L510" s="8"/>
      <c r="M510" s="8"/>
      <c r="N510" s="8" t="s">
        <v>62</v>
      </c>
      <c r="O510" s="8" t="s">
        <v>63</v>
      </c>
      <c r="P510" s="4" t="n">
        <v>29</v>
      </c>
      <c r="Q510" s="8"/>
      <c r="R510" s="4" t="s">
        <v>1757</v>
      </c>
      <c r="S510" s="4"/>
    </row>
    <row r="511" customFormat="false" ht="15" hidden="false" customHeight="false" outlineLevel="0" collapsed="false">
      <c r="A511" s="4" t="s">
        <v>1758</v>
      </c>
      <c r="B511" s="8" t="s">
        <v>1759</v>
      </c>
      <c r="C511" s="8" t="s">
        <v>58</v>
      </c>
      <c r="D511" s="8"/>
      <c r="E511" s="8" t="s">
        <v>60</v>
      </c>
      <c r="F511" s="8"/>
      <c r="G511" s="8"/>
      <c r="H511" s="8"/>
      <c r="I511" s="8" t="s">
        <v>1760</v>
      </c>
      <c r="J511" s="8" t="s">
        <v>64</v>
      </c>
      <c r="K511" s="8" t="s">
        <v>1191</v>
      </c>
      <c r="L511" s="8"/>
      <c r="M511" s="8"/>
      <c r="N511" s="8" t="s">
        <v>62</v>
      </c>
      <c r="O511" s="8" t="s">
        <v>63</v>
      </c>
      <c r="P511" s="4" t="n">
        <v>29</v>
      </c>
      <c r="Q511" s="8"/>
      <c r="R511" s="4" t="s">
        <v>1761</v>
      </c>
      <c r="S511" s="4" t="n">
        <v>6506</v>
      </c>
    </row>
    <row r="512" customFormat="false" ht="15" hidden="false" customHeight="false" outlineLevel="0" collapsed="false">
      <c r="A512" s="4" t="s">
        <v>1762</v>
      </c>
      <c r="B512" s="8" t="s">
        <v>1763</v>
      </c>
      <c r="C512" s="8"/>
      <c r="D512" s="8"/>
      <c r="E512" s="8"/>
      <c r="F512" s="8"/>
      <c r="G512" s="8"/>
      <c r="H512" s="8"/>
      <c r="I512" s="8" t="s">
        <v>1764</v>
      </c>
      <c r="J512" s="8" t="s">
        <v>64</v>
      </c>
      <c r="K512" s="8" t="s">
        <v>1191</v>
      </c>
      <c r="L512" s="8"/>
      <c r="M512" s="8"/>
      <c r="N512" s="8" t="s">
        <v>62</v>
      </c>
      <c r="O512" s="8" t="s">
        <v>63</v>
      </c>
      <c r="P512" s="4" t="n">
        <v>29</v>
      </c>
      <c r="Q512" s="8"/>
      <c r="R512" s="4" t="s">
        <v>1763</v>
      </c>
      <c r="S512" s="4"/>
    </row>
    <row r="513" customFormat="false" ht="15" hidden="false" customHeight="false" outlineLevel="0" collapsed="false">
      <c r="A513" s="4" t="s">
        <v>1765</v>
      </c>
      <c r="B513" s="8" t="s">
        <v>1766</v>
      </c>
      <c r="C513" s="8" t="s">
        <v>58</v>
      </c>
      <c r="D513" s="8"/>
      <c r="E513" s="8" t="s">
        <v>60</v>
      </c>
      <c r="F513" s="8"/>
      <c r="G513" s="8"/>
      <c r="H513" s="8"/>
      <c r="I513" s="8" t="s">
        <v>1767</v>
      </c>
      <c r="J513" s="8" t="s">
        <v>64</v>
      </c>
      <c r="K513" s="8" t="s">
        <v>1191</v>
      </c>
      <c r="L513" s="8"/>
      <c r="M513" s="8"/>
      <c r="N513" s="8" t="s">
        <v>62</v>
      </c>
      <c r="O513" s="8" t="s">
        <v>63</v>
      </c>
      <c r="P513" s="4" t="n">
        <v>29</v>
      </c>
      <c r="Q513" s="8"/>
      <c r="R513" s="4" t="s">
        <v>1768</v>
      </c>
      <c r="S513" s="4"/>
    </row>
    <row r="514" customFormat="false" ht="26.85" hidden="false" customHeight="false" outlineLevel="0" collapsed="false">
      <c r="A514" s="4" t="s">
        <v>1769</v>
      </c>
      <c r="B514" s="8" t="s">
        <v>1770</v>
      </c>
      <c r="C514" s="8"/>
      <c r="D514" s="8"/>
      <c r="E514" s="8"/>
      <c r="F514" s="8"/>
      <c r="G514" s="8"/>
      <c r="H514" s="8"/>
      <c r="I514" s="8"/>
      <c r="J514" s="8" t="s">
        <v>64</v>
      </c>
      <c r="K514" s="8" t="s">
        <v>1191</v>
      </c>
      <c r="L514" s="8"/>
      <c r="M514" s="8"/>
      <c r="N514" s="8" t="s">
        <v>62</v>
      </c>
      <c r="O514" s="8" t="s">
        <v>63</v>
      </c>
      <c r="P514" s="4" t="n">
        <v>29</v>
      </c>
      <c r="Q514" s="8" t="s">
        <v>1153</v>
      </c>
      <c r="R514" s="4" t="s">
        <v>1770</v>
      </c>
      <c r="S514" s="4"/>
    </row>
    <row r="515" customFormat="false" ht="15" hidden="false" customHeight="false" outlineLevel="0" collapsed="false">
      <c r="A515" s="4" t="s">
        <v>1771</v>
      </c>
      <c r="B515" s="8" t="s">
        <v>1009</v>
      </c>
      <c r="C515" s="8" t="s">
        <v>58</v>
      </c>
      <c r="D515" s="8"/>
      <c r="E515" s="8" t="s">
        <v>60</v>
      </c>
      <c r="F515" s="8"/>
      <c r="G515" s="8"/>
      <c r="H515" s="8"/>
      <c r="I515" s="8" t="s">
        <v>1010</v>
      </c>
      <c r="J515" s="8" t="s">
        <v>64</v>
      </c>
      <c r="K515" s="8" t="s">
        <v>1191</v>
      </c>
      <c r="L515" s="8"/>
      <c r="M515" s="8"/>
      <c r="N515" s="8" t="s">
        <v>62</v>
      </c>
      <c r="O515" s="8" t="s">
        <v>63</v>
      </c>
      <c r="P515" s="4" t="n">
        <v>29</v>
      </c>
      <c r="Q515" s="8"/>
      <c r="R515" s="4" t="s">
        <v>1772</v>
      </c>
      <c r="S515" s="4" t="n">
        <v>1076</v>
      </c>
    </row>
    <row r="516" customFormat="false" ht="15" hidden="false" customHeight="false" outlineLevel="0" collapsed="false">
      <c r="A516" s="4" t="s">
        <v>1773</v>
      </c>
      <c r="B516" s="8" t="s">
        <v>1774</v>
      </c>
      <c r="C516" s="8"/>
      <c r="D516" s="8"/>
      <c r="E516" s="8"/>
      <c r="F516" s="8"/>
      <c r="G516" s="8"/>
      <c r="H516" s="8"/>
      <c r="I516" s="8" t="s">
        <v>1775</v>
      </c>
      <c r="J516" s="8" t="s">
        <v>64</v>
      </c>
      <c r="K516" s="8" t="s">
        <v>1191</v>
      </c>
      <c r="L516" s="8"/>
      <c r="M516" s="8"/>
      <c r="N516" s="8" t="s">
        <v>62</v>
      </c>
      <c r="O516" s="8" t="s">
        <v>63</v>
      </c>
      <c r="P516" s="4" t="n">
        <v>29</v>
      </c>
      <c r="Q516" s="8"/>
      <c r="R516" s="4" t="s">
        <v>1774</v>
      </c>
      <c r="S516" s="4"/>
    </row>
    <row r="517" customFormat="false" ht="15" hidden="false" customHeight="false" outlineLevel="0" collapsed="false">
      <c r="A517" s="4" t="s">
        <v>1776</v>
      </c>
      <c r="B517" s="8" t="s">
        <v>1777</v>
      </c>
      <c r="C517" s="8" t="s">
        <v>58</v>
      </c>
      <c r="D517" s="8"/>
      <c r="E517" s="8" t="s">
        <v>60</v>
      </c>
      <c r="F517" s="8"/>
      <c r="G517" s="8"/>
      <c r="H517" s="8"/>
      <c r="I517" s="8" t="s">
        <v>1778</v>
      </c>
      <c r="J517" s="8" t="s">
        <v>64</v>
      </c>
      <c r="K517" s="8" t="s">
        <v>1191</v>
      </c>
      <c r="L517" s="8"/>
      <c r="M517" s="8"/>
      <c r="N517" s="8" t="s">
        <v>62</v>
      </c>
      <c r="O517" s="8" t="s">
        <v>63</v>
      </c>
      <c r="P517" s="4" t="n">
        <v>29</v>
      </c>
      <c r="Q517" s="8"/>
      <c r="R517" s="4" t="s">
        <v>1779</v>
      </c>
      <c r="S517" s="4"/>
    </row>
    <row r="518" customFormat="false" ht="15" hidden="false" customHeight="false" outlineLevel="0" collapsed="false">
      <c r="A518" s="4" t="s">
        <v>1780</v>
      </c>
      <c r="B518" s="8" t="s">
        <v>1781</v>
      </c>
      <c r="C518" s="8"/>
      <c r="D518" s="8"/>
      <c r="E518" s="8"/>
      <c r="F518" s="8"/>
      <c r="G518" s="8"/>
      <c r="H518" s="8"/>
      <c r="I518" s="8" t="s">
        <v>1782</v>
      </c>
      <c r="J518" s="8" t="s">
        <v>64</v>
      </c>
      <c r="K518" s="8" t="s">
        <v>1191</v>
      </c>
      <c r="L518" s="8"/>
      <c r="M518" s="8"/>
      <c r="N518" s="8" t="s">
        <v>62</v>
      </c>
      <c r="O518" s="8" t="s">
        <v>63</v>
      </c>
      <c r="P518" s="4" t="n">
        <v>29</v>
      </c>
      <c r="Q518" s="8"/>
      <c r="R518" s="4" t="s">
        <v>1781</v>
      </c>
      <c r="S518" s="4"/>
    </row>
    <row r="519" customFormat="false" ht="15" hidden="false" customHeight="false" outlineLevel="0" collapsed="false">
      <c r="A519" s="4" t="s">
        <v>1783</v>
      </c>
      <c r="B519" s="8" t="s">
        <v>1784</v>
      </c>
      <c r="C519" s="8"/>
      <c r="D519" s="8"/>
      <c r="E519" s="8"/>
      <c r="F519" s="8"/>
      <c r="G519" s="8"/>
      <c r="H519" s="8"/>
      <c r="I519" s="8" t="s">
        <v>1785</v>
      </c>
      <c r="J519" s="8" t="s">
        <v>64</v>
      </c>
      <c r="K519" s="8" t="s">
        <v>1191</v>
      </c>
      <c r="L519" s="8"/>
      <c r="M519" s="8"/>
      <c r="N519" s="8" t="s">
        <v>62</v>
      </c>
      <c r="O519" s="8" t="s">
        <v>63</v>
      </c>
      <c r="P519" s="4" t="n">
        <v>29</v>
      </c>
      <c r="Q519" s="8"/>
      <c r="R519" s="4" t="s">
        <v>1784</v>
      </c>
      <c r="S519" s="4" t="n">
        <v>1505</v>
      </c>
    </row>
    <row r="520" customFormat="false" ht="15" hidden="false" customHeight="false" outlineLevel="0" collapsed="false">
      <c r="A520" s="4" t="s">
        <v>1786</v>
      </c>
      <c r="B520" s="8" t="s">
        <v>1787</v>
      </c>
      <c r="C520" s="8" t="s">
        <v>58</v>
      </c>
      <c r="D520" s="8"/>
      <c r="E520" s="8" t="s">
        <v>60</v>
      </c>
      <c r="F520" s="8"/>
      <c r="G520" s="8"/>
      <c r="H520" s="8"/>
      <c r="I520" s="8" t="s">
        <v>1788</v>
      </c>
      <c r="J520" s="8" t="s">
        <v>64</v>
      </c>
      <c r="K520" s="8" t="s">
        <v>1191</v>
      </c>
      <c r="L520" s="8"/>
      <c r="M520" s="8"/>
      <c r="N520" s="8" t="s">
        <v>62</v>
      </c>
      <c r="O520" s="8" t="s">
        <v>63</v>
      </c>
      <c r="P520" s="4" t="n">
        <v>29</v>
      </c>
      <c r="Q520" s="8"/>
      <c r="R520" s="4" t="s">
        <v>1789</v>
      </c>
      <c r="S520" s="4"/>
    </row>
    <row r="521" customFormat="false" ht="15" hidden="false" customHeight="false" outlineLevel="0" collapsed="false">
      <c r="A521" s="4" t="s">
        <v>1790</v>
      </c>
      <c r="B521" s="8" t="s">
        <v>1791</v>
      </c>
      <c r="C521" s="8" t="s">
        <v>58</v>
      </c>
      <c r="D521" s="8"/>
      <c r="E521" s="8" t="s">
        <v>60</v>
      </c>
      <c r="F521" s="8"/>
      <c r="G521" s="8"/>
      <c r="H521" s="8"/>
      <c r="I521" s="8" t="s">
        <v>1792</v>
      </c>
      <c r="J521" s="8" t="s">
        <v>64</v>
      </c>
      <c r="K521" s="8" t="s">
        <v>1191</v>
      </c>
      <c r="L521" s="8"/>
      <c r="M521" s="8"/>
      <c r="N521" s="8" t="s">
        <v>62</v>
      </c>
      <c r="O521" s="8" t="s">
        <v>63</v>
      </c>
      <c r="P521" s="4" t="n">
        <v>30</v>
      </c>
      <c r="Q521" s="8"/>
      <c r="R521" s="4" t="s">
        <v>1793</v>
      </c>
      <c r="S521" s="4"/>
    </row>
    <row r="522" customFormat="false" ht="15" hidden="false" customHeight="false" outlineLevel="0" collapsed="false">
      <c r="A522" s="4" t="s">
        <v>1794</v>
      </c>
      <c r="B522" s="8" t="s">
        <v>1795</v>
      </c>
      <c r="C522" s="8" t="s">
        <v>58</v>
      </c>
      <c r="D522" s="8"/>
      <c r="E522" s="8" t="s">
        <v>60</v>
      </c>
      <c r="F522" s="8"/>
      <c r="G522" s="8"/>
      <c r="H522" s="8"/>
      <c r="I522" s="8" t="s">
        <v>1796</v>
      </c>
      <c r="J522" s="8" t="s">
        <v>64</v>
      </c>
      <c r="K522" s="8" t="s">
        <v>1191</v>
      </c>
      <c r="L522" s="8"/>
      <c r="M522" s="8"/>
      <c r="N522" s="8" t="s">
        <v>62</v>
      </c>
      <c r="O522" s="8" t="s">
        <v>63</v>
      </c>
      <c r="P522" s="4" t="n">
        <v>30</v>
      </c>
      <c r="Q522" s="8"/>
      <c r="R522" s="4" t="s">
        <v>1797</v>
      </c>
      <c r="S522" s="4" t="n">
        <v>289</v>
      </c>
    </row>
    <row r="523" customFormat="false" ht="15" hidden="false" customHeight="false" outlineLevel="0" collapsed="false">
      <c r="A523" s="4" t="s">
        <v>1798</v>
      </c>
      <c r="B523" s="8" t="s">
        <v>1799</v>
      </c>
      <c r="C523" s="8" t="s">
        <v>58</v>
      </c>
      <c r="D523" s="8"/>
      <c r="E523" s="8" t="s">
        <v>60</v>
      </c>
      <c r="F523" s="8"/>
      <c r="G523" s="8"/>
      <c r="H523" s="8"/>
      <c r="I523" s="8" t="s">
        <v>1800</v>
      </c>
      <c r="J523" s="8" t="s">
        <v>64</v>
      </c>
      <c r="K523" s="8" t="s">
        <v>1191</v>
      </c>
      <c r="L523" s="8"/>
      <c r="M523" s="8"/>
      <c r="N523" s="8" t="s">
        <v>62</v>
      </c>
      <c r="O523" s="8" t="s">
        <v>63</v>
      </c>
      <c r="P523" s="4" t="n">
        <v>30</v>
      </c>
      <c r="Q523" s="8"/>
      <c r="R523" s="4" t="s">
        <v>1801</v>
      </c>
      <c r="S523" s="4"/>
    </row>
    <row r="524" customFormat="false" ht="15" hidden="false" customHeight="false" outlineLevel="0" collapsed="false">
      <c r="A524" s="4" t="s">
        <v>1802</v>
      </c>
      <c r="B524" s="8" t="s">
        <v>1803</v>
      </c>
      <c r="C524" s="8" t="s">
        <v>58</v>
      </c>
      <c r="D524" s="8"/>
      <c r="E524" s="8" t="s">
        <v>60</v>
      </c>
      <c r="F524" s="8"/>
      <c r="G524" s="8"/>
      <c r="H524" s="8"/>
      <c r="I524" s="8" t="s">
        <v>1804</v>
      </c>
      <c r="J524" s="8" t="s">
        <v>64</v>
      </c>
      <c r="K524" s="8" t="s">
        <v>1191</v>
      </c>
      <c r="L524" s="8"/>
      <c r="M524" s="8"/>
      <c r="N524" s="8" t="s">
        <v>62</v>
      </c>
      <c r="O524" s="8" t="s">
        <v>63</v>
      </c>
      <c r="P524" s="4" t="n">
        <v>30</v>
      </c>
      <c r="Q524" s="8"/>
      <c r="R524" s="4" t="s">
        <v>1805</v>
      </c>
      <c r="S524" s="4"/>
    </row>
    <row r="525" customFormat="false" ht="15" hidden="false" customHeight="false" outlineLevel="0" collapsed="false">
      <c r="A525" s="4" t="s">
        <v>1806</v>
      </c>
      <c r="B525" s="8" t="s">
        <v>1807</v>
      </c>
      <c r="C525" s="8" t="s">
        <v>58</v>
      </c>
      <c r="D525" s="8"/>
      <c r="E525" s="8" t="s">
        <v>60</v>
      </c>
      <c r="F525" s="8"/>
      <c r="G525" s="8"/>
      <c r="H525" s="8"/>
      <c r="I525" s="8" t="s">
        <v>1808</v>
      </c>
      <c r="J525" s="8" t="s">
        <v>64</v>
      </c>
      <c r="K525" s="8" t="s">
        <v>1191</v>
      </c>
      <c r="L525" s="8" t="s">
        <v>1809</v>
      </c>
      <c r="M525" s="8"/>
      <c r="N525" s="8" t="s">
        <v>62</v>
      </c>
      <c r="O525" s="8" t="s">
        <v>63</v>
      </c>
      <c r="P525" s="4" t="n">
        <v>30</v>
      </c>
      <c r="Q525" s="8"/>
      <c r="R525" s="4" t="s">
        <v>1810</v>
      </c>
      <c r="S525" s="4"/>
    </row>
    <row r="526" customFormat="false" ht="15" hidden="false" customHeight="false" outlineLevel="0" collapsed="false">
      <c r="A526" s="4" t="s">
        <v>1811</v>
      </c>
      <c r="B526" s="8" t="s">
        <v>1812</v>
      </c>
      <c r="C526" s="8"/>
      <c r="D526" s="8"/>
      <c r="E526" s="8"/>
      <c r="F526" s="8"/>
      <c r="G526" s="8"/>
      <c r="H526" s="8"/>
      <c r="I526" s="8" t="s">
        <v>1813</v>
      </c>
      <c r="J526" s="8" t="s">
        <v>64</v>
      </c>
      <c r="K526" s="8" t="s">
        <v>1191</v>
      </c>
      <c r="L526" s="8" t="s">
        <v>1809</v>
      </c>
      <c r="M526" s="8"/>
      <c r="N526" s="8" t="s">
        <v>62</v>
      </c>
      <c r="O526" s="8" t="s">
        <v>63</v>
      </c>
      <c r="P526" s="4" t="n">
        <v>30</v>
      </c>
      <c r="Q526" s="8"/>
      <c r="R526" s="4" t="s">
        <v>1812</v>
      </c>
      <c r="S526" s="4"/>
    </row>
    <row r="527" customFormat="false" ht="15" hidden="false" customHeight="false" outlineLevel="0" collapsed="false">
      <c r="A527" s="4" t="s">
        <v>1814</v>
      </c>
      <c r="B527" s="8" t="s">
        <v>1815</v>
      </c>
      <c r="C527" s="8" t="s">
        <v>58</v>
      </c>
      <c r="D527" s="8"/>
      <c r="E527" s="8" t="s">
        <v>60</v>
      </c>
      <c r="F527" s="8"/>
      <c r="G527" s="8"/>
      <c r="H527" s="8"/>
      <c r="I527" s="8" t="s">
        <v>1816</v>
      </c>
      <c r="J527" s="8" t="s">
        <v>64</v>
      </c>
      <c r="K527" s="8" t="s">
        <v>1191</v>
      </c>
      <c r="L527" s="8" t="s">
        <v>1809</v>
      </c>
      <c r="M527" s="8"/>
      <c r="N527" s="8" t="s">
        <v>62</v>
      </c>
      <c r="O527" s="8" t="s">
        <v>63</v>
      </c>
      <c r="P527" s="4" t="n">
        <v>30</v>
      </c>
      <c r="Q527" s="8"/>
      <c r="R527" s="4" t="s">
        <v>1817</v>
      </c>
      <c r="S527" s="4"/>
    </row>
    <row r="528" customFormat="false" ht="15" hidden="false" customHeight="false" outlineLevel="0" collapsed="false">
      <c r="A528" s="4" t="s">
        <v>1818</v>
      </c>
      <c r="B528" s="8" t="s">
        <v>1819</v>
      </c>
      <c r="C528" s="8"/>
      <c r="D528" s="8"/>
      <c r="E528" s="8"/>
      <c r="F528" s="8"/>
      <c r="G528" s="8"/>
      <c r="H528" s="8"/>
      <c r="I528" s="8" t="s">
        <v>1820</v>
      </c>
      <c r="J528" s="8" t="s">
        <v>64</v>
      </c>
      <c r="K528" s="8" t="s">
        <v>1191</v>
      </c>
      <c r="L528" s="8" t="s">
        <v>1809</v>
      </c>
      <c r="M528" s="8"/>
      <c r="N528" s="8" t="s">
        <v>62</v>
      </c>
      <c r="O528" s="8" t="s">
        <v>63</v>
      </c>
      <c r="P528" s="4" t="n">
        <v>30</v>
      </c>
      <c r="Q528" s="8"/>
      <c r="R528" s="4" t="s">
        <v>1819</v>
      </c>
      <c r="S528" s="4"/>
    </row>
    <row r="529" customFormat="false" ht="15" hidden="false" customHeight="false" outlineLevel="0" collapsed="false">
      <c r="A529" s="4" t="s">
        <v>1821</v>
      </c>
      <c r="B529" s="8" t="s">
        <v>1822</v>
      </c>
      <c r="C529" s="8" t="s">
        <v>58</v>
      </c>
      <c r="D529" s="8"/>
      <c r="E529" s="8" t="s">
        <v>60</v>
      </c>
      <c r="F529" s="8"/>
      <c r="G529" s="8"/>
      <c r="H529" s="8"/>
      <c r="I529" s="8" t="s">
        <v>1823</v>
      </c>
      <c r="J529" s="8" t="s">
        <v>64</v>
      </c>
      <c r="K529" s="8" t="s">
        <v>1191</v>
      </c>
      <c r="L529" s="8" t="s">
        <v>1809</v>
      </c>
      <c r="M529" s="8"/>
      <c r="N529" s="8" t="s">
        <v>62</v>
      </c>
      <c r="O529" s="8" t="s">
        <v>63</v>
      </c>
      <c r="P529" s="4" t="n">
        <v>30</v>
      </c>
      <c r="Q529" s="8"/>
      <c r="R529" s="4" t="s">
        <v>1824</v>
      </c>
      <c r="S529" s="4"/>
    </row>
    <row r="530" customFormat="false" ht="15" hidden="false" customHeight="false" outlineLevel="0" collapsed="false">
      <c r="A530" s="4" t="s">
        <v>1825</v>
      </c>
      <c r="B530" s="8" t="s">
        <v>1826</v>
      </c>
      <c r="C530" s="8" t="s">
        <v>58</v>
      </c>
      <c r="D530" s="8"/>
      <c r="E530" s="8" t="s">
        <v>60</v>
      </c>
      <c r="F530" s="8"/>
      <c r="G530" s="8"/>
      <c r="H530" s="8"/>
      <c r="I530" s="8" t="s">
        <v>1826</v>
      </c>
      <c r="J530" s="8" t="s">
        <v>64</v>
      </c>
      <c r="K530" s="8" t="s">
        <v>1191</v>
      </c>
      <c r="L530" s="8" t="s">
        <v>1809</v>
      </c>
      <c r="M530" s="8"/>
      <c r="N530" s="8" t="s">
        <v>62</v>
      </c>
      <c r="O530" s="8" t="s">
        <v>63</v>
      </c>
      <c r="P530" s="4" t="n">
        <v>30</v>
      </c>
      <c r="Q530" s="8"/>
      <c r="R530" s="4" t="s">
        <v>1827</v>
      </c>
      <c r="S530" s="4" t="n">
        <v>3663</v>
      </c>
    </row>
    <row r="531" customFormat="false" ht="15" hidden="false" customHeight="false" outlineLevel="0" collapsed="false">
      <c r="A531" s="4" t="s">
        <v>1828</v>
      </c>
      <c r="B531" s="8" t="s">
        <v>1829</v>
      </c>
      <c r="C531" s="8"/>
      <c r="D531" s="8"/>
      <c r="E531" s="8"/>
      <c r="F531" s="8"/>
      <c r="G531" s="8"/>
      <c r="H531" s="8"/>
      <c r="I531" s="8" t="s">
        <v>1830</v>
      </c>
      <c r="J531" s="8" t="s">
        <v>64</v>
      </c>
      <c r="K531" s="8" t="s">
        <v>1191</v>
      </c>
      <c r="L531" s="8" t="s">
        <v>1809</v>
      </c>
      <c r="M531" s="8"/>
      <c r="N531" s="8" t="s">
        <v>62</v>
      </c>
      <c r="O531" s="8" t="s">
        <v>63</v>
      </c>
      <c r="P531" s="4" t="n">
        <v>30</v>
      </c>
      <c r="Q531" s="8"/>
      <c r="R531" s="4" t="s">
        <v>1829</v>
      </c>
      <c r="S531" s="4"/>
    </row>
    <row r="532" customFormat="false" ht="15" hidden="false" customHeight="false" outlineLevel="0" collapsed="false">
      <c r="A532" s="4" t="s">
        <v>1831</v>
      </c>
      <c r="B532" s="8" t="s">
        <v>1832</v>
      </c>
      <c r="C532" s="8" t="s">
        <v>58</v>
      </c>
      <c r="D532" s="8"/>
      <c r="E532" s="8" t="s">
        <v>60</v>
      </c>
      <c r="F532" s="8"/>
      <c r="G532" s="8"/>
      <c r="H532" s="8"/>
      <c r="I532" s="8" t="s">
        <v>1833</v>
      </c>
      <c r="J532" s="8" t="s">
        <v>64</v>
      </c>
      <c r="K532" s="8" t="s">
        <v>1191</v>
      </c>
      <c r="L532" s="8" t="s">
        <v>1809</v>
      </c>
      <c r="M532" s="8"/>
      <c r="N532" s="8" t="s">
        <v>62</v>
      </c>
      <c r="O532" s="8" t="s">
        <v>63</v>
      </c>
      <c r="P532" s="4" t="n">
        <v>30</v>
      </c>
      <c r="Q532" s="8"/>
      <c r="R532" s="4" t="s">
        <v>1834</v>
      </c>
      <c r="S532" s="4"/>
    </row>
    <row r="533" customFormat="false" ht="15" hidden="false" customHeight="false" outlineLevel="0" collapsed="false">
      <c r="A533" s="4" t="s">
        <v>1835</v>
      </c>
      <c r="B533" s="8" t="s">
        <v>1836</v>
      </c>
      <c r="C533" s="8" t="s">
        <v>58</v>
      </c>
      <c r="D533" s="8"/>
      <c r="E533" s="8" t="s">
        <v>60</v>
      </c>
      <c r="F533" s="8"/>
      <c r="G533" s="8"/>
      <c r="H533" s="8"/>
      <c r="I533" s="8" t="s">
        <v>1837</v>
      </c>
      <c r="J533" s="8" t="s">
        <v>64</v>
      </c>
      <c r="K533" s="8" t="s">
        <v>1191</v>
      </c>
      <c r="L533" s="8" t="s">
        <v>1809</v>
      </c>
      <c r="M533" s="8"/>
      <c r="N533" s="8" t="s">
        <v>62</v>
      </c>
      <c r="O533" s="8" t="s">
        <v>63</v>
      </c>
      <c r="P533" s="4" t="n">
        <v>30</v>
      </c>
      <c r="Q533" s="8"/>
      <c r="R533" s="4" t="s">
        <v>1838</v>
      </c>
      <c r="S533" s="4"/>
    </row>
    <row r="534" customFormat="false" ht="15" hidden="false" customHeight="false" outlineLevel="0" collapsed="false">
      <c r="A534" s="4" t="s">
        <v>1839</v>
      </c>
      <c r="B534" s="8" t="s">
        <v>1840</v>
      </c>
      <c r="C534" s="8" t="s">
        <v>58</v>
      </c>
      <c r="D534" s="8"/>
      <c r="E534" s="8" t="s">
        <v>60</v>
      </c>
      <c r="F534" s="8"/>
      <c r="G534" s="8"/>
      <c r="H534" s="8"/>
      <c r="I534" s="8" t="s">
        <v>1841</v>
      </c>
      <c r="J534" s="8" t="s">
        <v>64</v>
      </c>
      <c r="K534" s="8" t="s">
        <v>1191</v>
      </c>
      <c r="L534" s="8" t="s">
        <v>1809</v>
      </c>
      <c r="M534" s="8"/>
      <c r="N534" s="8" t="s">
        <v>62</v>
      </c>
      <c r="O534" s="8" t="s">
        <v>63</v>
      </c>
      <c r="P534" s="4" t="n">
        <v>30</v>
      </c>
      <c r="Q534" s="8"/>
      <c r="R534" s="4" t="s">
        <v>1842</v>
      </c>
      <c r="S534" s="4"/>
    </row>
    <row r="535" customFormat="false" ht="15" hidden="false" customHeight="false" outlineLevel="0" collapsed="false">
      <c r="A535" s="4" t="s">
        <v>1843</v>
      </c>
      <c r="B535" s="8" t="s">
        <v>1844</v>
      </c>
      <c r="C535" s="8" t="s">
        <v>58</v>
      </c>
      <c r="D535" s="8"/>
      <c r="E535" s="8" t="s">
        <v>60</v>
      </c>
      <c r="F535" s="8"/>
      <c r="G535" s="8"/>
      <c r="H535" s="8"/>
      <c r="I535" s="8" t="s">
        <v>1845</v>
      </c>
      <c r="J535" s="8" t="s">
        <v>64</v>
      </c>
      <c r="K535" s="8" t="s">
        <v>1191</v>
      </c>
      <c r="L535" s="8" t="s">
        <v>1809</v>
      </c>
      <c r="M535" s="8"/>
      <c r="N535" s="8" t="s">
        <v>62</v>
      </c>
      <c r="O535" s="8" t="s">
        <v>63</v>
      </c>
      <c r="P535" s="4" t="n">
        <v>30</v>
      </c>
      <c r="Q535" s="8"/>
      <c r="R535" s="4" t="s">
        <v>1846</v>
      </c>
      <c r="S535" s="4"/>
    </row>
    <row r="536" customFormat="false" ht="15" hidden="false" customHeight="false" outlineLevel="0" collapsed="false">
      <c r="A536" s="4" t="s">
        <v>1847</v>
      </c>
      <c r="B536" s="8" t="s">
        <v>1848</v>
      </c>
      <c r="C536" s="8" t="s">
        <v>58</v>
      </c>
      <c r="D536" s="8"/>
      <c r="E536" s="8" t="s">
        <v>60</v>
      </c>
      <c r="F536" s="8"/>
      <c r="G536" s="8"/>
      <c r="H536" s="8"/>
      <c r="I536" s="8" t="s">
        <v>1849</v>
      </c>
      <c r="J536" s="8" t="s">
        <v>64</v>
      </c>
      <c r="K536" s="8" t="s">
        <v>1191</v>
      </c>
      <c r="L536" s="8" t="s">
        <v>1809</v>
      </c>
      <c r="M536" s="8"/>
      <c r="N536" s="8" t="s">
        <v>62</v>
      </c>
      <c r="O536" s="8" t="s">
        <v>63</v>
      </c>
      <c r="P536" s="4" t="n">
        <v>30</v>
      </c>
      <c r="Q536" s="8"/>
      <c r="R536" s="4" t="s">
        <v>1850</v>
      </c>
      <c r="S536" s="4"/>
    </row>
    <row r="537" customFormat="false" ht="15" hidden="false" customHeight="false" outlineLevel="0" collapsed="false">
      <c r="A537" s="4" t="s">
        <v>1851</v>
      </c>
      <c r="B537" s="8" t="s">
        <v>1852</v>
      </c>
      <c r="C537" s="8" t="s">
        <v>58</v>
      </c>
      <c r="D537" s="8"/>
      <c r="E537" s="8" t="s">
        <v>60</v>
      </c>
      <c r="F537" s="8"/>
      <c r="G537" s="8"/>
      <c r="H537" s="8"/>
      <c r="I537" s="8" t="s">
        <v>1853</v>
      </c>
      <c r="J537" s="8" t="s">
        <v>64</v>
      </c>
      <c r="K537" s="8" t="s">
        <v>1191</v>
      </c>
      <c r="L537" s="8" t="s">
        <v>1809</v>
      </c>
      <c r="M537" s="8"/>
      <c r="N537" s="8" t="s">
        <v>62</v>
      </c>
      <c r="O537" s="8" t="s">
        <v>63</v>
      </c>
      <c r="P537" s="4" t="n">
        <v>30</v>
      </c>
      <c r="Q537" s="8"/>
      <c r="R537" s="4" t="s">
        <v>1854</v>
      </c>
      <c r="S537" s="4"/>
    </row>
    <row r="538" customFormat="false" ht="15" hidden="false" customHeight="false" outlineLevel="0" collapsed="false">
      <c r="A538" s="4" t="s">
        <v>1855</v>
      </c>
      <c r="B538" s="8" t="s">
        <v>1856</v>
      </c>
      <c r="C538" s="8"/>
      <c r="D538" s="8"/>
      <c r="E538" s="8"/>
      <c r="F538" s="8"/>
      <c r="G538" s="8"/>
      <c r="H538" s="8"/>
      <c r="I538" s="8" t="s">
        <v>899</v>
      </c>
      <c r="J538" s="8" t="s">
        <v>64</v>
      </c>
      <c r="K538" s="8" t="s">
        <v>1191</v>
      </c>
      <c r="L538" s="8" t="s">
        <v>1809</v>
      </c>
      <c r="M538" s="8"/>
      <c r="N538" s="8" t="s">
        <v>62</v>
      </c>
      <c r="O538" s="8" t="s">
        <v>63</v>
      </c>
      <c r="P538" s="4" t="n">
        <v>30</v>
      </c>
      <c r="Q538" s="8"/>
      <c r="R538" s="4" t="s">
        <v>1856</v>
      </c>
      <c r="S538" s="4"/>
    </row>
    <row r="539" customFormat="false" ht="15" hidden="false" customHeight="false" outlineLevel="0" collapsed="false">
      <c r="A539" s="4" t="s">
        <v>1857</v>
      </c>
      <c r="B539" s="8" t="s">
        <v>1858</v>
      </c>
      <c r="C539" s="8" t="s">
        <v>58</v>
      </c>
      <c r="D539" s="8"/>
      <c r="E539" s="8" t="s">
        <v>60</v>
      </c>
      <c r="F539" s="8"/>
      <c r="G539" s="8"/>
      <c r="H539" s="8"/>
      <c r="I539" s="8" t="s">
        <v>1859</v>
      </c>
      <c r="J539" s="8" t="s">
        <v>64</v>
      </c>
      <c r="K539" s="8" t="s">
        <v>1191</v>
      </c>
      <c r="L539" s="8" t="s">
        <v>1809</v>
      </c>
      <c r="M539" s="8"/>
      <c r="N539" s="8" t="s">
        <v>62</v>
      </c>
      <c r="O539" s="8" t="s">
        <v>63</v>
      </c>
      <c r="P539" s="4" t="n">
        <v>30</v>
      </c>
      <c r="Q539" s="8"/>
      <c r="R539" s="4" t="s">
        <v>1860</v>
      </c>
      <c r="S539" s="4" t="n">
        <v>3806</v>
      </c>
    </row>
    <row r="540" customFormat="false" ht="15" hidden="false" customHeight="false" outlineLevel="0" collapsed="false">
      <c r="A540" s="4" t="s">
        <v>1861</v>
      </c>
      <c r="B540" s="8" t="s">
        <v>1862</v>
      </c>
      <c r="C540" s="8" t="s">
        <v>58</v>
      </c>
      <c r="D540" s="8"/>
      <c r="E540" s="8" t="s">
        <v>60</v>
      </c>
      <c r="F540" s="8"/>
      <c r="G540" s="8"/>
      <c r="H540" s="8"/>
      <c r="I540" s="8" t="s">
        <v>1863</v>
      </c>
      <c r="J540" s="8" t="s">
        <v>64</v>
      </c>
      <c r="K540" s="8" t="s">
        <v>1191</v>
      </c>
      <c r="L540" s="8" t="s">
        <v>1809</v>
      </c>
      <c r="M540" s="8"/>
      <c r="N540" s="8" t="s">
        <v>62</v>
      </c>
      <c r="O540" s="8" t="s">
        <v>63</v>
      </c>
      <c r="P540" s="4" t="n">
        <v>30</v>
      </c>
      <c r="Q540" s="8"/>
      <c r="R540" s="4" t="s">
        <v>1864</v>
      </c>
      <c r="S540" s="4"/>
    </row>
    <row r="541" customFormat="false" ht="15" hidden="false" customHeight="false" outlineLevel="0" collapsed="false">
      <c r="A541" s="4" t="s">
        <v>1865</v>
      </c>
      <c r="B541" s="8" t="s">
        <v>1866</v>
      </c>
      <c r="C541" s="8"/>
      <c r="D541" s="8"/>
      <c r="E541" s="8"/>
      <c r="F541" s="8"/>
      <c r="G541" s="8"/>
      <c r="H541" s="8"/>
      <c r="I541" s="8" t="s">
        <v>1867</v>
      </c>
      <c r="J541" s="8" t="s">
        <v>64</v>
      </c>
      <c r="K541" s="8" t="s">
        <v>1191</v>
      </c>
      <c r="L541" s="8" t="s">
        <v>1809</v>
      </c>
      <c r="M541" s="8"/>
      <c r="N541" s="8" t="s">
        <v>62</v>
      </c>
      <c r="O541" s="8" t="s">
        <v>63</v>
      </c>
      <c r="P541" s="4" t="n">
        <v>30</v>
      </c>
      <c r="Q541" s="8"/>
      <c r="R541" s="4" t="s">
        <v>1866</v>
      </c>
      <c r="S541" s="4"/>
    </row>
    <row r="542" customFormat="false" ht="15" hidden="false" customHeight="false" outlineLevel="0" collapsed="false">
      <c r="A542" s="4" t="s">
        <v>1868</v>
      </c>
      <c r="B542" s="8" t="s">
        <v>1869</v>
      </c>
      <c r="C542" s="8" t="s">
        <v>58</v>
      </c>
      <c r="D542" s="8"/>
      <c r="E542" s="8" t="s">
        <v>60</v>
      </c>
      <c r="F542" s="8"/>
      <c r="G542" s="8"/>
      <c r="H542" s="8"/>
      <c r="I542" s="8" t="s">
        <v>1870</v>
      </c>
      <c r="J542" s="8" t="s">
        <v>64</v>
      </c>
      <c r="K542" s="8" t="s">
        <v>1191</v>
      </c>
      <c r="L542" s="8" t="s">
        <v>1809</v>
      </c>
      <c r="M542" s="8"/>
      <c r="N542" s="8" t="s">
        <v>62</v>
      </c>
      <c r="O542" s="8" t="s">
        <v>63</v>
      </c>
      <c r="P542" s="4" t="n">
        <v>30</v>
      </c>
      <c r="Q542" s="8"/>
      <c r="R542" s="4" t="s">
        <v>1871</v>
      </c>
      <c r="S542" s="4"/>
    </row>
    <row r="543" customFormat="false" ht="15" hidden="false" customHeight="false" outlineLevel="0" collapsed="false">
      <c r="A543" s="4" t="s">
        <v>1872</v>
      </c>
      <c r="B543" s="8" t="s">
        <v>1873</v>
      </c>
      <c r="C543" s="8"/>
      <c r="D543" s="8"/>
      <c r="E543" s="8"/>
      <c r="F543" s="8"/>
      <c r="G543" s="8"/>
      <c r="H543" s="8"/>
      <c r="I543" s="8" t="s">
        <v>1874</v>
      </c>
      <c r="J543" s="8" t="s">
        <v>64</v>
      </c>
      <c r="K543" s="8" t="s">
        <v>1191</v>
      </c>
      <c r="L543" s="8" t="s">
        <v>1809</v>
      </c>
      <c r="M543" s="8"/>
      <c r="N543" s="8" t="s">
        <v>62</v>
      </c>
      <c r="O543" s="8" t="s">
        <v>63</v>
      </c>
      <c r="P543" s="4" t="n">
        <v>30</v>
      </c>
      <c r="Q543" s="8"/>
      <c r="R543" s="4" t="s">
        <v>1873</v>
      </c>
      <c r="S543" s="4"/>
    </row>
    <row r="544" customFormat="false" ht="15" hidden="false" customHeight="false" outlineLevel="0" collapsed="false">
      <c r="A544" s="4" t="s">
        <v>1875</v>
      </c>
      <c r="B544" s="8" t="s">
        <v>1876</v>
      </c>
      <c r="C544" s="8"/>
      <c r="D544" s="8"/>
      <c r="E544" s="8"/>
      <c r="F544" s="8"/>
      <c r="G544" s="8"/>
      <c r="H544" s="8"/>
      <c r="I544" s="8" t="s">
        <v>1877</v>
      </c>
      <c r="J544" s="8" t="s">
        <v>64</v>
      </c>
      <c r="K544" s="8" t="s">
        <v>1191</v>
      </c>
      <c r="L544" s="8" t="s">
        <v>1809</v>
      </c>
      <c r="M544" s="8"/>
      <c r="N544" s="8" t="s">
        <v>62</v>
      </c>
      <c r="O544" s="8" t="s">
        <v>63</v>
      </c>
      <c r="P544" s="4" t="n">
        <v>30</v>
      </c>
      <c r="Q544" s="8"/>
      <c r="R544" s="4" t="s">
        <v>1876</v>
      </c>
      <c r="S544" s="4"/>
    </row>
    <row r="545" customFormat="false" ht="15" hidden="false" customHeight="false" outlineLevel="0" collapsed="false">
      <c r="A545" s="4" t="s">
        <v>1878</v>
      </c>
      <c r="B545" s="8" t="s">
        <v>1879</v>
      </c>
      <c r="C545" s="8" t="s">
        <v>58</v>
      </c>
      <c r="D545" s="8"/>
      <c r="E545" s="8" t="s">
        <v>60</v>
      </c>
      <c r="F545" s="8"/>
      <c r="G545" s="8"/>
      <c r="H545" s="8"/>
      <c r="I545" s="8" t="s">
        <v>1880</v>
      </c>
      <c r="J545" s="8" t="s">
        <v>64</v>
      </c>
      <c r="K545" s="8" t="s">
        <v>1191</v>
      </c>
      <c r="L545" s="8" t="s">
        <v>1809</v>
      </c>
      <c r="M545" s="8"/>
      <c r="N545" s="8" t="s">
        <v>62</v>
      </c>
      <c r="O545" s="8" t="s">
        <v>63</v>
      </c>
      <c r="P545" s="4" t="n">
        <v>30</v>
      </c>
      <c r="Q545" s="8"/>
      <c r="R545" s="4" t="s">
        <v>1881</v>
      </c>
      <c r="S545" s="4"/>
    </row>
    <row r="546" customFormat="false" ht="15" hidden="false" customHeight="false" outlineLevel="0" collapsed="false">
      <c r="A546" s="4" t="s">
        <v>1882</v>
      </c>
      <c r="B546" s="8" t="s">
        <v>1883</v>
      </c>
      <c r="C546" s="8" t="s">
        <v>58</v>
      </c>
      <c r="D546" s="8"/>
      <c r="E546" s="8" t="s">
        <v>60</v>
      </c>
      <c r="F546" s="8"/>
      <c r="G546" s="8"/>
      <c r="H546" s="8"/>
      <c r="I546" s="8" t="s">
        <v>1884</v>
      </c>
      <c r="J546" s="8" t="s">
        <v>64</v>
      </c>
      <c r="K546" s="8" t="s">
        <v>1191</v>
      </c>
      <c r="L546" s="8" t="s">
        <v>1809</v>
      </c>
      <c r="M546" s="8"/>
      <c r="N546" s="8" t="s">
        <v>62</v>
      </c>
      <c r="O546" s="8" t="s">
        <v>63</v>
      </c>
      <c r="P546" s="4" t="n">
        <v>30</v>
      </c>
      <c r="Q546" s="8"/>
      <c r="R546" s="4" t="s">
        <v>1885</v>
      </c>
      <c r="S546" s="4"/>
    </row>
    <row r="547" customFormat="false" ht="15" hidden="false" customHeight="false" outlineLevel="0" collapsed="false">
      <c r="A547" s="4" t="s">
        <v>1886</v>
      </c>
      <c r="B547" s="8" t="s">
        <v>1887</v>
      </c>
      <c r="C547" s="8" t="s">
        <v>58</v>
      </c>
      <c r="D547" s="8"/>
      <c r="E547" s="8" t="s">
        <v>60</v>
      </c>
      <c r="F547" s="8"/>
      <c r="G547" s="8"/>
      <c r="H547" s="8"/>
      <c r="I547" s="8" t="s">
        <v>1888</v>
      </c>
      <c r="J547" s="8" t="s">
        <v>64</v>
      </c>
      <c r="K547" s="8" t="s">
        <v>1191</v>
      </c>
      <c r="L547" s="8" t="s">
        <v>1809</v>
      </c>
      <c r="M547" s="8"/>
      <c r="N547" s="8" t="s">
        <v>62</v>
      </c>
      <c r="O547" s="8" t="s">
        <v>63</v>
      </c>
      <c r="P547" s="4" t="n">
        <v>30</v>
      </c>
      <c r="Q547" s="8"/>
      <c r="R547" s="4" t="s">
        <v>1889</v>
      </c>
      <c r="S547" s="4"/>
    </row>
    <row r="548" customFormat="false" ht="15" hidden="false" customHeight="false" outlineLevel="0" collapsed="false">
      <c r="A548" s="4" t="s">
        <v>1890</v>
      </c>
      <c r="B548" s="8" t="s">
        <v>1891</v>
      </c>
      <c r="C548" s="8"/>
      <c r="D548" s="8"/>
      <c r="E548" s="8"/>
      <c r="F548" s="8"/>
      <c r="G548" s="8"/>
      <c r="H548" s="8"/>
      <c r="I548" s="8" t="s">
        <v>1892</v>
      </c>
      <c r="J548" s="8" t="s">
        <v>64</v>
      </c>
      <c r="K548" s="8" t="s">
        <v>1191</v>
      </c>
      <c r="L548" s="8" t="s">
        <v>1809</v>
      </c>
      <c r="M548" s="8"/>
      <c r="N548" s="8" t="s">
        <v>62</v>
      </c>
      <c r="O548" s="8" t="s">
        <v>63</v>
      </c>
      <c r="P548" s="4" t="n">
        <v>30</v>
      </c>
      <c r="Q548" s="8"/>
      <c r="R548" s="4" t="s">
        <v>1891</v>
      </c>
      <c r="S548" s="4"/>
    </row>
    <row r="549" customFormat="false" ht="15" hidden="false" customHeight="false" outlineLevel="0" collapsed="false">
      <c r="A549" s="4" t="s">
        <v>1893</v>
      </c>
      <c r="B549" s="8" t="s">
        <v>1200</v>
      </c>
      <c r="C549" s="8" t="s">
        <v>58</v>
      </c>
      <c r="D549" s="8"/>
      <c r="E549" s="8" t="s">
        <v>60</v>
      </c>
      <c r="F549" s="8"/>
      <c r="G549" s="8"/>
      <c r="H549" s="8"/>
      <c r="I549" s="8" t="s">
        <v>1201</v>
      </c>
      <c r="J549" s="8" t="s">
        <v>64</v>
      </c>
      <c r="K549" s="8" t="s">
        <v>1191</v>
      </c>
      <c r="L549" s="8" t="s">
        <v>1894</v>
      </c>
      <c r="M549" s="8"/>
      <c r="N549" s="8" t="s">
        <v>62</v>
      </c>
      <c r="O549" s="8" t="s">
        <v>63</v>
      </c>
      <c r="P549" s="4" t="n">
        <v>30</v>
      </c>
      <c r="Q549" s="8"/>
      <c r="R549" s="4" t="s">
        <v>1202</v>
      </c>
      <c r="S549" s="4" t="n">
        <v>429</v>
      </c>
    </row>
    <row r="550" customFormat="false" ht="15" hidden="false" customHeight="false" outlineLevel="0" collapsed="false">
      <c r="A550" s="4" t="s">
        <v>1895</v>
      </c>
      <c r="B550" s="8" t="s">
        <v>1896</v>
      </c>
      <c r="C550" s="8"/>
      <c r="D550" s="8"/>
      <c r="E550" s="8"/>
      <c r="F550" s="8"/>
      <c r="G550" s="8"/>
      <c r="H550" s="8"/>
      <c r="I550" s="8" t="s">
        <v>1897</v>
      </c>
      <c r="J550" s="8" t="s">
        <v>64</v>
      </c>
      <c r="K550" s="8" t="s">
        <v>1191</v>
      </c>
      <c r="L550" s="8" t="s">
        <v>1894</v>
      </c>
      <c r="M550" s="8"/>
      <c r="N550" s="8" t="s">
        <v>62</v>
      </c>
      <c r="O550" s="8" t="s">
        <v>63</v>
      </c>
      <c r="P550" s="4" t="n">
        <v>30</v>
      </c>
      <c r="Q550" s="8"/>
      <c r="R550" s="4" t="s">
        <v>1896</v>
      </c>
      <c r="S550" s="4"/>
    </row>
    <row r="551" customFormat="false" ht="15" hidden="false" customHeight="false" outlineLevel="0" collapsed="false">
      <c r="A551" s="4" t="s">
        <v>1898</v>
      </c>
      <c r="B551" s="8" t="s">
        <v>1899</v>
      </c>
      <c r="C551" s="8" t="s">
        <v>58</v>
      </c>
      <c r="D551" s="8"/>
      <c r="E551" s="8" t="s">
        <v>60</v>
      </c>
      <c r="F551" s="8"/>
      <c r="G551" s="8"/>
      <c r="H551" s="8"/>
      <c r="I551" s="8" t="s">
        <v>1900</v>
      </c>
      <c r="J551" s="8" t="s">
        <v>64</v>
      </c>
      <c r="K551" s="8" t="s">
        <v>1191</v>
      </c>
      <c r="L551" s="8" t="s">
        <v>1894</v>
      </c>
      <c r="M551" s="8"/>
      <c r="N551" s="8" t="s">
        <v>62</v>
      </c>
      <c r="O551" s="8" t="s">
        <v>63</v>
      </c>
      <c r="P551" s="4" t="n">
        <v>30</v>
      </c>
      <c r="Q551" s="8"/>
      <c r="R551" s="4" t="s">
        <v>1901</v>
      </c>
      <c r="S551" s="4"/>
    </row>
    <row r="552" customFormat="false" ht="15" hidden="false" customHeight="false" outlineLevel="0" collapsed="false">
      <c r="A552" s="4" t="s">
        <v>1902</v>
      </c>
      <c r="B552" s="8" t="s">
        <v>1903</v>
      </c>
      <c r="C552" s="8" t="s">
        <v>58</v>
      </c>
      <c r="D552" s="8"/>
      <c r="E552" s="8" t="s">
        <v>60</v>
      </c>
      <c r="F552" s="8"/>
      <c r="G552" s="8"/>
      <c r="H552" s="8"/>
      <c r="I552" s="8" t="s">
        <v>1904</v>
      </c>
      <c r="J552" s="8" t="s">
        <v>64</v>
      </c>
      <c r="K552" s="8" t="s">
        <v>1191</v>
      </c>
      <c r="L552" s="8" t="s">
        <v>1894</v>
      </c>
      <c r="M552" s="8"/>
      <c r="N552" s="8" t="s">
        <v>62</v>
      </c>
      <c r="O552" s="8" t="s">
        <v>63</v>
      </c>
      <c r="P552" s="4" t="n">
        <v>30</v>
      </c>
      <c r="Q552" s="8"/>
      <c r="R552" s="4" t="s">
        <v>1905</v>
      </c>
      <c r="S552" s="4"/>
    </row>
    <row r="553" customFormat="false" ht="15" hidden="false" customHeight="false" outlineLevel="0" collapsed="false">
      <c r="A553" s="4" t="s">
        <v>1906</v>
      </c>
      <c r="B553" s="8" t="s">
        <v>1907</v>
      </c>
      <c r="C553" s="8" t="s">
        <v>58</v>
      </c>
      <c r="D553" s="8"/>
      <c r="E553" s="8" t="s">
        <v>60</v>
      </c>
      <c r="F553" s="8"/>
      <c r="G553" s="8"/>
      <c r="H553" s="8"/>
      <c r="I553" s="8" t="s">
        <v>1908</v>
      </c>
      <c r="J553" s="8" t="s">
        <v>64</v>
      </c>
      <c r="K553" s="8" t="s">
        <v>1191</v>
      </c>
      <c r="L553" s="8" t="s">
        <v>1894</v>
      </c>
      <c r="M553" s="8"/>
      <c r="N553" s="8" t="s">
        <v>62</v>
      </c>
      <c r="O553" s="8" t="s">
        <v>63</v>
      </c>
      <c r="P553" s="4" t="n">
        <v>30</v>
      </c>
      <c r="Q553" s="8"/>
      <c r="R553" s="4" t="s">
        <v>1909</v>
      </c>
      <c r="S553" s="4"/>
    </row>
    <row r="554" customFormat="false" ht="15" hidden="false" customHeight="false" outlineLevel="0" collapsed="false">
      <c r="A554" s="4" t="s">
        <v>1910</v>
      </c>
      <c r="B554" s="8" t="s">
        <v>1911</v>
      </c>
      <c r="C554" s="8" t="s">
        <v>58</v>
      </c>
      <c r="D554" s="8"/>
      <c r="E554" s="8" t="s">
        <v>60</v>
      </c>
      <c r="F554" s="8"/>
      <c r="G554" s="8"/>
      <c r="H554" s="8"/>
      <c r="I554" s="8" t="s">
        <v>1912</v>
      </c>
      <c r="J554" s="8" t="s">
        <v>64</v>
      </c>
      <c r="K554" s="8" t="s">
        <v>1191</v>
      </c>
      <c r="L554" s="8" t="s">
        <v>1894</v>
      </c>
      <c r="M554" s="8"/>
      <c r="N554" s="8" t="s">
        <v>62</v>
      </c>
      <c r="O554" s="8" t="s">
        <v>63</v>
      </c>
      <c r="P554" s="4" t="n">
        <v>30</v>
      </c>
      <c r="Q554" s="8"/>
      <c r="R554" s="4" t="s">
        <v>1913</v>
      </c>
      <c r="S554" s="4"/>
    </row>
    <row r="555" customFormat="false" ht="15" hidden="false" customHeight="false" outlineLevel="0" collapsed="false">
      <c r="A555" s="4" t="s">
        <v>1914</v>
      </c>
      <c r="B555" s="8" t="s">
        <v>1915</v>
      </c>
      <c r="C555" s="8" t="s">
        <v>66</v>
      </c>
      <c r="D555" s="8" t="s">
        <v>67</v>
      </c>
      <c r="E555" s="8" t="s">
        <v>60</v>
      </c>
      <c r="F555" s="8"/>
      <c r="G555" s="8"/>
      <c r="H555" s="8"/>
      <c r="I555" s="8" t="s">
        <v>1916</v>
      </c>
      <c r="J555" s="8" t="s">
        <v>64</v>
      </c>
      <c r="K555" s="8" t="s">
        <v>1191</v>
      </c>
      <c r="L555" s="8" t="s">
        <v>1894</v>
      </c>
      <c r="M555" s="8"/>
      <c r="N555" s="8" t="s">
        <v>62</v>
      </c>
      <c r="O555" s="8" t="s">
        <v>63</v>
      </c>
      <c r="P555" s="4" t="n">
        <v>30</v>
      </c>
      <c r="Q555" s="8"/>
      <c r="R555" s="4" t="s">
        <v>1917</v>
      </c>
      <c r="S555" s="4"/>
    </row>
    <row r="556" customFormat="false" ht="15" hidden="false" customHeight="false" outlineLevel="0" collapsed="false">
      <c r="A556" s="4" t="s">
        <v>1918</v>
      </c>
      <c r="B556" s="8" t="s">
        <v>1919</v>
      </c>
      <c r="C556" s="8" t="s">
        <v>66</v>
      </c>
      <c r="D556" s="8" t="s">
        <v>67</v>
      </c>
      <c r="E556" s="8" t="s">
        <v>60</v>
      </c>
      <c r="F556" s="8"/>
      <c r="G556" s="8"/>
      <c r="H556" s="8"/>
      <c r="I556" s="8" t="s">
        <v>1920</v>
      </c>
      <c r="J556" s="8" t="s">
        <v>64</v>
      </c>
      <c r="K556" s="8" t="s">
        <v>1191</v>
      </c>
      <c r="L556" s="8" t="s">
        <v>1894</v>
      </c>
      <c r="M556" s="8"/>
      <c r="N556" s="8" t="s">
        <v>62</v>
      </c>
      <c r="O556" s="8" t="s">
        <v>63</v>
      </c>
      <c r="P556" s="4" t="n">
        <v>30</v>
      </c>
      <c r="Q556" s="8"/>
      <c r="R556" s="4" t="s">
        <v>1921</v>
      </c>
      <c r="S556" s="4"/>
    </row>
    <row r="557" customFormat="false" ht="15" hidden="false" customHeight="false" outlineLevel="0" collapsed="false">
      <c r="A557" s="4" t="s">
        <v>1922</v>
      </c>
      <c r="B557" s="8" t="s">
        <v>1923</v>
      </c>
      <c r="C557" s="8" t="s">
        <v>66</v>
      </c>
      <c r="D557" s="8" t="s">
        <v>67</v>
      </c>
      <c r="E557" s="8" t="s">
        <v>60</v>
      </c>
      <c r="F557" s="8"/>
      <c r="G557" s="8"/>
      <c r="H557" s="8"/>
      <c r="I557" s="8" t="s">
        <v>1924</v>
      </c>
      <c r="J557" s="8" t="s">
        <v>64</v>
      </c>
      <c r="K557" s="8" t="s">
        <v>1191</v>
      </c>
      <c r="L557" s="8" t="s">
        <v>1894</v>
      </c>
      <c r="M557" s="8"/>
      <c r="N557" s="8" t="s">
        <v>62</v>
      </c>
      <c r="O557" s="8" t="s">
        <v>63</v>
      </c>
      <c r="P557" s="4" t="n">
        <v>30</v>
      </c>
      <c r="Q557" s="8"/>
      <c r="R557" s="4" t="s">
        <v>1925</v>
      </c>
      <c r="S557" s="4"/>
    </row>
    <row r="558" customFormat="false" ht="15" hidden="false" customHeight="false" outlineLevel="0" collapsed="false">
      <c r="A558" s="4" t="s">
        <v>1926</v>
      </c>
      <c r="B558" s="8" t="s">
        <v>1927</v>
      </c>
      <c r="C558" s="8" t="s">
        <v>58</v>
      </c>
      <c r="D558" s="8"/>
      <c r="E558" s="8" t="s">
        <v>60</v>
      </c>
      <c r="F558" s="8"/>
      <c r="G558" s="8"/>
      <c r="H558" s="8"/>
      <c r="I558" s="8" t="s">
        <v>1928</v>
      </c>
      <c r="J558" s="8" t="s">
        <v>64</v>
      </c>
      <c r="K558" s="8" t="s">
        <v>1191</v>
      </c>
      <c r="L558" s="8" t="s">
        <v>1894</v>
      </c>
      <c r="M558" s="8"/>
      <c r="N558" s="8" t="s">
        <v>62</v>
      </c>
      <c r="O558" s="8" t="s">
        <v>63</v>
      </c>
      <c r="P558" s="4" t="n">
        <v>30</v>
      </c>
      <c r="Q558" s="8"/>
      <c r="R558" s="4" t="s">
        <v>1929</v>
      </c>
      <c r="S558" s="4" t="n">
        <v>5352</v>
      </c>
    </row>
    <row r="559" customFormat="false" ht="15" hidden="false" customHeight="false" outlineLevel="0" collapsed="false">
      <c r="A559" s="4" t="s">
        <v>1930</v>
      </c>
      <c r="B559" s="8" t="s">
        <v>1931</v>
      </c>
      <c r="C559" s="8" t="s">
        <v>58</v>
      </c>
      <c r="D559" s="8"/>
      <c r="E559" s="8" t="s">
        <v>60</v>
      </c>
      <c r="F559" s="8"/>
      <c r="G559" s="8"/>
      <c r="H559" s="8"/>
      <c r="I559" s="8" t="s">
        <v>1932</v>
      </c>
      <c r="J559" s="8" t="s">
        <v>64</v>
      </c>
      <c r="K559" s="8" t="s">
        <v>1191</v>
      </c>
      <c r="L559" s="8" t="s">
        <v>1894</v>
      </c>
      <c r="M559" s="8"/>
      <c r="N559" s="8" t="s">
        <v>62</v>
      </c>
      <c r="O559" s="8" t="s">
        <v>63</v>
      </c>
      <c r="P559" s="4" t="n">
        <v>30</v>
      </c>
      <c r="Q559" s="8"/>
      <c r="R559" s="4" t="s">
        <v>1933</v>
      </c>
      <c r="S559" s="4"/>
    </row>
    <row r="560" customFormat="false" ht="15" hidden="false" customHeight="false" outlineLevel="0" collapsed="false">
      <c r="A560" s="4" t="s">
        <v>1934</v>
      </c>
      <c r="B560" s="8" t="s">
        <v>1935</v>
      </c>
      <c r="C560" s="8" t="s">
        <v>58</v>
      </c>
      <c r="D560" s="8"/>
      <c r="E560" s="8" t="s">
        <v>60</v>
      </c>
      <c r="F560" s="8"/>
      <c r="G560" s="8"/>
      <c r="H560" s="8"/>
      <c r="I560" s="8" t="s">
        <v>1936</v>
      </c>
      <c r="J560" s="8" t="s">
        <v>64</v>
      </c>
      <c r="K560" s="8" t="s">
        <v>1191</v>
      </c>
      <c r="L560" s="8" t="s">
        <v>1894</v>
      </c>
      <c r="M560" s="8"/>
      <c r="N560" s="8" t="s">
        <v>62</v>
      </c>
      <c r="O560" s="8" t="s">
        <v>63</v>
      </c>
      <c r="P560" s="4" t="n">
        <v>30</v>
      </c>
      <c r="Q560" s="8"/>
      <c r="R560" s="4" t="s">
        <v>1937</v>
      </c>
      <c r="S560" s="4"/>
    </row>
    <row r="561" customFormat="false" ht="15" hidden="false" customHeight="false" outlineLevel="0" collapsed="false">
      <c r="A561" s="4" t="s">
        <v>1938</v>
      </c>
      <c r="B561" s="8" t="s">
        <v>1939</v>
      </c>
      <c r="C561" s="8"/>
      <c r="D561" s="8"/>
      <c r="E561" s="8"/>
      <c r="F561" s="8"/>
      <c r="G561" s="8"/>
      <c r="H561" s="8"/>
      <c r="I561" s="8" t="s">
        <v>1940</v>
      </c>
      <c r="J561" s="8" t="s">
        <v>64</v>
      </c>
      <c r="K561" s="8" t="s">
        <v>1191</v>
      </c>
      <c r="L561" s="8" t="s">
        <v>1894</v>
      </c>
      <c r="M561" s="8"/>
      <c r="N561" s="8" t="s">
        <v>62</v>
      </c>
      <c r="O561" s="8" t="s">
        <v>63</v>
      </c>
      <c r="P561" s="4" t="n">
        <v>30</v>
      </c>
      <c r="Q561" s="8"/>
      <c r="R561" s="4" t="s">
        <v>1939</v>
      </c>
      <c r="S561" s="4"/>
    </row>
    <row r="562" customFormat="false" ht="15" hidden="false" customHeight="false" outlineLevel="0" collapsed="false">
      <c r="A562" s="4" t="s">
        <v>1941</v>
      </c>
      <c r="B562" s="8" t="s">
        <v>1942</v>
      </c>
      <c r="C562" s="8" t="s">
        <v>58</v>
      </c>
      <c r="D562" s="8"/>
      <c r="E562" s="8" t="s">
        <v>60</v>
      </c>
      <c r="F562" s="8"/>
      <c r="G562" s="8"/>
      <c r="H562" s="8"/>
      <c r="I562" s="8" t="s">
        <v>1943</v>
      </c>
      <c r="J562" s="8" t="s">
        <v>64</v>
      </c>
      <c r="K562" s="8" t="s">
        <v>1191</v>
      </c>
      <c r="L562" s="8" t="s">
        <v>1894</v>
      </c>
      <c r="M562" s="8"/>
      <c r="N562" s="8" t="s">
        <v>62</v>
      </c>
      <c r="O562" s="8" t="s">
        <v>63</v>
      </c>
      <c r="P562" s="4" t="n">
        <v>30</v>
      </c>
      <c r="Q562" s="8"/>
      <c r="R562" s="4" t="s">
        <v>1944</v>
      </c>
      <c r="S562" s="4"/>
    </row>
    <row r="563" customFormat="false" ht="15" hidden="false" customHeight="false" outlineLevel="0" collapsed="false">
      <c r="A563" s="4" t="s">
        <v>1945</v>
      </c>
      <c r="B563" s="8" t="s">
        <v>1946</v>
      </c>
      <c r="C563" s="8" t="s">
        <v>58</v>
      </c>
      <c r="D563" s="8"/>
      <c r="E563" s="8" t="s">
        <v>60</v>
      </c>
      <c r="F563" s="8"/>
      <c r="G563" s="8"/>
      <c r="H563" s="8"/>
      <c r="I563" s="8" t="s">
        <v>1947</v>
      </c>
      <c r="J563" s="8" t="s">
        <v>64</v>
      </c>
      <c r="K563" s="8" t="s">
        <v>1191</v>
      </c>
      <c r="L563" s="8" t="s">
        <v>1894</v>
      </c>
      <c r="M563" s="8"/>
      <c r="N563" s="8" t="s">
        <v>62</v>
      </c>
      <c r="O563" s="8" t="s">
        <v>63</v>
      </c>
      <c r="P563" s="4" t="n">
        <v>30</v>
      </c>
      <c r="Q563" s="8"/>
      <c r="R563" s="4" t="s">
        <v>1948</v>
      </c>
      <c r="S563" s="4"/>
    </row>
    <row r="564" customFormat="false" ht="15" hidden="false" customHeight="false" outlineLevel="0" collapsed="false">
      <c r="A564" s="4" t="s">
        <v>1949</v>
      </c>
      <c r="B564" s="8" t="s">
        <v>1950</v>
      </c>
      <c r="C564" s="8" t="s">
        <v>58</v>
      </c>
      <c r="D564" s="8" t="s">
        <v>67</v>
      </c>
      <c r="E564" s="8" t="s">
        <v>60</v>
      </c>
      <c r="F564" s="8"/>
      <c r="G564" s="8"/>
      <c r="H564" s="8"/>
      <c r="I564" s="8" t="s">
        <v>1951</v>
      </c>
      <c r="J564" s="8" t="s">
        <v>64</v>
      </c>
      <c r="K564" s="8" t="s">
        <v>1191</v>
      </c>
      <c r="L564" s="8" t="s">
        <v>1894</v>
      </c>
      <c r="M564" s="8"/>
      <c r="N564" s="8" t="s">
        <v>62</v>
      </c>
      <c r="O564" s="8" t="s">
        <v>63</v>
      </c>
      <c r="P564" s="4" t="n">
        <v>31</v>
      </c>
      <c r="Q564" s="8"/>
      <c r="R564" s="4" t="s">
        <v>1952</v>
      </c>
      <c r="S564" s="4"/>
    </row>
    <row r="565" customFormat="false" ht="15" hidden="false" customHeight="false" outlineLevel="0" collapsed="false">
      <c r="A565" s="4" t="s">
        <v>1953</v>
      </c>
      <c r="B565" s="8" t="s">
        <v>1954</v>
      </c>
      <c r="C565" s="8" t="s">
        <v>58</v>
      </c>
      <c r="D565" s="8"/>
      <c r="E565" s="8" t="s">
        <v>60</v>
      </c>
      <c r="F565" s="8"/>
      <c r="G565" s="8"/>
      <c r="H565" s="8"/>
      <c r="I565" s="8" t="s">
        <v>1955</v>
      </c>
      <c r="J565" s="8" t="s">
        <v>64</v>
      </c>
      <c r="K565" s="8" t="s">
        <v>1191</v>
      </c>
      <c r="L565" s="8" t="s">
        <v>1894</v>
      </c>
      <c r="M565" s="8"/>
      <c r="N565" s="8" t="s">
        <v>62</v>
      </c>
      <c r="O565" s="8" t="s">
        <v>63</v>
      </c>
      <c r="P565" s="4" t="n">
        <v>31</v>
      </c>
      <c r="Q565" s="8"/>
      <c r="R565" s="4" t="s">
        <v>1956</v>
      </c>
      <c r="S565" s="4"/>
    </row>
    <row r="566" customFormat="false" ht="15" hidden="false" customHeight="false" outlineLevel="0" collapsed="false">
      <c r="A566" s="4" t="s">
        <v>1957</v>
      </c>
      <c r="B566" s="8" t="s">
        <v>1958</v>
      </c>
      <c r="C566" s="8"/>
      <c r="D566" s="8"/>
      <c r="E566" s="8"/>
      <c r="F566" s="8"/>
      <c r="G566" s="8"/>
      <c r="H566" s="8"/>
      <c r="I566" s="8" t="s">
        <v>1959</v>
      </c>
      <c r="J566" s="8" t="s">
        <v>64</v>
      </c>
      <c r="K566" s="8" t="s">
        <v>1191</v>
      </c>
      <c r="L566" s="8" t="s">
        <v>1894</v>
      </c>
      <c r="M566" s="8"/>
      <c r="N566" s="8" t="s">
        <v>62</v>
      </c>
      <c r="O566" s="8" t="s">
        <v>63</v>
      </c>
      <c r="P566" s="4" t="n">
        <v>31</v>
      </c>
      <c r="Q566" s="8"/>
      <c r="R566" s="4" t="s">
        <v>1958</v>
      </c>
      <c r="S566" s="4"/>
    </row>
    <row r="567" customFormat="false" ht="15" hidden="false" customHeight="false" outlineLevel="0" collapsed="false">
      <c r="A567" s="4" t="s">
        <v>1960</v>
      </c>
      <c r="B567" s="8" t="s">
        <v>1961</v>
      </c>
      <c r="C567" s="8" t="s">
        <v>58</v>
      </c>
      <c r="D567" s="8"/>
      <c r="E567" s="8" t="s">
        <v>60</v>
      </c>
      <c r="F567" s="8"/>
      <c r="G567" s="8"/>
      <c r="H567" s="8"/>
      <c r="I567" s="8" t="s">
        <v>1962</v>
      </c>
      <c r="J567" s="8" t="s">
        <v>64</v>
      </c>
      <c r="K567" s="8" t="s">
        <v>1191</v>
      </c>
      <c r="L567" s="8" t="s">
        <v>1894</v>
      </c>
      <c r="M567" s="8"/>
      <c r="N567" s="8" t="s">
        <v>62</v>
      </c>
      <c r="O567" s="8" t="s">
        <v>63</v>
      </c>
      <c r="P567" s="4" t="n">
        <v>31</v>
      </c>
      <c r="Q567" s="8"/>
      <c r="R567" s="4" t="s">
        <v>1963</v>
      </c>
      <c r="S567" s="4"/>
    </row>
    <row r="568" customFormat="false" ht="15" hidden="false" customHeight="false" outlineLevel="0" collapsed="false">
      <c r="A568" s="4" t="s">
        <v>1964</v>
      </c>
      <c r="B568" s="8" t="s">
        <v>1965</v>
      </c>
      <c r="C568" s="8"/>
      <c r="D568" s="8"/>
      <c r="E568" s="8"/>
      <c r="F568" s="8"/>
      <c r="G568" s="8"/>
      <c r="H568" s="8"/>
      <c r="I568" s="8" t="s">
        <v>1966</v>
      </c>
      <c r="J568" s="8" t="s">
        <v>64</v>
      </c>
      <c r="K568" s="8" t="s">
        <v>1191</v>
      </c>
      <c r="L568" s="8" t="s">
        <v>1894</v>
      </c>
      <c r="M568" s="8"/>
      <c r="N568" s="8" t="s">
        <v>62</v>
      </c>
      <c r="O568" s="8" t="s">
        <v>63</v>
      </c>
      <c r="P568" s="4" t="n">
        <v>31</v>
      </c>
      <c r="Q568" s="8"/>
      <c r="R568" s="4" t="s">
        <v>1965</v>
      </c>
      <c r="S568" s="4"/>
    </row>
    <row r="569" customFormat="false" ht="15" hidden="false" customHeight="false" outlineLevel="0" collapsed="false">
      <c r="A569" s="4" t="s">
        <v>1967</v>
      </c>
      <c r="B569" s="8" t="s">
        <v>1968</v>
      </c>
      <c r="C569" s="8" t="s">
        <v>58</v>
      </c>
      <c r="D569" s="8"/>
      <c r="E569" s="8" t="s">
        <v>60</v>
      </c>
      <c r="F569" s="8"/>
      <c r="G569" s="8"/>
      <c r="H569" s="8"/>
      <c r="I569" s="8" t="s">
        <v>1969</v>
      </c>
      <c r="J569" s="8" t="s">
        <v>64</v>
      </c>
      <c r="K569" s="8" t="s">
        <v>1191</v>
      </c>
      <c r="L569" s="8" t="s">
        <v>1894</v>
      </c>
      <c r="M569" s="8"/>
      <c r="N569" s="8" t="s">
        <v>62</v>
      </c>
      <c r="O569" s="8" t="s">
        <v>63</v>
      </c>
      <c r="P569" s="4" t="n">
        <v>31</v>
      </c>
      <c r="Q569" s="8"/>
      <c r="R569" s="4" t="s">
        <v>1970</v>
      </c>
      <c r="S569" s="4" t="n">
        <v>2419</v>
      </c>
    </row>
    <row r="570" customFormat="false" ht="15" hidden="false" customHeight="false" outlineLevel="0" collapsed="false">
      <c r="A570" s="4" t="s">
        <v>1971</v>
      </c>
      <c r="B570" s="8" t="s">
        <v>1972</v>
      </c>
      <c r="C570" s="8" t="s">
        <v>58</v>
      </c>
      <c r="D570" s="8" t="s">
        <v>67</v>
      </c>
      <c r="E570" s="8" t="s">
        <v>60</v>
      </c>
      <c r="F570" s="8"/>
      <c r="G570" s="8"/>
      <c r="H570" s="8"/>
      <c r="I570" s="8" t="s">
        <v>1973</v>
      </c>
      <c r="J570" s="8" t="s">
        <v>64</v>
      </c>
      <c r="K570" s="8" t="s">
        <v>1191</v>
      </c>
      <c r="L570" s="8" t="s">
        <v>1894</v>
      </c>
      <c r="M570" s="8"/>
      <c r="N570" s="8" t="s">
        <v>62</v>
      </c>
      <c r="O570" s="8" t="s">
        <v>63</v>
      </c>
      <c r="P570" s="4" t="n">
        <v>31</v>
      </c>
      <c r="Q570" s="8"/>
      <c r="R570" s="4" t="s">
        <v>1974</v>
      </c>
      <c r="S570" s="4"/>
    </row>
    <row r="571" customFormat="false" ht="15" hidden="false" customHeight="false" outlineLevel="0" collapsed="false">
      <c r="A571" s="4" t="s">
        <v>1975</v>
      </c>
      <c r="B571" s="8" t="s">
        <v>1976</v>
      </c>
      <c r="C571" s="8" t="s">
        <v>58</v>
      </c>
      <c r="D571" s="8"/>
      <c r="E571" s="8" t="s">
        <v>60</v>
      </c>
      <c r="F571" s="8"/>
      <c r="G571" s="8"/>
      <c r="H571" s="8"/>
      <c r="I571" s="8" t="s">
        <v>1977</v>
      </c>
      <c r="J571" s="8" t="s">
        <v>64</v>
      </c>
      <c r="K571" s="8" t="s">
        <v>1191</v>
      </c>
      <c r="L571" s="8" t="s">
        <v>1894</v>
      </c>
      <c r="M571" s="8"/>
      <c r="N571" s="8" t="s">
        <v>62</v>
      </c>
      <c r="O571" s="8" t="s">
        <v>63</v>
      </c>
      <c r="P571" s="4" t="n">
        <v>31</v>
      </c>
      <c r="Q571" s="8"/>
      <c r="R571" s="4" t="s">
        <v>1978</v>
      </c>
      <c r="S571" s="4" t="n">
        <v>7058</v>
      </c>
    </row>
    <row r="572" customFormat="false" ht="15" hidden="false" customHeight="false" outlineLevel="0" collapsed="false">
      <c r="A572" s="4" t="s">
        <v>1979</v>
      </c>
      <c r="B572" s="8" t="s">
        <v>1980</v>
      </c>
      <c r="C572" s="8" t="s">
        <v>58</v>
      </c>
      <c r="D572" s="8"/>
      <c r="E572" s="8" t="s">
        <v>60</v>
      </c>
      <c r="F572" s="8"/>
      <c r="G572" s="8"/>
      <c r="H572" s="8"/>
      <c r="I572" s="8" t="s">
        <v>1981</v>
      </c>
      <c r="J572" s="8" t="s">
        <v>64</v>
      </c>
      <c r="K572" s="8" t="s">
        <v>1191</v>
      </c>
      <c r="L572" s="8" t="s">
        <v>1894</v>
      </c>
      <c r="M572" s="8"/>
      <c r="N572" s="8" t="s">
        <v>62</v>
      </c>
      <c r="O572" s="8" t="s">
        <v>63</v>
      </c>
      <c r="P572" s="4" t="n">
        <v>31</v>
      </c>
      <c r="Q572" s="8"/>
      <c r="R572" s="4" t="s">
        <v>1982</v>
      </c>
      <c r="S572" s="4"/>
    </row>
    <row r="573" customFormat="false" ht="15" hidden="false" customHeight="false" outlineLevel="0" collapsed="false">
      <c r="A573" s="4" t="s">
        <v>1983</v>
      </c>
      <c r="B573" s="8" t="s">
        <v>1984</v>
      </c>
      <c r="C573" s="8" t="s">
        <v>58</v>
      </c>
      <c r="D573" s="8"/>
      <c r="E573" s="8" t="s">
        <v>60</v>
      </c>
      <c r="F573" s="8"/>
      <c r="G573" s="8"/>
      <c r="H573" s="8"/>
      <c r="I573" s="8" t="s">
        <v>1985</v>
      </c>
      <c r="J573" s="8" t="s">
        <v>64</v>
      </c>
      <c r="K573" s="8" t="s">
        <v>1191</v>
      </c>
      <c r="L573" s="8" t="s">
        <v>1894</v>
      </c>
      <c r="M573" s="8"/>
      <c r="N573" s="8" t="s">
        <v>62</v>
      </c>
      <c r="O573" s="8" t="s">
        <v>63</v>
      </c>
      <c r="P573" s="4" t="n">
        <v>31</v>
      </c>
      <c r="Q573" s="8"/>
      <c r="R573" s="4" t="s">
        <v>1986</v>
      </c>
      <c r="S573" s="4"/>
    </row>
    <row r="574" customFormat="false" ht="15" hidden="false" customHeight="false" outlineLevel="0" collapsed="false">
      <c r="A574" s="4" t="s">
        <v>1987</v>
      </c>
      <c r="B574" s="8" t="s">
        <v>1988</v>
      </c>
      <c r="C574" s="8" t="s">
        <v>58</v>
      </c>
      <c r="D574" s="8"/>
      <c r="E574" s="8" t="s">
        <v>60</v>
      </c>
      <c r="F574" s="8"/>
      <c r="G574" s="8"/>
      <c r="H574" s="8"/>
      <c r="I574" s="8" t="s">
        <v>1989</v>
      </c>
      <c r="J574" s="8" t="s">
        <v>64</v>
      </c>
      <c r="K574" s="8" t="s">
        <v>1191</v>
      </c>
      <c r="L574" s="8" t="s">
        <v>1894</v>
      </c>
      <c r="M574" s="8"/>
      <c r="N574" s="8" t="s">
        <v>62</v>
      </c>
      <c r="O574" s="8" t="s">
        <v>63</v>
      </c>
      <c r="P574" s="4" t="n">
        <v>31</v>
      </c>
      <c r="Q574" s="8"/>
      <c r="R574" s="4" t="s">
        <v>1990</v>
      </c>
      <c r="S574" s="4"/>
    </row>
    <row r="575" customFormat="false" ht="15" hidden="false" customHeight="false" outlineLevel="0" collapsed="false">
      <c r="A575" s="4" t="s">
        <v>1991</v>
      </c>
      <c r="B575" s="8" t="s">
        <v>1992</v>
      </c>
      <c r="C575" s="8" t="s">
        <v>58</v>
      </c>
      <c r="D575" s="8" t="s">
        <v>67</v>
      </c>
      <c r="E575" s="8" t="s">
        <v>60</v>
      </c>
      <c r="F575" s="8"/>
      <c r="G575" s="8"/>
      <c r="H575" s="8"/>
      <c r="I575" s="8" t="s">
        <v>1993</v>
      </c>
      <c r="J575" s="8" t="s">
        <v>64</v>
      </c>
      <c r="K575" s="8" t="s">
        <v>1191</v>
      </c>
      <c r="L575" s="8" t="s">
        <v>1894</v>
      </c>
      <c r="M575" s="8"/>
      <c r="N575" s="8" t="s">
        <v>62</v>
      </c>
      <c r="O575" s="8" t="s">
        <v>63</v>
      </c>
      <c r="P575" s="4" t="n">
        <v>31</v>
      </c>
      <c r="Q575" s="8"/>
      <c r="R575" s="4" t="s">
        <v>1994</v>
      </c>
      <c r="S575" s="4"/>
    </row>
    <row r="576" customFormat="false" ht="15" hidden="false" customHeight="false" outlineLevel="0" collapsed="false">
      <c r="A576" s="4" t="s">
        <v>1995</v>
      </c>
      <c r="B576" s="8" t="s">
        <v>1996</v>
      </c>
      <c r="C576" s="8" t="s">
        <v>58</v>
      </c>
      <c r="D576" s="8"/>
      <c r="E576" s="8" t="s">
        <v>60</v>
      </c>
      <c r="F576" s="8"/>
      <c r="G576" s="8"/>
      <c r="H576" s="8"/>
      <c r="I576" s="8" t="s">
        <v>1997</v>
      </c>
      <c r="J576" s="8" t="s">
        <v>64</v>
      </c>
      <c r="K576" s="8" t="s">
        <v>1191</v>
      </c>
      <c r="L576" s="8" t="s">
        <v>1894</v>
      </c>
      <c r="M576" s="8"/>
      <c r="N576" s="8" t="s">
        <v>62</v>
      </c>
      <c r="O576" s="8" t="s">
        <v>63</v>
      </c>
      <c r="P576" s="4" t="n">
        <v>31</v>
      </c>
      <c r="Q576" s="8"/>
      <c r="R576" s="4" t="s">
        <v>1998</v>
      </c>
      <c r="S576" s="4"/>
    </row>
    <row r="577" customFormat="false" ht="15" hidden="false" customHeight="false" outlineLevel="0" collapsed="false">
      <c r="A577" s="4" t="s">
        <v>1999</v>
      </c>
      <c r="B577" s="8" t="s">
        <v>2000</v>
      </c>
      <c r="C577" s="8" t="s">
        <v>58</v>
      </c>
      <c r="D577" s="8"/>
      <c r="E577" s="8" t="s">
        <v>60</v>
      </c>
      <c r="F577" s="8"/>
      <c r="G577" s="8"/>
      <c r="H577" s="8"/>
      <c r="I577" s="8" t="s">
        <v>2001</v>
      </c>
      <c r="J577" s="8" t="s">
        <v>64</v>
      </c>
      <c r="K577" s="8" t="s">
        <v>1191</v>
      </c>
      <c r="L577" s="8" t="s">
        <v>1894</v>
      </c>
      <c r="M577" s="8"/>
      <c r="N577" s="8" t="s">
        <v>62</v>
      </c>
      <c r="O577" s="8" t="s">
        <v>63</v>
      </c>
      <c r="P577" s="4" t="n">
        <v>31</v>
      </c>
      <c r="Q577" s="8"/>
      <c r="R577" s="4" t="s">
        <v>2002</v>
      </c>
      <c r="S577" s="4"/>
    </row>
    <row r="578" customFormat="false" ht="15" hidden="false" customHeight="false" outlineLevel="0" collapsed="false">
      <c r="A578" s="4" t="s">
        <v>2003</v>
      </c>
      <c r="B578" s="8" t="s">
        <v>2004</v>
      </c>
      <c r="C578" s="8"/>
      <c r="D578" s="8"/>
      <c r="E578" s="8"/>
      <c r="F578" s="8"/>
      <c r="G578" s="8"/>
      <c r="H578" s="8"/>
      <c r="I578" s="8" t="s">
        <v>2005</v>
      </c>
      <c r="J578" s="8" t="s">
        <v>64</v>
      </c>
      <c r="K578" s="8" t="s">
        <v>1191</v>
      </c>
      <c r="L578" s="8" t="s">
        <v>1894</v>
      </c>
      <c r="M578" s="8"/>
      <c r="N578" s="8" t="s">
        <v>62</v>
      </c>
      <c r="O578" s="8" t="s">
        <v>63</v>
      </c>
      <c r="P578" s="4" t="n">
        <v>31</v>
      </c>
      <c r="Q578" s="8"/>
      <c r="R578" s="4" t="s">
        <v>2004</v>
      </c>
      <c r="S578" s="4"/>
    </row>
    <row r="579" customFormat="false" ht="15" hidden="false" customHeight="false" outlineLevel="0" collapsed="false">
      <c r="A579" s="4" t="s">
        <v>2006</v>
      </c>
      <c r="B579" s="8" t="s">
        <v>2007</v>
      </c>
      <c r="C579" s="8"/>
      <c r="D579" s="8"/>
      <c r="E579" s="8"/>
      <c r="F579" s="8"/>
      <c r="G579" s="8"/>
      <c r="H579" s="8"/>
      <c r="I579" s="8" t="s">
        <v>2008</v>
      </c>
      <c r="J579" s="8" t="s">
        <v>64</v>
      </c>
      <c r="K579" s="8" t="s">
        <v>1191</v>
      </c>
      <c r="L579" s="8" t="s">
        <v>1894</v>
      </c>
      <c r="M579" s="8"/>
      <c r="N579" s="8" t="s">
        <v>62</v>
      </c>
      <c r="O579" s="8" t="s">
        <v>63</v>
      </c>
      <c r="P579" s="4" t="n">
        <v>31</v>
      </c>
      <c r="Q579" s="8"/>
      <c r="R579" s="4" t="s">
        <v>2007</v>
      </c>
      <c r="S579" s="4"/>
    </row>
    <row r="580" customFormat="false" ht="15" hidden="false" customHeight="false" outlineLevel="0" collapsed="false">
      <c r="A580" s="4" t="s">
        <v>2009</v>
      </c>
      <c r="B580" s="8" t="s">
        <v>2010</v>
      </c>
      <c r="C580" s="8" t="s">
        <v>58</v>
      </c>
      <c r="D580" s="8"/>
      <c r="E580" s="8" t="s">
        <v>60</v>
      </c>
      <c r="F580" s="8"/>
      <c r="G580" s="8"/>
      <c r="H580" s="8"/>
      <c r="I580" s="8" t="s">
        <v>2011</v>
      </c>
      <c r="J580" s="8" t="s">
        <v>64</v>
      </c>
      <c r="K580" s="8" t="s">
        <v>1191</v>
      </c>
      <c r="L580" s="8" t="s">
        <v>1894</v>
      </c>
      <c r="M580" s="8"/>
      <c r="N580" s="8" t="s">
        <v>62</v>
      </c>
      <c r="O580" s="8" t="s">
        <v>63</v>
      </c>
      <c r="P580" s="4" t="n">
        <v>31</v>
      </c>
      <c r="Q580" s="8"/>
      <c r="R580" s="4" t="s">
        <v>2012</v>
      </c>
      <c r="S580" s="4" t="n">
        <v>2622</v>
      </c>
    </row>
    <row r="581" customFormat="false" ht="15" hidden="false" customHeight="false" outlineLevel="0" collapsed="false">
      <c r="A581" s="4" t="s">
        <v>2013</v>
      </c>
      <c r="B581" s="8" t="s">
        <v>2014</v>
      </c>
      <c r="C581" s="8"/>
      <c r="D581" s="8"/>
      <c r="E581" s="8"/>
      <c r="F581" s="8"/>
      <c r="G581" s="8"/>
      <c r="H581" s="8"/>
      <c r="I581" s="8" t="s">
        <v>2015</v>
      </c>
      <c r="J581" s="8" t="s">
        <v>64</v>
      </c>
      <c r="K581" s="8" t="s">
        <v>1191</v>
      </c>
      <c r="L581" s="8" t="s">
        <v>1894</v>
      </c>
      <c r="M581" s="8"/>
      <c r="N581" s="8" t="s">
        <v>62</v>
      </c>
      <c r="O581" s="8" t="s">
        <v>63</v>
      </c>
      <c r="P581" s="4" t="n">
        <v>31</v>
      </c>
      <c r="Q581" s="8"/>
      <c r="R581" s="4" t="s">
        <v>2014</v>
      </c>
      <c r="S581" s="4"/>
    </row>
    <row r="582" customFormat="false" ht="15" hidden="false" customHeight="false" outlineLevel="0" collapsed="false">
      <c r="A582" s="4" t="s">
        <v>2016</v>
      </c>
      <c r="B582" s="8" t="s">
        <v>2017</v>
      </c>
      <c r="C582" s="8" t="s">
        <v>58</v>
      </c>
      <c r="D582" s="8"/>
      <c r="E582" s="8" t="s">
        <v>60</v>
      </c>
      <c r="F582" s="8"/>
      <c r="G582" s="8"/>
      <c r="H582" s="8"/>
      <c r="I582" s="8" t="s">
        <v>2018</v>
      </c>
      <c r="J582" s="8" t="s">
        <v>64</v>
      </c>
      <c r="K582" s="8" t="s">
        <v>1191</v>
      </c>
      <c r="L582" s="8" t="s">
        <v>1894</v>
      </c>
      <c r="M582" s="8"/>
      <c r="N582" s="8" t="s">
        <v>62</v>
      </c>
      <c r="O582" s="8" t="s">
        <v>63</v>
      </c>
      <c r="P582" s="4" t="n">
        <v>31</v>
      </c>
      <c r="Q582" s="8"/>
      <c r="R582" s="4" t="s">
        <v>2019</v>
      </c>
      <c r="S582" s="4"/>
    </row>
    <row r="583" customFormat="false" ht="15" hidden="false" customHeight="false" outlineLevel="0" collapsed="false">
      <c r="A583" s="4" t="s">
        <v>2020</v>
      </c>
      <c r="B583" s="8" t="s">
        <v>2021</v>
      </c>
      <c r="C583" s="8" t="s">
        <v>58</v>
      </c>
      <c r="D583" s="8" t="s">
        <v>67</v>
      </c>
      <c r="E583" s="8" t="s">
        <v>60</v>
      </c>
      <c r="F583" s="8"/>
      <c r="G583" s="8"/>
      <c r="H583" s="8"/>
      <c r="I583" s="8" t="s">
        <v>2022</v>
      </c>
      <c r="J583" s="8" t="s">
        <v>64</v>
      </c>
      <c r="K583" s="8" t="s">
        <v>1191</v>
      </c>
      <c r="L583" s="8" t="s">
        <v>1894</v>
      </c>
      <c r="M583" s="8"/>
      <c r="N583" s="8" t="s">
        <v>62</v>
      </c>
      <c r="O583" s="8" t="s">
        <v>63</v>
      </c>
      <c r="P583" s="4" t="n">
        <v>31</v>
      </c>
      <c r="Q583" s="8"/>
      <c r="R583" s="4" t="s">
        <v>2023</v>
      </c>
      <c r="S583" s="4"/>
    </row>
    <row r="584" customFormat="false" ht="15" hidden="false" customHeight="false" outlineLevel="0" collapsed="false">
      <c r="A584" s="4" t="s">
        <v>2024</v>
      </c>
      <c r="B584" s="8" t="s">
        <v>2025</v>
      </c>
      <c r="C584" s="8"/>
      <c r="D584" s="8"/>
      <c r="E584" s="8"/>
      <c r="F584" s="8"/>
      <c r="G584" s="8"/>
      <c r="H584" s="8"/>
      <c r="I584" s="8" t="s">
        <v>2026</v>
      </c>
      <c r="J584" s="8" t="s">
        <v>64</v>
      </c>
      <c r="K584" s="8" t="s">
        <v>1191</v>
      </c>
      <c r="L584" s="8" t="s">
        <v>1894</v>
      </c>
      <c r="M584" s="8"/>
      <c r="N584" s="8" t="s">
        <v>62</v>
      </c>
      <c r="O584" s="8" t="s">
        <v>63</v>
      </c>
      <c r="P584" s="4" t="n">
        <v>31</v>
      </c>
      <c r="Q584" s="8"/>
      <c r="R584" s="4" t="s">
        <v>2025</v>
      </c>
      <c r="S584" s="4"/>
    </row>
    <row r="585" customFormat="false" ht="15" hidden="false" customHeight="false" outlineLevel="0" collapsed="false">
      <c r="A585" s="4" t="s">
        <v>2027</v>
      </c>
      <c r="B585" s="8" t="s">
        <v>616</v>
      </c>
      <c r="C585" s="8" t="s">
        <v>58</v>
      </c>
      <c r="D585" s="8"/>
      <c r="E585" s="8" t="s">
        <v>60</v>
      </c>
      <c r="F585" s="8"/>
      <c r="G585" s="8"/>
      <c r="H585" s="8"/>
      <c r="I585" s="8" t="s">
        <v>617</v>
      </c>
      <c r="J585" s="8" t="s">
        <v>64</v>
      </c>
      <c r="K585" s="8" t="s">
        <v>1191</v>
      </c>
      <c r="L585" s="8" t="s">
        <v>1894</v>
      </c>
      <c r="M585" s="8"/>
      <c r="N585" s="8" t="s">
        <v>62</v>
      </c>
      <c r="O585" s="8" t="s">
        <v>63</v>
      </c>
      <c r="P585" s="4" t="n">
        <v>31</v>
      </c>
      <c r="Q585" s="8"/>
      <c r="R585" s="4" t="s">
        <v>618</v>
      </c>
      <c r="S585" s="4"/>
    </row>
    <row r="586" customFormat="false" ht="15" hidden="false" customHeight="false" outlineLevel="0" collapsed="false">
      <c r="A586" s="4" t="s">
        <v>2028</v>
      </c>
      <c r="B586" s="8" t="s">
        <v>952</v>
      </c>
      <c r="C586" s="8"/>
      <c r="D586" s="8"/>
      <c r="E586" s="8"/>
      <c r="F586" s="8"/>
      <c r="G586" s="8"/>
      <c r="H586" s="8"/>
      <c r="I586" s="8" t="s">
        <v>2029</v>
      </c>
      <c r="J586" s="8" t="s">
        <v>64</v>
      </c>
      <c r="K586" s="8" t="s">
        <v>1191</v>
      </c>
      <c r="L586" s="8" t="s">
        <v>1894</v>
      </c>
      <c r="M586" s="8"/>
      <c r="N586" s="8" t="s">
        <v>62</v>
      </c>
      <c r="O586" s="8" t="s">
        <v>63</v>
      </c>
      <c r="P586" s="4" t="n">
        <v>31</v>
      </c>
      <c r="Q586" s="8"/>
      <c r="R586" s="4" t="s">
        <v>952</v>
      </c>
      <c r="S586" s="4" t="n">
        <v>694</v>
      </c>
    </row>
    <row r="587" customFormat="false" ht="15" hidden="false" customHeight="false" outlineLevel="0" collapsed="false">
      <c r="A587" s="4" t="s">
        <v>2030</v>
      </c>
      <c r="B587" s="8" t="s">
        <v>2031</v>
      </c>
      <c r="C587" s="8"/>
      <c r="D587" s="8"/>
      <c r="E587" s="8"/>
      <c r="F587" s="8"/>
      <c r="G587" s="8"/>
      <c r="H587" s="8"/>
      <c r="I587" s="8" t="s">
        <v>2032</v>
      </c>
      <c r="J587" s="8" t="s">
        <v>64</v>
      </c>
      <c r="K587" s="8" t="s">
        <v>1191</v>
      </c>
      <c r="L587" s="8" t="s">
        <v>1894</v>
      </c>
      <c r="M587" s="8"/>
      <c r="N587" s="8" t="s">
        <v>62</v>
      </c>
      <c r="O587" s="8" t="s">
        <v>63</v>
      </c>
      <c r="P587" s="4" t="n">
        <v>31</v>
      </c>
      <c r="Q587" s="8"/>
      <c r="R587" s="4" t="s">
        <v>2031</v>
      </c>
      <c r="S587" s="4"/>
    </row>
    <row r="588" customFormat="false" ht="15" hidden="false" customHeight="false" outlineLevel="0" collapsed="false">
      <c r="A588" s="4" t="s">
        <v>2033</v>
      </c>
      <c r="B588" s="8" t="s">
        <v>2034</v>
      </c>
      <c r="C588" s="8" t="s">
        <v>58</v>
      </c>
      <c r="D588" s="8"/>
      <c r="E588" s="8" t="s">
        <v>60</v>
      </c>
      <c r="F588" s="8"/>
      <c r="G588" s="8"/>
      <c r="H588" s="8"/>
      <c r="I588" s="8" t="s">
        <v>2035</v>
      </c>
      <c r="J588" s="8" t="s">
        <v>64</v>
      </c>
      <c r="K588" s="8" t="s">
        <v>1191</v>
      </c>
      <c r="L588" s="8" t="s">
        <v>1894</v>
      </c>
      <c r="M588" s="8"/>
      <c r="N588" s="8" t="s">
        <v>62</v>
      </c>
      <c r="O588" s="8" t="s">
        <v>63</v>
      </c>
      <c r="P588" s="4" t="n">
        <v>31</v>
      </c>
      <c r="Q588" s="8"/>
      <c r="R588" s="4" t="s">
        <v>2036</v>
      </c>
      <c r="S588" s="4" t="n">
        <v>11867</v>
      </c>
    </row>
    <row r="589" customFormat="false" ht="15" hidden="false" customHeight="false" outlineLevel="0" collapsed="false">
      <c r="A589" s="4" t="s">
        <v>2037</v>
      </c>
      <c r="B589" s="8" t="s">
        <v>2038</v>
      </c>
      <c r="C589" s="8" t="s">
        <v>58</v>
      </c>
      <c r="D589" s="8"/>
      <c r="E589" s="8" t="s">
        <v>60</v>
      </c>
      <c r="F589" s="8"/>
      <c r="G589" s="8"/>
      <c r="H589" s="8"/>
      <c r="I589" s="8" t="s">
        <v>2039</v>
      </c>
      <c r="J589" s="8" t="s">
        <v>64</v>
      </c>
      <c r="K589" s="8" t="s">
        <v>1191</v>
      </c>
      <c r="L589" s="8" t="s">
        <v>1894</v>
      </c>
      <c r="M589" s="8"/>
      <c r="N589" s="8" t="s">
        <v>62</v>
      </c>
      <c r="O589" s="8" t="s">
        <v>63</v>
      </c>
      <c r="P589" s="4" t="n">
        <v>31</v>
      </c>
      <c r="Q589" s="8"/>
      <c r="R589" s="4" t="s">
        <v>2040</v>
      </c>
      <c r="S589" s="4"/>
    </row>
    <row r="590" customFormat="false" ht="15" hidden="false" customHeight="false" outlineLevel="0" collapsed="false">
      <c r="A590" s="4" t="s">
        <v>2041</v>
      </c>
      <c r="B590" s="8" t="s">
        <v>2042</v>
      </c>
      <c r="C590" s="8" t="s">
        <v>58</v>
      </c>
      <c r="D590" s="8"/>
      <c r="E590" s="8" t="s">
        <v>60</v>
      </c>
      <c r="F590" s="8"/>
      <c r="G590" s="8"/>
      <c r="H590" s="8"/>
      <c r="I590" s="8" t="s">
        <v>2043</v>
      </c>
      <c r="J590" s="8" t="s">
        <v>64</v>
      </c>
      <c r="K590" s="8" t="s">
        <v>1191</v>
      </c>
      <c r="L590" s="8" t="s">
        <v>1894</v>
      </c>
      <c r="M590" s="8"/>
      <c r="N590" s="8" t="s">
        <v>62</v>
      </c>
      <c r="O590" s="8" t="s">
        <v>63</v>
      </c>
      <c r="P590" s="4" t="n">
        <v>31</v>
      </c>
      <c r="Q590" s="8"/>
      <c r="R590" s="4" t="s">
        <v>2044</v>
      </c>
      <c r="S590" s="4"/>
    </row>
    <row r="591" customFormat="false" ht="15" hidden="false" customHeight="false" outlineLevel="0" collapsed="false">
      <c r="A591" s="4" t="s">
        <v>2045</v>
      </c>
      <c r="B591" s="8" t="s">
        <v>2046</v>
      </c>
      <c r="C591" s="8"/>
      <c r="D591" s="8"/>
      <c r="E591" s="8"/>
      <c r="F591" s="8"/>
      <c r="G591" s="8"/>
      <c r="H591" s="8"/>
      <c r="I591" s="8" t="s">
        <v>2047</v>
      </c>
      <c r="J591" s="8" t="s">
        <v>64</v>
      </c>
      <c r="K591" s="8" t="s">
        <v>1191</v>
      </c>
      <c r="L591" s="8" t="s">
        <v>1894</v>
      </c>
      <c r="M591" s="8"/>
      <c r="N591" s="8" t="s">
        <v>62</v>
      </c>
      <c r="O591" s="8" t="s">
        <v>63</v>
      </c>
      <c r="P591" s="4" t="n">
        <v>31</v>
      </c>
      <c r="Q591" s="8"/>
      <c r="R591" s="4" t="s">
        <v>2046</v>
      </c>
      <c r="S591" s="4"/>
    </row>
    <row r="592" customFormat="false" ht="15" hidden="false" customHeight="false" outlineLevel="0" collapsed="false">
      <c r="A592" s="4" t="s">
        <v>2048</v>
      </c>
      <c r="B592" s="8" t="s">
        <v>2049</v>
      </c>
      <c r="C592" s="8" t="s">
        <v>58</v>
      </c>
      <c r="D592" s="8"/>
      <c r="E592" s="8" t="s">
        <v>60</v>
      </c>
      <c r="F592" s="8"/>
      <c r="G592" s="8"/>
      <c r="H592" s="8"/>
      <c r="I592" s="8" t="s">
        <v>2050</v>
      </c>
      <c r="J592" s="8" t="s">
        <v>64</v>
      </c>
      <c r="K592" s="8" t="s">
        <v>1191</v>
      </c>
      <c r="L592" s="8" t="s">
        <v>1894</v>
      </c>
      <c r="M592" s="8"/>
      <c r="N592" s="8" t="s">
        <v>62</v>
      </c>
      <c r="O592" s="8" t="s">
        <v>63</v>
      </c>
      <c r="P592" s="4" t="n">
        <v>31</v>
      </c>
      <c r="Q592" s="8"/>
      <c r="R592" s="4" t="s">
        <v>2051</v>
      </c>
      <c r="S592" s="4" t="n">
        <v>1261</v>
      </c>
    </row>
    <row r="593" customFormat="false" ht="15" hidden="false" customHeight="false" outlineLevel="0" collapsed="false">
      <c r="A593" s="4" t="s">
        <v>2052</v>
      </c>
      <c r="B593" s="8" t="s">
        <v>2053</v>
      </c>
      <c r="C593" s="8" t="s">
        <v>58</v>
      </c>
      <c r="D593" s="8"/>
      <c r="E593" s="8" t="s">
        <v>60</v>
      </c>
      <c r="F593" s="8"/>
      <c r="G593" s="8"/>
      <c r="H593" s="8"/>
      <c r="I593" s="8" t="s">
        <v>2054</v>
      </c>
      <c r="J593" s="8" t="s">
        <v>64</v>
      </c>
      <c r="K593" s="8" t="s">
        <v>1191</v>
      </c>
      <c r="L593" s="8" t="s">
        <v>1894</v>
      </c>
      <c r="M593" s="8"/>
      <c r="N593" s="8" t="s">
        <v>62</v>
      </c>
      <c r="O593" s="8" t="s">
        <v>63</v>
      </c>
      <c r="P593" s="4" t="n">
        <v>31</v>
      </c>
      <c r="Q593" s="8"/>
      <c r="R593" s="4" t="s">
        <v>2055</v>
      </c>
      <c r="S593" s="4"/>
    </row>
    <row r="594" customFormat="false" ht="15" hidden="false" customHeight="false" outlineLevel="0" collapsed="false">
      <c r="A594" s="4" t="s">
        <v>2056</v>
      </c>
      <c r="B594" s="8" t="s">
        <v>2057</v>
      </c>
      <c r="C594" s="8" t="s">
        <v>58</v>
      </c>
      <c r="D594" s="8"/>
      <c r="E594" s="8" t="s">
        <v>60</v>
      </c>
      <c r="F594" s="8"/>
      <c r="G594" s="8"/>
      <c r="H594" s="8"/>
      <c r="I594" s="8" t="s">
        <v>2058</v>
      </c>
      <c r="J594" s="8" t="s">
        <v>64</v>
      </c>
      <c r="K594" s="8" t="s">
        <v>1191</v>
      </c>
      <c r="L594" s="8" t="s">
        <v>1894</v>
      </c>
      <c r="M594" s="8"/>
      <c r="N594" s="8" t="s">
        <v>62</v>
      </c>
      <c r="O594" s="8" t="s">
        <v>63</v>
      </c>
      <c r="P594" s="4" t="n">
        <v>31</v>
      </c>
      <c r="Q594" s="8"/>
      <c r="R594" s="4" t="s">
        <v>2059</v>
      </c>
      <c r="S594" s="4"/>
    </row>
    <row r="595" customFormat="false" ht="15" hidden="false" customHeight="false" outlineLevel="0" collapsed="false">
      <c r="A595" s="4" t="s">
        <v>2060</v>
      </c>
      <c r="B595" s="8" t="s">
        <v>2061</v>
      </c>
      <c r="C595" s="8" t="s">
        <v>58</v>
      </c>
      <c r="D595" s="8"/>
      <c r="E595" s="8" t="s">
        <v>60</v>
      </c>
      <c r="F595" s="8"/>
      <c r="G595" s="8"/>
      <c r="H595" s="8"/>
      <c r="I595" s="8" t="s">
        <v>2062</v>
      </c>
      <c r="J595" s="8" t="s">
        <v>64</v>
      </c>
      <c r="K595" s="8" t="s">
        <v>1191</v>
      </c>
      <c r="L595" s="8" t="s">
        <v>1894</v>
      </c>
      <c r="M595" s="8"/>
      <c r="N595" s="8" t="s">
        <v>62</v>
      </c>
      <c r="O595" s="8" t="s">
        <v>63</v>
      </c>
      <c r="P595" s="4" t="n">
        <v>31</v>
      </c>
      <c r="Q595" s="8"/>
      <c r="R595" s="4" t="s">
        <v>2063</v>
      </c>
      <c r="S595" s="4"/>
    </row>
    <row r="596" customFormat="false" ht="15" hidden="false" customHeight="false" outlineLevel="0" collapsed="false">
      <c r="A596" s="4" t="s">
        <v>2064</v>
      </c>
      <c r="B596" s="8" t="s">
        <v>2065</v>
      </c>
      <c r="C596" s="8" t="s">
        <v>58</v>
      </c>
      <c r="D596" s="8" t="s">
        <v>67</v>
      </c>
      <c r="E596" s="8" t="s">
        <v>60</v>
      </c>
      <c r="F596" s="8"/>
      <c r="G596" s="8"/>
      <c r="H596" s="8"/>
      <c r="I596" s="8" t="s">
        <v>2066</v>
      </c>
      <c r="J596" s="8" t="s">
        <v>64</v>
      </c>
      <c r="K596" s="8" t="s">
        <v>1191</v>
      </c>
      <c r="L596" s="8" t="s">
        <v>1894</v>
      </c>
      <c r="M596" s="8"/>
      <c r="N596" s="8" t="s">
        <v>62</v>
      </c>
      <c r="O596" s="8" t="s">
        <v>63</v>
      </c>
      <c r="P596" s="4" t="n">
        <v>31</v>
      </c>
      <c r="Q596" s="8"/>
      <c r="R596" s="4" t="s">
        <v>2067</v>
      </c>
      <c r="S596" s="4"/>
    </row>
    <row r="597" customFormat="false" ht="15" hidden="false" customHeight="false" outlineLevel="0" collapsed="false">
      <c r="A597" s="4" t="s">
        <v>2068</v>
      </c>
      <c r="B597" s="8" t="s">
        <v>2069</v>
      </c>
      <c r="C597" s="8"/>
      <c r="D597" s="8"/>
      <c r="E597" s="8"/>
      <c r="F597" s="8"/>
      <c r="G597" s="8"/>
      <c r="H597" s="8"/>
      <c r="I597" s="8" t="s">
        <v>2070</v>
      </c>
      <c r="J597" s="8" t="s">
        <v>64</v>
      </c>
      <c r="K597" s="8" t="s">
        <v>1191</v>
      </c>
      <c r="L597" s="8" t="s">
        <v>1894</v>
      </c>
      <c r="M597" s="8"/>
      <c r="N597" s="8" t="s">
        <v>62</v>
      </c>
      <c r="O597" s="8" t="s">
        <v>63</v>
      </c>
      <c r="P597" s="4" t="n">
        <v>31</v>
      </c>
      <c r="Q597" s="8"/>
      <c r="R597" s="4" t="s">
        <v>2069</v>
      </c>
      <c r="S597" s="4"/>
    </row>
    <row r="598" customFormat="false" ht="15" hidden="false" customHeight="false" outlineLevel="0" collapsed="false">
      <c r="A598" s="4" t="s">
        <v>2071</v>
      </c>
      <c r="B598" s="8" t="s">
        <v>2072</v>
      </c>
      <c r="C598" s="8"/>
      <c r="D598" s="8"/>
      <c r="E598" s="8"/>
      <c r="F598" s="8"/>
      <c r="G598" s="8"/>
      <c r="H598" s="8"/>
      <c r="I598" s="8" t="s">
        <v>2073</v>
      </c>
      <c r="J598" s="8" t="s">
        <v>64</v>
      </c>
      <c r="K598" s="8" t="s">
        <v>1191</v>
      </c>
      <c r="L598" s="8" t="s">
        <v>1894</v>
      </c>
      <c r="M598" s="8"/>
      <c r="N598" s="8" t="s">
        <v>62</v>
      </c>
      <c r="O598" s="8" t="s">
        <v>63</v>
      </c>
      <c r="P598" s="4" t="n">
        <v>31</v>
      </c>
      <c r="Q598" s="8"/>
      <c r="R598" s="4" t="s">
        <v>2072</v>
      </c>
      <c r="S598" s="4" t="n">
        <v>16934</v>
      </c>
    </row>
    <row r="599" customFormat="false" ht="15" hidden="false" customHeight="false" outlineLevel="0" collapsed="false">
      <c r="A599" s="4" t="s">
        <v>2074</v>
      </c>
      <c r="B599" s="8" t="s">
        <v>2075</v>
      </c>
      <c r="C599" s="8" t="s">
        <v>58</v>
      </c>
      <c r="D599" s="8"/>
      <c r="E599" s="8" t="s">
        <v>60</v>
      </c>
      <c r="F599" s="8"/>
      <c r="G599" s="8"/>
      <c r="H599" s="8"/>
      <c r="I599" s="8" t="s">
        <v>2076</v>
      </c>
      <c r="J599" s="8" t="s">
        <v>64</v>
      </c>
      <c r="K599" s="8" t="s">
        <v>1191</v>
      </c>
      <c r="L599" s="8" t="s">
        <v>1894</v>
      </c>
      <c r="M599" s="8"/>
      <c r="N599" s="8" t="s">
        <v>62</v>
      </c>
      <c r="O599" s="8" t="s">
        <v>63</v>
      </c>
      <c r="P599" s="4" t="n">
        <v>31</v>
      </c>
      <c r="Q599" s="8"/>
      <c r="R599" s="4" t="s">
        <v>2077</v>
      </c>
      <c r="S599" s="4"/>
    </row>
    <row r="600" customFormat="false" ht="15" hidden="false" customHeight="false" outlineLevel="0" collapsed="false">
      <c r="A600" s="4" t="s">
        <v>2078</v>
      </c>
      <c r="B600" s="8" t="s">
        <v>2079</v>
      </c>
      <c r="C600" s="8" t="s">
        <v>58</v>
      </c>
      <c r="D600" s="8"/>
      <c r="E600" s="8" t="s">
        <v>60</v>
      </c>
      <c r="F600" s="8"/>
      <c r="G600" s="8"/>
      <c r="H600" s="8"/>
      <c r="I600" s="8" t="s">
        <v>2080</v>
      </c>
      <c r="J600" s="8" t="s">
        <v>64</v>
      </c>
      <c r="K600" s="8" t="s">
        <v>1191</v>
      </c>
      <c r="L600" s="8" t="s">
        <v>1894</v>
      </c>
      <c r="M600" s="8"/>
      <c r="N600" s="8" t="s">
        <v>62</v>
      </c>
      <c r="O600" s="8" t="s">
        <v>63</v>
      </c>
      <c r="P600" s="4" t="n">
        <v>31</v>
      </c>
      <c r="Q600" s="8"/>
      <c r="R600" s="4" t="s">
        <v>2081</v>
      </c>
      <c r="S600" s="4"/>
    </row>
    <row r="601" customFormat="false" ht="15" hidden="false" customHeight="false" outlineLevel="0" collapsed="false">
      <c r="A601" s="4" t="s">
        <v>2082</v>
      </c>
      <c r="B601" s="8" t="s">
        <v>2083</v>
      </c>
      <c r="C601" s="8"/>
      <c r="D601" s="8"/>
      <c r="E601" s="8" t="s">
        <v>68</v>
      </c>
      <c r="F601" s="8" t="s">
        <v>2084</v>
      </c>
      <c r="G601" s="8" t="s">
        <v>2085</v>
      </c>
      <c r="H601" s="8"/>
      <c r="I601" s="8" t="s">
        <v>2086</v>
      </c>
      <c r="J601" s="8" t="s">
        <v>64</v>
      </c>
      <c r="K601" s="8" t="s">
        <v>1191</v>
      </c>
      <c r="L601" s="8" t="s">
        <v>688</v>
      </c>
      <c r="M601" s="8"/>
      <c r="N601" s="8" t="s">
        <v>62</v>
      </c>
      <c r="O601" s="8" t="s">
        <v>63</v>
      </c>
      <c r="P601" s="4" t="n">
        <v>31</v>
      </c>
      <c r="Q601" s="8"/>
      <c r="R601" s="4" t="s">
        <v>2083</v>
      </c>
      <c r="S601" s="4"/>
    </row>
    <row r="602" customFormat="false" ht="15" hidden="false" customHeight="false" outlineLevel="0" collapsed="false">
      <c r="A602" s="4" t="s">
        <v>2087</v>
      </c>
      <c r="B602" s="8" t="s">
        <v>2088</v>
      </c>
      <c r="C602" s="8"/>
      <c r="D602" s="8"/>
      <c r="E602" s="8" t="s">
        <v>68</v>
      </c>
      <c r="F602" s="8" t="s">
        <v>2089</v>
      </c>
      <c r="G602" s="8" t="s">
        <v>2090</v>
      </c>
      <c r="H602" s="8"/>
      <c r="I602" s="8" t="s">
        <v>2091</v>
      </c>
      <c r="J602" s="8" t="s">
        <v>64</v>
      </c>
      <c r="K602" s="8" t="s">
        <v>1191</v>
      </c>
      <c r="L602" s="8" t="s">
        <v>688</v>
      </c>
      <c r="M602" s="8"/>
      <c r="N602" s="8" t="s">
        <v>62</v>
      </c>
      <c r="O602" s="8" t="s">
        <v>63</v>
      </c>
      <c r="P602" s="4" t="n">
        <v>31</v>
      </c>
      <c r="Q602" s="8"/>
      <c r="R602" s="4" t="s">
        <v>2088</v>
      </c>
      <c r="S602" s="4" t="n">
        <v>1465</v>
      </c>
    </row>
    <row r="603" customFormat="false" ht="15" hidden="false" customHeight="false" outlineLevel="0" collapsed="false">
      <c r="A603" s="4" t="s">
        <v>2092</v>
      </c>
      <c r="B603" s="8" t="s">
        <v>2093</v>
      </c>
      <c r="C603" s="8"/>
      <c r="D603" s="8"/>
      <c r="E603" s="8" t="s">
        <v>68</v>
      </c>
      <c r="F603" s="8" t="s">
        <v>2094</v>
      </c>
      <c r="G603" s="8" t="s">
        <v>2095</v>
      </c>
      <c r="H603" s="8"/>
      <c r="I603" s="8" t="s">
        <v>2096</v>
      </c>
      <c r="J603" s="8" t="s">
        <v>64</v>
      </c>
      <c r="K603" s="8" t="s">
        <v>1191</v>
      </c>
      <c r="L603" s="8" t="s">
        <v>688</v>
      </c>
      <c r="M603" s="8"/>
      <c r="N603" s="8" t="s">
        <v>62</v>
      </c>
      <c r="O603" s="8" t="s">
        <v>63</v>
      </c>
      <c r="P603" s="4" t="n">
        <v>31</v>
      </c>
      <c r="Q603" s="8"/>
      <c r="R603" s="4" t="s">
        <v>2093</v>
      </c>
      <c r="S603" s="4"/>
    </row>
    <row r="604" customFormat="false" ht="15" hidden="false" customHeight="false" outlineLevel="0" collapsed="false">
      <c r="A604" s="4" t="s">
        <v>2097</v>
      </c>
      <c r="B604" s="8" t="s">
        <v>2098</v>
      </c>
      <c r="C604" s="8"/>
      <c r="D604" s="8"/>
      <c r="E604" s="8" t="s">
        <v>68</v>
      </c>
      <c r="F604" s="8" t="s">
        <v>2099</v>
      </c>
      <c r="G604" s="8" t="s">
        <v>2100</v>
      </c>
      <c r="H604" s="8"/>
      <c r="I604" s="8" t="s">
        <v>2101</v>
      </c>
      <c r="J604" s="8" t="s">
        <v>64</v>
      </c>
      <c r="K604" s="8" t="s">
        <v>1191</v>
      </c>
      <c r="L604" s="8" t="s">
        <v>688</v>
      </c>
      <c r="M604" s="8"/>
      <c r="N604" s="8" t="s">
        <v>62</v>
      </c>
      <c r="O604" s="8" t="s">
        <v>63</v>
      </c>
      <c r="P604" s="4" t="n">
        <v>31</v>
      </c>
      <c r="Q604" s="8"/>
      <c r="R604" s="4" t="s">
        <v>2098</v>
      </c>
      <c r="S604" s="4"/>
    </row>
    <row r="605" customFormat="false" ht="26.85" hidden="false" customHeight="false" outlineLevel="0" collapsed="false">
      <c r="A605" s="4" t="s">
        <v>2102</v>
      </c>
      <c r="B605" s="8" t="s">
        <v>2103</v>
      </c>
      <c r="C605" s="8"/>
      <c r="D605" s="8"/>
      <c r="E605" s="8"/>
      <c r="F605" s="8"/>
      <c r="G605" s="8"/>
      <c r="H605" s="8"/>
      <c r="I605" s="8" t="s">
        <v>2104</v>
      </c>
      <c r="J605" s="8" t="s">
        <v>64</v>
      </c>
      <c r="K605" s="8" t="s">
        <v>1191</v>
      </c>
      <c r="L605" s="8" t="s">
        <v>688</v>
      </c>
      <c r="M605" s="8"/>
      <c r="N605" s="8" t="s">
        <v>62</v>
      </c>
      <c r="O605" s="8" t="s">
        <v>63</v>
      </c>
      <c r="P605" s="4" t="n">
        <v>31</v>
      </c>
      <c r="Q605" s="8"/>
      <c r="R605" s="4" t="s">
        <v>2103</v>
      </c>
      <c r="S605" s="4"/>
    </row>
    <row r="606" customFormat="false" ht="15" hidden="false" customHeight="false" outlineLevel="0" collapsed="false">
      <c r="A606" s="4" t="s">
        <v>2105</v>
      </c>
      <c r="B606" s="8" t="s">
        <v>2106</v>
      </c>
      <c r="C606" s="8"/>
      <c r="D606" s="8"/>
      <c r="E606" s="8" t="s">
        <v>68</v>
      </c>
      <c r="F606" s="8" t="s">
        <v>2107</v>
      </c>
      <c r="G606" s="8" t="s">
        <v>2108</v>
      </c>
      <c r="H606" s="8"/>
      <c r="I606" s="8" t="s">
        <v>2109</v>
      </c>
      <c r="J606" s="8" t="s">
        <v>64</v>
      </c>
      <c r="K606" s="8" t="s">
        <v>1191</v>
      </c>
      <c r="L606" s="8" t="s">
        <v>688</v>
      </c>
      <c r="M606" s="8"/>
      <c r="N606" s="8" t="s">
        <v>62</v>
      </c>
      <c r="O606" s="8" t="s">
        <v>63</v>
      </c>
      <c r="P606" s="4" t="n">
        <v>32</v>
      </c>
      <c r="Q606" s="8"/>
      <c r="R606" s="4" t="s">
        <v>2106</v>
      </c>
      <c r="S606" s="4"/>
    </row>
    <row r="607" customFormat="false" ht="15" hidden="false" customHeight="false" outlineLevel="0" collapsed="false">
      <c r="A607" s="4" t="s">
        <v>2110</v>
      </c>
      <c r="B607" s="8" t="s">
        <v>2111</v>
      </c>
      <c r="C607" s="8"/>
      <c r="D607" s="8"/>
      <c r="E607" s="8" t="s">
        <v>68</v>
      </c>
      <c r="F607" s="8" t="s">
        <v>2112</v>
      </c>
      <c r="G607" s="8" t="s">
        <v>2113</v>
      </c>
      <c r="H607" s="8"/>
      <c r="I607" s="8" t="s">
        <v>2114</v>
      </c>
      <c r="J607" s="8" t="s">
        <v>64</v>
      </c>
      <c r="K607" s="8" t="s">
        <v>1191</v>
      </c>
      <c r="L607" s="8" t="s">
        <v>688</v>
      </c>
      <c r="M607" s="8"/>
      <c r="N607" s="8" t="s">
        <v>62</v>
      </c>
      <c r="O607" s="8" t="s">
        <v>63</v>
      </c>
      <c r="P607" s="4" t="n">
        <v>32</v>
      </c>
      <c r="Q607" s="8"/>
      <c r="R607" s="4" t="s">
        <v>2111</v>
      </c>
      <c r="S607" s="4"/>
    </row>
    <row r="608" customFormat="false" ht="15" hidden="false" customHeight="false" outlineLevel="0" collapsed="false">
      <c r="A608" s="4" t="s">
        <v>2115</v>
      </c>
      <c r="B608" s="8" t="s">
        <v>1332</v>
      </c>
      <c r="C608" s="8"/>
      <c r="D608" s="8"/>
      <c r="E608" s="8" t="s">
        <v>68</v>
      </c>
      <c r="F608" s="8" t="s">
        <v>702</v>
      </c>
      <c r="G608" s="8" t="s">
        <v>703</v>
      </c>
      <c r="H608" s="8"/>
      <c r="I608" s="8" t="s">
        <v>2116</v>
      </c>
      <c r="J608" s="8" t="s">
        <v>64</v>
      </c>
      <c r="K608" s="8" t="s">
        <v>1191</v>
      </c>
      <c r="L608" s="8" t="s">
        <v>688</v>
      </c>
      <c r="M608" s="8"/>
      <c r="N608" s="8" t="s">
        <v>62</v>
      </c>
      <c r="O608" s="8" t="s">
        <v>63</v>
      </c>
      <c r="P608" s="4" t="n">
        <v>32</v>
      </c>
      <c r="Q608" s="8"/>
      <c r="R608" s="4" t="s">
        <v>1332</v>
      </c>
      <c r="S608" s="4" t="n">
        <v>1165</v>
      </c>
    </row>
    <row r="609" customFormat="false" ht="15" hidden="false" customHeight="false" outlineLevel="0" collapsed="false">
      <c r="A609" s="4" t="s">
        <v>2117</v>
      </c>
      <c r="B609" s="8" t="s">
        <v>701</v>
      </c>
      <c r="C609" s="8"/>
      <c r="D609" s="8"/>
      <c r="E609" s="8" t="s">
        <v>68</v>
      </c>
      <c r="F609" s="8" t="s">
        <v>702</v>
      </c>
      <c r="G609" s="8" t="s">
        <v>703</v>
      </c>
      <c r="H609" s="8" t="s">
        <v>704</v>
      </c>
      <c r="I609" s="8" t="s">
        <v>705</v>
      </c>
      <c r="J609" s="8" t="s">
        <v>64</v>
      </c>
      <c r="K609" s="8" t="s">
        <v>1191</v>
      </c>
      <c r="L609" s="8" t="s">
        <v>688</v>
      </c>
      <c r="M609" s="8"/>
      <c r="N609" s="8" t="s">
        <v>62</v>
      </c>
      <c r="O609" s="8" t="s">
        <v>63</v>
      </c>
      <c r="P609" s="4" t="n">
        <v>32</v>
      </c>
      <c r="Q609" s="8"/>
      <c r="R609" s="4" t="s">
        <v>701</v>
      </c>
      <c r="S609" s="4" t="n">
        <v>1165</v>
      </c>
    </row>
    <row r="610" customFormat="false" ht="15" hidden="false" customHeight="false" outlineLevel="0" collapsed="false">
      <c r="A610" s="4" t="s">
        <v>2118</v>
      </c>
      <c r="B610" s="8" t="s">
        <v>2119</v>
      </c>
      <c r="C610" s="8"/>
      <c r="D610" s="8"/>
      <c r="E610" s="8" t="s">
        <v>68</v>
      </c>
      <c r="F610" s="8" t="s">
        <v>2120</v>
      </c>
      <c r="G610" s="8" t="s">
        <v>2121</v>
      </c>
      <c r="H610" s="8"/>
      <c r="I610" s="8" t="s">
        <v>2122</v>
      </c>
      <c r="J610" s="8" t="s">
        <v>64</v>
      </c>
      <c r="K610" s="8" t="s">
        <v>1191</v>
      </c>
      <c r="L610" s="8" t="s">
        <v>688</v>
      </c>
      <c r="M610" s="8"/>
      <c r="N610" s="8" t="s">
        <v>62</v>
      </c>
      <c r="O610" s="8" t="s">
        <v>63</v>
      </c>
      <c r="P610" s="4" t="n">
        <v>32</v>
      </c>
      <c r="Q610" s="8"/>
      <c r="R610" s="4" t="s">
        <v>2119</v>
      </c>
      <c r="S610" s="4" t="n">
        <v>1611</v>
      </c>
    </row>
    <row r="611" customFormat="false" ht="26.85" hidden="false" customHeight="false" outlineLevel="0" collapsed="false">
      <c r="A611" s="4" t="s">
        <v>2123</v>
      </c>
      <c r="B611" s="8" t="s">
        <v>707</v>
      </c>
      <c r="C611" s="8"/>
      <c r="D611" s="8"/>
      <c r="E611" s="8" t="s">
        <v>68</v>
      </c>
      <c r="F611" s="8" t="s">
        <v>708</v>
      </c>
      <c r="G611" s="8" t="s">
        <v>709</v>
      </c>
      <c r="H611" s="8"/>
      <c r="I611" s="8" t="s">
        <v>2124</v>
      </c>
      <c r="J611" s="8" t="s">
        <v>64</v>
      </c>
      <c r="K611" s="8" t="s">
        <v>1191</v>
      </c>
      <c r="L611" s="8" t="s">
        <v>688</v>
      </c>
      <c r="M611" s="8"/>
      <c r="N611" s="8" t="s">
        <v>62</v>
      </c>
      <c r="O611" s="8" t="s">
        <v>63</v>
      </c>
      <c r="P611" s="4" t="n">
        <v>32</v>
      </c>
      <c r="Q611" s="8"/>
      <c r="R611" s="4" t="s">
        <v>707</v>
      </c>
      <c r="S611" s="4" t="n">
        <v>1274</v>
      </c>
    </row>
    <row r="612" customFormat="false" ht="15" hidden="false" customHeight="false" outlineLevel="0" collapsed="false">
      <c r="A612" s="4" t="s">
        <v>2125</v>
      </c>
      <c r="B612" s="8" t="s">
        <v>2126</v>
      </c>
      <c r="C612" s="8"/>
      <c r="D612" s="8"/>
      <c r="E612" s="8" t="s">
        <v>68</v>
      </c>
      <c r="F612" s="8" t="s">
        <v>1363</v>
      </c>
      <c r="G612" s="8" t="s">
        <v>2127</v>
      </c>
      <c r="H612" s="8"/>
      <c r="I612" s="8" t="s">
        <v>2128</v>
      </c>
      <c r="J612" s="8" t="s">
        <v>64</v>
      </c>
      <c r="K612" s="8" t="s">
        <v>1191</v>
      </c>
      <c r="L612" s="8" t="s">
        <v>688</v>
      </c>
      <c r="M612" s="8"/>
      <c r="N612" s="8" t="s">
        <v>62</v>
      </c>
      <c r="O612" s="8" t="s">
        <v>63</v>
      </c>
      <c r="P612" s="4" t="n">
        <v>32</v>
      </c>
      <c r="Q612" s="8"/>
      <c r="R612" s="4" t="s">
        <v>2126</v>
      </c>
      <c r="S612" s="4"/>
    </row>
    <row r="613" customFormat="false" ht="15" hidden="false" customHeight="false" outlineLevel="0" collapsed="false">
      <c r="A613" s="4" t="s">
        <v>2129</v>
      </c>
      <c r="B613" s="8" t="s">
        <v>1023</v>
      </c>
      <c r="C613" s="8"/>
      <c r="D613" s="8"/>
      <c r="E613" s="8" t="s">
        <v>68</v>
      </c>
      <c r="F613" s="8" t="s">
        <v>1024</v>
      </c>
      <c r="G613" s="8" t="s">
        <v>1025</v>
      </c>
      <c r="H613" s="8"/>
      <c r="I613" s="8" t="s">
        <v>2130</v>
      </c>
      <c r="J613" s="8" t="s">
        <v>64</v>
      </c>
      <c r="K613" s="8" t="s">
        <v>1191</v>
      </c>
      <c r="L613" s="8" t="s">
        <v>688</v>
      </c>
      <c r="M613" s="8"/>
      <c r="N613" s="8" t="s">
        <v>62</v>
      </c>
      <c r="O613" s="8" t="s">
        <v>63</v>
      </c>
      <c r="P613" s="4" t="n">
        <v>32</v>
      </c>
      <c r="Q613" s="8"/>
      <c r="R613" s="4" t="s">
        <v>1023</v>
      </c>
      <c r="S613" s="4"/>
    </row>
    <row r="614" customFormat="false" ht="15" hidden="false" customHeight="false" outlineLevel="0" collapsed="false">
      <c r="A614" s="4" t="s">
        <v>2131</v>
      </c>
      <c r="B614" s="8" t="s">
        <v>2132</v>
      </c>
      <c r="C614" s="8"/>
      <c r="D614" s="8"/>
      <c r="E614" s="8" t="s">
        <v>68</v>
      </c>
      <c r="F614" s="8" t="s">
        <v>2133</v>
      </c>
      <c r="G614" s="8" t="s">
        <v>2134</v>
      </c>
      <c r="H614" s="8"/>
      <c r="I614" s="8" t="s">
        <v>2135</v>
      </c>
      <c r="J614" s="8" t="s">
        <v>64</v>
      </c>
      <c r="K614" s="8" t="s">
        <v>1191</v>
      </c>
      <c r="L614" s="8" t="s">
        <v>688</v>
      </c>
      <c r="M614" s="8"/>
      <c r="N614" s="8" t="s">
        <v>62</v>
      </c>
      <c r="O614" s="8" t="s">
        <v>63</v>
      </c>
      <c r="P614" s="4" t="n">
        <v>32</v>
      </c>
      <c r="Q614" s="8"/>
      <c r="R614" s="4" t="s">
        <v>2132</v>
      </c>
      <c r="S614" s="4"/>
    </row>
    <row r="615" customFormat="false" ht="15" hidden="false" customHeight="false" outlineLevel="0" collapsed="false">
      <c r="A615" s="4" t="s">
        <v>2136</v>
      </c>
      <c r="B615" s="8" t="s">
        <v>2137</v>
      </c>
      <c r="C615" s="8"/>
      <c r="D615" s="8"/>
      <c r="E615" s="8" t="s">
        <v>68</v>
      </c>
      <c r="F615" s="8" t="s">
        <v>2138</v>
      </c>
      <c r="G615" s="8" t="s">
        <v>2139</v>
      </c>
      <c r="H615" s="8"/>
      <c r="I615" s="8" t="s">
        <v>2140</v>
      </c>
      <c r="J615" s="8" t="s">
        <v>64</v>
      </c>
      <c r="K615" s="8" t="s">
        <v>1191</v>
      </c>
      <c r="L615" s="8" t="s">
        <v>688</v>
      </c>
      <c r="M615" s="8"/>
      <c r="N615" s="8" t="s">
        <v>62</v>
      </c>
      <c r="O615" s="8" t="s">
        <v>63</v>
      </c>
      <c r="P615" s="4" t="n">
        <v>32</v>
      </c>
      <c r="Q615" s="8"/>
      <c r="R615" s="4" t="s">
        <v>2137</v>
      </c>
      <c r="S615" s="4"/>
    </row>
    <row r="616" customFormat="false" ht="15" hidden="false" customHeight="false" outlineLevel="0" collapsed="false">
      <c r="A616" s="4" t="s">
        <v>2141</v>
      </c>
      <c r="B616" s="8" t="s">
        <v>2142</v>
      </c>
      <c r="C616" s="8"/>
      <c r="D616" s="8"/>
      <c r="E616" s="8" t="s">
        <v>68</v>
      </c>
      <c r="F616" s="8" t="s">
        <v>2143</v>
      </c>
      <c r="G616" s="8" t="s">
        <v>2144</v>
      </c>
      <c r="H616" s="8"/>
      <c r="I616" s="8" t="s">
        <v>2140</v>
      </c>
      <c r="J616" s="8" t="s">
        <v>64</v>
      </c>
      <c r="K616" s="8" t="s">
        <v>1191</v>
      </c>
      <c r="L616" s="8" t="s">
        <v>688</v>
      </c>
      <c r="M616" s="8"/>
      <c r="N616" s="8" t="s">
        <v>62</v>
      </c>
      <c r="O616" s="8" t="s">
        <v>63</v>
      </c>
      <c r="P616" s="4" t="n">
        <v>32</v>
      </c>
      <c r="Q616" s="8"/>
      <c r="R616" s="4" t="s">
        <v>2142</v>
      </c>
      <c r="S616" s="4"/>
    </row>
    <row r="617" customFormat="false" ht="15" hidden="false" customHeight="false" outlineLevel="0" collapsed="false">
      <c r="A617" s="4" t="s">
        <v>2145</v>
      </c>
      <c r="B617" s="8" t="s">
        <v>2146</v>
      </c>
      <c r="C617" s="8"/>
      <c r="D617" s="8"/>
      <c r="E617" s="8" t="s">
        <v>68</v>
      </c>
      <c r="F617" s="8" t="s">
        <v>2147</v>
      </c>
      <c r="G617" s="8" t="s">
        <v>2148</v>
      </c>
      <c r="H617" s="8"/>
      <c r="I617" s="8" t="s">
        <v>2149</v>
      </c>
      <c r="J617" s="8" t="s">
        <v>64</v>
      </c>
      <c r="K617" s="8" t="s">
        <v>1191</v>
      </c>
      <c r="L617" s="8" t="s">
        <v>688</v>
      </c>
      <c r="M617" s="8"/>
      <c r="N617" s="8" t="s">
        <v>62</v>
      </c>
      <c r="O617" s="8" t="s">
        <v>63</v>
      </c>
      <c r="P617" s="4" t="n">
        <v>32</v>
      </c>
      <c r="Q617" s="8"/>
      <c r="R617" s="4" t="s">
        <v>2146</v>
      </c>
      <c r="S617" s="4"/>
    </row>
    <row r="618" customFormat="false" ht="15" hidden="false" customHeight="false" outlineLevel="0" collapsed="false">
      <c r="A618" s="4" t="s">
        <v>2150</v>
      </c>
      <c r="B618" s="8" t="s">
        <v>2151</v>
      </c>
      <c r="C618" s="8"/>
      <c r="D618" s="8"/>
      <c r="E618" s="8"/>
      <c r="F618" s="8"/>
      <c r="G618" s="8"/>
      <c r="H618" s="8"/>
      <c r="I618" s="8" t="s">
        <v>2152</v>
      </c>
      <c r="J618" s="8" t="s">
        <v>64</v>
      </c>
      <c r="K618" s="8" t="s">
        <v>1191</v>
      </c>
      <c r="L618" s="8" t="s">
        <v>688</v>
      </c>
      <c r="M618" s="8"/>
      <c r="N618" s="8" t="s">
        <v>62</v>
      </c>
      <c r="O618" s="8" t="s">
        <v>63</v>
      </c>
      <c r="P618" s="4" t="n">
        <v>32</v>
      </c>
      <c r="Q618" s="8"/>
      <c r="R618" s="4" t="s">
        <v>2151</v>
      </c>
      <c r="S618" s="4"/>
    </row>
    <row r="619" customFormat="false" ht="15" hidden="false" customHeight="false" outlineLevel="0" collapsed="false">
      <c r="A619" s="4" t="s">
        <v>2153</v>
      </c>
      <c r="B619" s="8" t="s">
        <v>2154</v>
      </c>
      <c r="C619" s="8"/>
      <c r="D619" s="8"/>
      <c r="E619" s="8"/>
      <c r="F619" s="8"/>
      <c r="G619" s="8"/>
      <c r="H619" s="8"/>
      <c r="I619" s="8" t="s">
        <v>2155</v>
      </c>
      <c r="J619" s="8" t="s">
        <v>64</v>
      </c>
      <c r="K619" s="8" t="s">
        <v>1191</v>
      </c>
      <c r="L619" s="8" t="s">
        <v>688</v>
      </c>
      <c r="M619" s="8"/>
      <c r="N619" s="8" t="s">
        <v>62</v>
      </c>
      <c r="O619" s="8" t="s">
        <v>63</v>
      </c>
      <c r="P619" s="4" t="n">
        <v>32</v>
      </c>
      <c r="Q619" s="8"/>
      <c r="R619" s="4" t="s">
        <v>2154</v>
      </c>
      <c r="S619" s="4"/>
    </row>
    <row r="620" customFormat="false" ht="15" hidden="false" customHeight="false" outlineLevel="0" collapsed="false">
      <c r="A620" s="4" t="s">
        <v>2156</v>
      </c>
      <c r="B620" s="8" t="s">
        <v>2157</v>
      </c>
      <c r="C620" s="8"/>
      <c r="D620" s="8"/>
      <c r="E620" s="8"/>
      <c r="F620" s="8"/>
      <c r="G620" s="8"/>
      <c r="H620" s="8"/>
      <c r="I620" s="8" t="s">
        <v>2158</v>
      </c>
      <c r="J620" s="8" t="s">
        <v>64</v>
      </c>
      <c r="K620" s="8" t="s">
        <v>1191</v>
      </c>
      <c r="L620" s="8" t="s">
        <v>688</v>
      </c>
      <c r="M620" s="8"/>
      <c r="N620" s="8" t="s">
        <v>62</v>
      </c>
      <c r="O620" s="8" t="s">
        <v>63</v>
      </c>
      <c r="P620" s="4" t="n">
        <v>32</v>
      </c>
      <c r="Q620" s="8"/>
      <c r="R620" s="4" t="s">
        <v>2157</v>
      </c>
      <c r="S620" s="4"/>
    </row>
    <row r="621" customFormat="false" ht="15" hidden="false" customHeight="false" outlineLevel="0" collapsed="false">
      <c r="A621" s="4" t="s">
        <v>2159</v>
      </c>
      <c r="B621" s="8" t="s">
        <v>2160</v>
      </c>
      <c r="C621" s="8"/>
      <c r="D621" s="8"/>
      <c r="E621" s="8" t="s">
        <v>68</v>
      </c>
      <c r="F621" s="8" t="s">
        <v>2161</v>
      </c>
      <c r="G621" s="8" t="s">
        <v>2162</v>
      </c>
      <c r="H621" s="8"/>
      <c r="I621" s="8" t="s">
        <v>2163</v>
      </c>
      <c r="J621" s="8" t="s">
        <v>64</v>
      </c>
      <c r="K621" s="8" t="s">
        <v>1191</v>
      </c>
      <c r="L621" s="8" t="s">
        <v>688</v>
      </c>
      <c r="M621" s="8"/>
      <c r="N621" s="8" t="s">
        <v>62</v>
      </c>
      <c r="O621" s="8" t="s">
        <v>63</v>
      </c>
      <c r="P621" s="4" t="n">
        <v>32</v>
      </c>
      <c r="Q621" s="8"/>
      <c r="R621" s="4" t="s">
        <v>2160</v>
      </c>
      <c r="S621" s="4"/>
    </row>
    <row r="622" customFormat="false" ht="15" hidden="false" customHeight="false" outlineLevel="0" collapsed="false">
      <c r="A622" s="4" t="s">
        <v>2164</v>
      </c>
      <c r="B622" s="8" t="s">
        <v>2165</v>
      </c>
      <c r="C622" s="8"/>
      <c r="D622" s="8"/>
      <c r="E622" s="8" t="s">
        <v>68</v>
      </c>
      <c r="F622" s="8" t="s">
        <v>2166</v>
      </c>
      <c r="G622" s="8" t="s">
        <v>2167</v>
      </c>
      <c r="H622" s="8"/>
      <c r="I622" s="8" t="s">
        <v>2168</v>
      </c>
      <c r="J622" s="8" t="s">
        <v>64</v>
      </c>
      <c r="K622" s="8" t="s">
        <v>1191</v>
      </c>
      <c r="L622" s="8" t="s">
        <v>688</v>
      </c>
      <c r="M622" s="8"/>
      <c r="N622" s="8" t="s">
        <v>62</v>
      </c>
      <c r="O622" s="8" t="s">
        <v>63</v>
      </c>
      <c r="P622" s="4" t="n">
        <v>32</v>
      </c>
      <c r="Q622" s="8"/>
      <c r="R622" s="4" t="s">
        <v>2165</v>
      </c>
      <c r="S622" s="4"/>
    </row>
    <row r="623" customFormat="false" ht="15" hidden="false" customHeight="false" outlineLevel="0" collapsed="false">
      <c r="A623" s="4" t="s">
        <v>2169</v>
      </c>
      <c r="B623" s="8" t="s">
        <v>2170</v>
      </c>
      <c r="C623" s="8"/>
      <c r="D623" s="8"/>
      <c r="E623" s="8"/>
      <c r="F623" s="8"/>
      <c r="G623" s="8"/>
      <c r="H623" s="8"/>
      <c r="I623" s="8" t="s">
        <v>2171</v>
      </c>
      <c r="J623" s="8" t="s">
        <v>64</v>
      </c>
      <c r="K623" s="8" t="s">
        <v>1191</v>
      </c>
      <c r="L623" s="8" t="s">
        <v>688</v>
      </c>
      <c r="M623" s="8"/>
      <c r="N623" s="8" t="s">
        <v>62</v>
      </c>
      <c r="O623" s="8" t="s">
        <v>63</v>
      </c>
      <c r="P623" s="4" t="n">
        <v>32</v>
      </c>
      <c r="Q623" s="8"/>
      <c r="R623" s="4" t="s">
        <v>2170</v>
      </c>
      <c r="S623" s="4"/>
    </row>
    <row r="624" customFormat="false" ht="15" hidden="false" customHeight="false" outlineLevel="0" collapsed="false">
      <c r="A624" s="4" t="s">
        <v>2172</v>
      </c>
      <c r="B624" s="8" t="s">
        <v>2173</v>
      </c>
      <c r="C624" s="8"/>
      <c r="D624" s="8"/>
      <c r="E624" s="8" t="s">
        <v>68</v>
      </c>
      <c r="F624" s="8" t="s">
        <v>2174</v>
      </c>
      <c r="G624" s="8" t="s">
        <v>2175</v>
      </c>
      <c r="H624" s="8"/>
      <c r="I624" s="8" t="s">
        <v>2176</v>
      </c>
      <c r="J624" s="8" t="s">
        <v>64</v>
      </c>
      <c r="K624" s="8" t="s">
        <v>1191</v>
      </c>
      <c r="L624" s="8" t="s">
        <v>688</v>
      </c>
      <c r="M624" s="8"/>
      <c r="N624" s="8" t="s">
        <v>62</v>
      </c>
      <c r="O624" s="8" t="s">
        <v>63</v>
      </c>
      <c r="P624" s="4" t="n">
        <v>32</v>
      </c>
      <c r="Q624" s="8"/>
      <c r="R624" s="4" t="s">
        <v>2173</v>
      </c>
      <c r="S624" s="4"/>
    </row>
    <row r="625" customFormat="false" ht="15" hidden="false" customHeight="false" outlineLevel="0" collapsed="false">
      <c r="A625" s="4" t="s">
        <v>2177</v>
      </c>
      <c r="B625" s="8" t="s">
        <v>2178</v>
      </c>
      <c r="C625" s="8"/>
      <c r="D625" s="8"/>
      <c r="E625" s="8"/>
      <c r="F625" s="8"/>
      <c r="G625" s="8"/>
      <c r="H625" s="8"/>
      <c r="I625" s="8" t="s">
        <v>2179</v>
      </c>
      <c r="J625" s="8" t="s">
        <v>64</v>
      </c>
      <c r="K625" s="8" t="s">
        <v>1191</v>
      </c>
      <c r="L625" s="8" t="s">
        <v>688</v>
      </c>
      <c r="M625" s="8"/>
      <c r="N625" s="8" t="s">
        <v>62</v>
      </c>
      <c r="O625" s="8" t="s">
        <v>63</v>
      </c>
      <c r="P625" s="4" t="n">
        <v>32</v>
      </c>
      <c r="Q625" s="8"/>
      <c r="R625" s="4" t="s">
        <v>2178</v>
      </c>
      <c r="S625" s="4"/>
    </row>
    <row r="626" customFormat="false" ht="15" hidden="false" customHeight="false" outlineLevel="0" collapsed="false">
      <c r="A626" s="4" t="s">
        <v>2180</v>
      </c>
      <c r="B626" s="8" t="s">
        <v>2181</v>
      </c>
      <c r="C626" s="8"/>
      <c r="D626" s="8"/>
      <c r="E626" s="8" t="s">
        <v>68</v>
      </c>
      <c r="F626" s="8" t="s">
        <v>2182</v>
      </c>
      <c r="G626" s="8" t="s">
        <v>2183</v>
      </c>
      <c r="H626" s="8"/>
      <c r="I626" s="8" t="s">
        <v>2184</v>
      </c>
      <c r="J626" s="8" t="s">
        <v>64</v>
      </c>
      <c r="K626" s="8" t="s">
        <v>1191</v>
      </c>
      <c r="L626" s="8" t="s">
        <v>688</v>
      </c>
      <c r="M626" s="8"/>
      <c r="N626" s="8" t="s">
        <v>62</v>
      </c>
      <c r="O626" s="8" t="s">
        <v>63</v>
      </c>
      <c r="P626" s="4" t="n">
        <v>32</v>
      </c>
      <c r="Q626" s="8"/>
      <c r="R626" s="4" t="s">
        <v>2181</v>
      </c>
      <c r="S626" s="4"/>
    </row>
    <row r="627" customFormat="false" ht="15" hidden="false" customHeight="false" outlineLevel="0" collapsed="false">
      <c r="A627" s="4" t="s">
        <v>2185</v>
      </c>
      <c r="B627" s="8" t="s">
        <v>2186</v>
      </c>
      <c r="C627" s="8"/>
      <c r="D627" s="8"/>
      <c r="E627" s="8" t="s">
        <v>68</v>
      </c>
      <c r="F627" s="8" t="s">
        <v>2187</v>
      </c>
      <c r="G627" s="8" t="s">
        <v>2188</v>
      </c>
      <c r="H627" s="8"/>
      <c r="I627" s="8" t="s">
        <v>2189</v>
      </c>
      <c r="J627" s="8" t="s">
        <v>64</v>
      </c>
      <c r="K627" s="8" t="s">
        <v>1191</v>
      </c>
      <c r="L627" s="8" t="s">
        <v>688</v>
      </c>
      <c r="M627" s="8"/>
      <c r="N627" s="8" t="s">
        <v>62</v>
      </c>
      <c r="O627" s="8" t="s">
        <v>63</v>
      </c>
      <c r="P627" s="4" t="n">
        <v>32</v>
      </c>
      <c r="Q627" s="8"/>
      <c r="R627" s="4" t="s">
        <v>2186</v>
      </c>
      <c r="S627" s="4"/>
    </row>
    <row r="628" customFormat="false" ht="15" hidden="false" customHeight="false" outlineLevel="0" collapsed="false">
      <c r="A628" s="4" t="s">
        <v>2190</v>
      </c>
      <c r="B628" s="8" t="s">
        <v>2191</v>
      </c>
      <c r="C628" s="8"/>
      <c r="D628" s="8"/>
      <c r="E628" s="8" t="s">
        <v>68</v>
      </c>
      <c r="F628" s="8" t="s">
        <v>2192</v>
      </c>
      <c r="G628" s="8" t="s">
        <v>2193</v>
      </c>
      <c r="H628" s="8"/>
      <c r="I628" s="8" t="s">
        <v>2194</v>
      </c>
      <c r="J628" s="8" t="s">
        <v>64</v>
      </c>
      <c r="K628" s="8" t="s">
        <v>1191</v>
      </c>
      <c r="L628" s="8" t="s">
        <v>688</v>
      </c>
      <c r="M628" s="8"/>
      <c r="N628" s="8" t="s">
        <v>62</v>
      </c>
      <c r="O628" s="8" t="s">
        <v>63</v>
      </c>
      <c r="P628" s="4" t="n">
        <v>32</v>
      </c>
      <c r="Q628" s="8"/>
      <c r="R628" s="4" t="s">
        <v>2191</v>
      </c>
      <c r="S628" s="4"/>
    </row>
    <row r="629" customFormat="false" ht="26.85" hidden="false" customHeight="false" outlineLevel="0" collapsed="false">
      <c r="A629" s="4" t="s">
        <v>2195</v>
      </c>
      <c r="B629" s="8" t="s">
        <v>2196</v>
      </c>
      <c r="C629" s="8"/>
      <c r="D629" s="8"/>
      <c r="E629" s="8" t="s">
        <v>68</v>
      </c>
      <c r="F629" s="8" t="s">
        <v>2197</v>
      </c>
      <c r="G629" s="8" t="s">
        <v>2198</v>
      </c>
      <c r="H629" s="8"/>
      <c r="I629" s="8" t="s">
        <v>2199</v>
      </c>
      <c r="J629" s="8" t="s">
        <v>64</v>
      </c>
      <c r="K629" s="8" t="s">
        <v>1191</v>
      </c>
      <c r="L629" s="8" t="s">
        <v>688</v>
      </c>
      <c r="M629" s="8"/>
      <c r="N629" s="8" t="s">
        <v>62</v>
      </c>
      <c r="O629" s="8" t="s">
        <v>63</v>
      </c>
      <c r="P629" s="4" t="n">
        <v>32</v>
      </c>
      <c r="Q629" s="8"/>
      <c r="R629" s="4" t="s">
        <v>2196</v>
      </c>
      <c r="S629" s="4"/>
    </row>
    <row r="630" customFormat="false" ht="15" hidden="false" customHeight="false" outlineLevel="0" collapsed="false">
      <c r="A630" s="4" t="s">
        <v>2200</v>
      </c>
      <c r="B630" s="8" t="s">
        <v>2201</v>
      </c>
      <c r="C630" s="8"/>
      <c r="D630" s="8"/>
      <c r="E630" s="8" t="s">
        <v>68</v>
      </c>
      <c r="F630" s="8" t="s">
        <v>2202</v>
      </c>
      <c r="G630" s="8" t="s">
        <v>2203</v>
      </c>
      <c r="H630" s="8"/>
      <c r="I630" s="8" t="s">
        <v>2204</v>
      </c>
      <c r="J630" s="8" t="s">
        <v>64</v>
      </c>
      <c r="K630" s="8" t="s">
        <v>1191</v>
      </c>
      <c r="L630" s="8" t="s">
        <v>688</v>
      </c>
      <c r="M630" s="8"/>
      <c r="N630" s="8" t="s">
        <v>62</v>
      </c>
      <c r="O630" s="8" t="s">
        <v>63</v>
      </c>
      <c r="P630" s="4" t="n">
        <v>32</v>
      </c>
      <c r="Q630" s="8"/>
      <c r="R630" s="4" t="s">
        <v>2201</v>
      </c>
      <c r="S630" s="4" t="n">
        <v>302</v>
      </c>
    </row>
    <row r="631" customFormat="false" ht="15" hidden="false" customHeight="false" outlineLevel="0" collapsed="false">
      <c r="A631" s="4" t="s">
        <v>2205</v>
      </c>
      <c r="B631" s="8" t="s">
        <v>2206</v>
      </c>
      <c r="C631" s="8"/>
      <c r="D631" s="8"/>
      <c r="E631" s="8" t="s">
        <v>68</v>
      </c>
      <c r="F631" s="8" t="s">
        <v>2207</v>
      </c>
      <c r="G631" s="8" t="s">
        <v>2208</v>
      </c>
      <c r="H631" s="8"/>
      <c r="I631" s="8" t="s">
        <v>2209</v>
      </c>
      <c r="J631" s="8" t="s">
        <v>64</v>
      </c>
      <c r="K631" s="8" t="s">
        <v>1191</v>
      </c>
      <c r="L631" s="8" t="s">
        <v>688</v>
      </c>
      <c r="M631" s="8"/>
      <c r="N631" s="8" t="s">
        <v>62</v>
      </c>
      <c r="O631" s="8" t="s">
        <v>63</v>
      </c>
      <c r="P631" s="4" t="n">
        <v>32</v>
      </c>
      <c r="Q631" s="8"/>
      <c r="R631" s="4" t="s">
        <v>2206</v>
      </c>
      <c r="S631" s="4"/>
    </row>
    <row r="632" customFormat="false" ht="15" hidden="false" customHeight="false" outlineLevel="0" collapsed="false">
      <c r="A632" s="4" t="s">
        <v>2210</v>
      </c>
      <c r="B632" s="8" t="s">
        <v>2211</v>
      </c>
      <c r="C632" s="8"/>
      <c r="D632" s="8"/>
      <c r="E632" s="8" t="s">
        <v>68</v>
      </c>
      <c r="F632" s="8" t="s">
        <v>2212</v>
      </c>
      <c r="G632" s="8" t="s">
        <v>2213</v>
      </c>
      <c r="H632" s="8"/>
      <c r="I632" s="8" t="s">
        <v>2214</v>
      </c>
      <c r="J632" s="8" t="s">
        <v>64</v>
      </c>
      <c r="K632" s="8" t="s">
        <v>1191</v>
      </c>
      <c r="L632" s="8" t="s">
        <v>688</v>
      </c>
      <c r="M632" s="8"/>
      <c r="N632" s="8" t="s">
        <v>62</v>
      </c>
      <c r="O632" s="8" t="s">
        <v>63</v>
      </c>
      <c r="P632" s="4" t="n">
        <v>32</v>
      </c>
      <c r="Q632" s="8"/>
      <c r="R632" s="4" t="s">
        <v>2211</v>
      </c>
      <c r="S632" s="4"/>
    </row>
    <row r="633" customFormat="false" ht="15" hidden="false" customHeight="false" outlineLevel="0" collapsed="false">
      <c r="A633" s="4" t="s">
        <v>2215</v>
      </c>
      <c r="B633" s="8" t="s">
        <v>2216</v>
      </c>
      <c r="C633" s="8"/>
      <c r="D633" s="8"/>
      <c r="E633" s="8"/>
      <c r="F633" s="8"/>
      <c r="G633" s="8"/>
      <c r="H633" s="8"/>
      <c r="I633" s="8" t="s">
        <v>2217</v>
      </c>
      <c r="J633" s="8" t="s">
        <v>64</v>
      </c>
      <c r="K633" s="8" t="s">
        <v>1191</v>
      </c>
      <c r="L633" s="8" t="s">
        <v>688</v>
      </c>
      <c r="M633" s="8"/>
      <c r="N633" s="8" t="s">
        <v>62</v>
      </c>
      <c r="O633" s="8" t="s">
        <v>63</v>
      </c>
      <c r="P633" s="4" t="n">
        <v>32</v>
      </c>
      <c r="Q633" s="8"/>
      <c r="R633" s="4" t="s">
        <v>2216</v>
      </c>
      <c r="S633" s="4"/>
    </row>
    <row r="634" customFormat="false" ht="15" hidden="false" customHeight="false" outlineLevel="0" collapsed="false">
      <c r="A634" s="4" t="s">
        <v>2218</v>
      </c>
      <c r="B634" s="8" t="s">
        <v>2219</v>
      </c>
      <c r="C634" s="8"/>
      <c r="D634" s="8"/>
      <c r="E634" s="8" t="s">
        <v>68</v>
      </c>
      <c r="F634" s="8" t="s">
        <v>2220</v>
      </c>
      <c r="G634" s="8" t="s">
        <v>2221</v>
      </c>
      <c r="H634" s="8"/>
      <c r="I634" s="8" t="s">
        <v>2222</v>
      </c>
      <c r="J634" s="8" t="s">
        <v>64</v>
      </c>
      <c r="K634" s="8" t="s">
        <v>1191</v>
      </c>
      <c r="L634" s="8" t="s">
        <v>688</v>
      </c>
      <c r="M634" s="8"/>
      <c r="N634" s="8" t="s">
        <v>62</v>
      </c>
      <c r="O634" s="8" t="s">
        <v>63</v>
      </c>
      <c r="P634" s="4" t="n">
        <v>32</v>
      </c>
      <c r="Q634" s="8"/>
      <c r="R634" s="4" t="s">
        <v>2219</v>
      </c>
      <c r="S634" s="4" t="n">
        <v>596</v>
      </c>
    </row>
    <row r="635" customFormat="false" ht="15" hidden="false" customHeight="false" outlineLevel="0" collapsed="false">
      <c r="A635" s="4" t="s">
        <v>2223</v>
      </c>
      <c r="B635" s="8" t="s">
        <v>2224</v>
      </c>
      <c r="C635" s="8"/>
      <c r="D635" s="8"/>
      <c r="E635" s="8"/>
      <c r="F635" s="8"/>
      <c r="G635" s="8"/>
      <c r="H635" s="8"/>
      <c r="I635" s="8" t="s">
        <v>2225</v>
      </c>
      <c r="J635" s="8" t="s">
        <v>64</v>
      </c>
      <c r="K635" s="8" t="s">
        <v>1191</v>
      </c>
      <c r="L635" s="8" t="s">
        <v>688</v>
      </c>
      <c r="M635" s="8"/>
      <c r="N635" s="8" t="s">
        <v>62</v>
      </c>
      <c r="O635" s="8" t="s">
        <v>63</v>
      </c>
      <c r="P635" s="4" t="n">
        <v>32</v>
      </c>
      <c r="Q635" s="8"/>
      <c r="R635" s="4" t="s">
        <v>2224</v>
      </c>
      <c r="S635" s="4"/>
    </row>
    <row r="636" customFormat="false" ht="15" hidden="false" customHeight="false" outlineLevel="0" collapsed="false">
      <c r="A636" s="4" t="s">
        <v>2226</v>
      </c>
      <c r="B636" s="8" t="s">
        <v>2227</v>
      </c>
      <c r="C636" s="8"/>
      <c r="D636" s="8"/>
      <c r="E636" s="8" t="s">
        <v>68</v>
      </c>
      <c r="F636" s="8" t="s">
        <v>2228</v>
      </c>
      <c r="G636" s="8" t="s">
        <v>2229</v>
      </c>
      <c r="H636" s="8"/>
      <c r="I636" s="8" t="s">
        <v>2230</v>
      </c>
      <c r="J636" s="8" t="s">
        <v>64</v>
      </c>
      <c r="K636" s="8" t="s">
        <v>1191</v>
      </c>
      <c r="L636" s="8" t="s">
        <v>688</v>
      </c>
      <c r="M636" s="8"/>
      <c r="N636" s="8" t="s">
        <v>62</v>
      </c>
      <c r="O636" s="8" t="s">
        <v>63</v>
      </c>
      <c r="P636" s="4" t="n">
        <v>32</v>
      </c>
      <c r="Q636" s="8"/>
      <c r="R636" s="4" t="s">
        <v>2227</v>
      </c>
      <c r="S636" s="4" t="n">
        <v>1277</v>
      </c>
    </row>
    <row r="637" customFormat="false" ht="15" hidden="false" customHeight="false" outlineLevel="0" collapsed="false">
      <c r="A637" s="4" t="s">
        <v>2231</v>
      </c>
      <c r="B637" s="8" t="s">
        <v>2232</v>
      </c>
      <c r="C637" s="8"/>
      <c r="D637" s="8"/>
      <c r="E637" s="8" t="s">
        <v>68</v>
      </c>
      <c r="F637" s="8" t="s">
        <v>2233</v>
      </c>
      <c r="G637" s="8" t="s">
        <v>2234</v>
      </c>
      <c r="H637" s="8"/>
      <c r="I637" s="8" t="s">
        <v>2235</v>
      </c>
      <c r="J637" s="8" t="s">
        <v>64</v>
      </c>
      <c r="K637" s="8" t="s">
        <v>1191</v>
      </c>
      <c r="L637" s="8" t="s">
        <v>688</v>
      </c>
      <c r="M637" s="8"/>
      <c r="N637" s="8" t="s">
        <v>62</v>
      </c>
      <c r="O637" s="8" t="s">
        <v>63</v>
      </c>
      <c r="P637" s="4" t="n">
        <v>32</v>
      </c>
      <c r="Q637" s="8"/>
      <c r="R637" s="4" t="s">
        <v>2232</v>
      </c>
      <c r="S637" s="4"/>
    </row>
    <row r="638" customFormat="false" ht="15" hidden="false" customHeight="false" outlineLevel="0" collapsed="false">
      <c r="A638" s="4" t="s">
        <v>2236</v>
      </c>
      <c r="B638" s="8" t="s">
        <v>2237</v>
      </c>
      <c r="C638" s="8"/>
      <c r="D638" s="8"/>
      <c r="E638" s="8" t="s">
        <v>68</v>
      </c>
      <c r="F638" s="8" t="s">
        <v>2238</v>
      </c>
      <c r="G638" s="8" t="s">
        <v>2239</v>
      </c>
      <c r="H638" s="8"/>
      <c r="I638" s="8" t="s">
        <v>2240</v>
      </c>
      <c r="J638" s="8" t="s">
        <v>64</v>
      </c>
      <c r="K638" s="8" t="s">
        <v>1191</v>
      </c>
      <c r="L638" s="8" t="s">
        <v>688</v>
      </c>
      <c r="M638" s="8"/>
      <c r="N638" s="8" t="s">
        <v>62</v>
      </c>
      <c r="O638" s="8" t="s">
        <v>63</v>
      </c>
      <c r="P638" s="4" t="n">
        <v>32</v>
      </c>
      <c r="Q638" s="8"/>
      <c r="R638" s="4" t="s">
        <v>2237</v>
      </c>
      <c r="S638" s="4" t="n">
        <v>1991</v>
      </c>
    </row>
    <row r="639" customFormat="false" ht="15" hidden="false" customHeight="false" outlineLevel="0" collapsed="false">
      <c r="A639" s="4" t="s">
        <v>2241</v>
      </c>
      <c r="B639" s="8" t="s">
        <v>2242</v>
      </c>
      <c r="C639" s="8"/>
      <c r="D639" s="8"/>
      <c r="E639" s="8" t="s">
        <v>68</v>
      </c>
      <c r="F639" s="8" t="s">
        <v>2243</v>
      </c>
      <c r="G639" s="8" t="s">
        <v>2244</v>
      </c>
      <c r="H639" s="8"/>
      <c r="I639" s="8" t="s">
        <v>2245</v>
      </c>
      <c r="J639" s="8" t="s">
        <v>64</v>
      </c>
      <c r="K639" s="8" t="s">
        <v>1191</v>
      </c>
      <c r="L639" s="8" t="s">
        <v>688</v>
      </c>
      <c r="M639" s="8"/>
      <c r="N639" s="8" t="s">
        <v>62</v>
      </c>
      <c r="O639" s="8" t="s">
        <v>63</v>
      </c>
      <c r="P639" s="4" t="n">
        <v>32</v>
      </c>
      <c r="Q639" s="8"/>
      <c r="R639" s="4" t="s">
        <v>2242</v>
      </c>
      <c r="S639" s="4"/>
    </row>
    <row r="640" customFormat="false" ht="15" hidden="false" customHeight="false" outlineLevel="0" collapsed="false">
      <c r="A640" s="4" t="s">
        <v>2246</v>
      </c>
      <c r="B640" s="8" t="s">
        <v>2247</v>
      </c>
      <c r="C640" s="8"/>
      <c r="D640" s="8"/>
      <c r="E640" s="8" t="s">
        <v>68</v>
      </c>
      <c r="F640" s="8" t="s">
        <v>2248</v>
      </c>
      <c r="G640" s="8" t="s">
        <v>2249</v>
      </c>
      <c r="H640" s="8"/>
      <c r="I640" s="8" t="s">
        <v>2250</v>
      </c>
      <c r="J640" s="8" t="s">
        <v>64</v>
      </c>
      <c r="K640" s="8" t="s">
        <v>1191</v>
      </c>
      <c r="L640" s="8" t="s">
        <v>688</v>
      </c>
      <c r="M640" s="8"/>
      <c r="N640" s="8" t="s">
        <v>62</v>
      </c>
      <c r="O640" s="8" t="s">
        <v>63</v>
      </c>
      <c r="P640" s="4" t="n">
        <v>32</v>
      </c>
      <c r="Q640" s="8"/>
      <c r="R640" s="4" t="s">
        <v>2247</v>
      </c>
      <c r="S640" s="4"/>
    </row>
    <row r="641" customFormat="false" ht="15" hidden="false" customHeight="false" outlineLevel="0" collapsed="false">
      <c r="A641" s="4" t="s">
        <v>2251</v>
      </c>
      <c r="B641" s="8" t="s">
        <v>2252</v>
      </c>
      <c r="C641" s="8"/>
      <c r="D641" s="8"/>
      <c r="E641" s="8" t="s">
        <v>68</v>
      </c>
      <c r="F641" s="8" t="s">
        <v>2253</v>
      </c>
      <c r="G641" s="8" t="s">
        <v>2254</v>
      </c>
      <c r="H641" s="8"/>
      <c r="I641" s="8" t="s">
        <v>2255</v>
      </c>
      <c r="J641" s="8" t="s">
        <v>64</v>
      </c>
      <c r="K641" s="8" t="s">
        <v>1191</v>
      </c>
      <c r="L641" s="8" t="s">
        <v>688</v>
      </c>
      <c r="M641" s="8"/>
      <c r="N641" s="8" t="s">
        <v>62</v>
      </c>
      <c r="O641" s="8" t="s">
        <v>63</v>
      </c>
      <c r="P641" s="4" t="n">
        <v>32</v>
      </c>
      <c r="Q641" s="8"/>
      <c r="R641" s="4" t="s">
        <v>2252</v>
      </c>
      <c r="S641" s="4"/>
    </row>
    <row r="642" customFormat="false" ht="15" hidden="false" customHeight="false" outlineLevel="0" collapsed="false">
      <c r="A642" s="4" t="s">
        <v>2256</v>
      </c>
      <c r="B642" s="8" t="s">
        <v>2257</v>
      </c>
      <c r="C642" s="8"/>
      <c r="D642" s="8"/>
      <c r="E642" s="8" t="s">
        <v>68</v>
      </c>
      <c r="F642" s="8" t="s">
        <v>2258</v>
      </c>
      <c r="G642" s="8" t="s">
        <v>2259</v>
      </c>
      <c r="H642" s="8"/>
      <c r="I642" s="8" t="s">
        <v>2260</v>
      </c>
      <c r="J642" s="8" t="s">
        <v>64</v>
      </c>
      <c r="K642" s="8" t="s">
        <v>1191</v>
      </c>
      <c r="L642" s="8" t="s">
        <v>688</v>
      </c>
      <c r="M642" s="8"/>
      <c r="N642" s="8" t="s">
        <v>62</v>
      </c>
      <c r="O642" s="8" t="s">
        <v>63</v>
      </c>
      <c r="P642" s="4" t="n">
        <v>32</v>
      </c>
      <c r="Q642" s="8"/>
      <c r="R642" s="4" t="s">
        <v>2257</v>
      </c>
      <c r="S642" s="4"/>
    </row>
    <row r="643" customFormat="false" ht="15" hidden="false" customHeight="false" outlineLevel="0" collapsed="false">
      <c r="A643" s="4" t="s">
        <v>2261</v>
      </c>
      <c r="B643" s="8" t="s">
        <v>2262</v>
      </c>
      <c r="C643" s="8"/>
      <c r="D643" s="8"/>
      <c r="E643" s="8" t="s">
        <v>68</v>
      </c>
      <c r="F643" s="8" t="s">
        <v>2263</v>
      </c>
      <c r="G643" s="8" t="s">
        <v>2264</v>
      </c>
      <c r="H643" s="8"/>
      <c r="I643" s="8" t="s">
        <v>2265</v>
      </c>
      <c r="J643" s="8" t="s">
        <v>64</v>
      </c>
      <c r="K643" s="8" t="s">
        <v>1191</v>
      </c>
      <c r="L643" s="8" t="s">
        <v>688</v>
      </c>
      <c r="M643" s="8"/>
      <c r="N643" s="8" t="s">
        <v>62</v>
      </c>
      <c r="O643" s="8" t="s">
        <v>63</v>
      </c>
      <c r="P643" s="4" t="n">
        <v>32</v>
      </c>
      <c r="Q643" s="8"/>
      <c r="R643" s="4" t="s">
        <v>2262</v>
      </c>
      <c r="S643" s="4" t="n">
        <v>1576</v>
      </c>
    </row>
    <row r="644" customFormat="false" ht="15" hidden="false" customHeight="false" outlineLevel="0" collapsed="false">
      <c r="A644" s="4" t="s">
        <v>2266</v>
      </c>
      <c r="B644" s="8" t="s">
        <v>2267</v>
      </c>
      <c r="C644" s="8"/>
      <c r="D644" s="8"/>
      <c r="E644" s="8" t="s">
        <v>68</v>
      </c>
      <c r="F644" s="8" t="s">
        <v>1630</v>
      </c>
      <c r="G644" s="8" t="s">
        <v>2268</v>
      </c>
      <c r="H644" s="8"/>
      <c r="I644" s="8" t="s">
        <v>2269</v>
      </c>
      <c r="J644" s="8" t="s">
        <v>64</v>
      </c>
      <c r="K644" s="8" t="s">
        <v>1191</v>
      </c>
      <c r="L644" s="8" t="s">
        <v>688</v>
      </c>
      <c r="M644" s="8"/>
      <c r="N644" s="8" t="s">
        <v>62</v>
      </c>
      <c r="O644" s="8" t="s">
        <v>63</v>
      </c>
      <c r="P644" s="4" t="n">
        <v>32</v>
      </c>
      <c r="Q644" s="8"/>
      <c r="R644" s="4" t="s">
        <v>2267</v>
      </c>
      <c r="S644" s="4"/>
    </row>
    <row r="645" customFormat="false" ht="15" hidden="false" customHeight="false" outlineLevel="0" collapsed="false">
      <c r="A645" s="4" t="s">
        <v>2270</v>
      </c>
      <c r="B645" s="8" t="s">
        <v>2271</v>
      </c>
      <c r="C645" s="8"/>
      <c r="D645" s="8"/>
      <c r="E645" s="8" t="s">
        <v>68</v>
      </c>
      <c r="F645" s="8" t="s">
        <v>2272</v>
      </c>
      <c r="G645" s="8" t="s">
        <v>2273</v>
      </c>
      <c r="H645" s="8"/>
      <c r="I645" s="8" t="s">
        <v>2274</v>
      </c>
      <c r="J645" s="8" t="s">
        <v>64</v>
      </c>
      <c r="K645" s="8" t="s">
        <v>1191</v>
      </c>
      <c r="L645" s="8" t="s">
        <v>688</v>
      </c>
      <c r="M645" s="8"/>
      <c r="N645" s="8" t="s">
        <v>62</v>
      </c>
      <c r="O645" s="8" t="s">
        <v>63</v>
      </c>
      <c r="P645" s="4" t="n">
        <v>32</v>
      </c>
      <c r="Q645" s="8"/>
      <c r="R645" s="4" t="s">
        <v>2271</v>
      </c>
      <c r="S645" s="4"/>
    </row>
    <row r="646" customFormat="false" ht="15" hidden="false" customHeight="false" outlineLevel="0" collapsed="false">
      <c r="A646" s="4" t="s">
        <v>2275</v>
      </c>
      <c r="B646" s="8" t="s">
        <v>2276</v>
      </c>
      <c r="C646" s="8"/>
      <c r="D646" s="8"/>
      <c r="E646" s="8" t="s">
        <v>68</v>
      </c>
      <c r="F646" s="8" t="s">
        <v>2277</v>
      </c>
      <c r="G646" s="8" t="s">
        <v>2278</v>
      </c>
      <c r="H646" s="8"/>
      <c r="I646" s="8" t="s">
        <v>2279</v>
      </c>
      <c r="J646" s="8" t="s">
        <v>64</v>
      </c>
      <c r="K646" s="8" t="s">
        <v>1191</v>
      </c>
      <c r="L646" s="8" t="s">
        <v>688</v>
      </c>
      <c r="M646" s="8"/>
      <c r="N646" s="8" t="s">
        <v>62</v>
      </c>
      <c r="O646" s="8" t="s">
        <v>63</v>
      </c>
      <c r="P646" s="4" t="n">
        <v>32</v>
      </c>
      <c r="Q646" s="8"/>
      <c r="R646" s="4" t="s">
        <v>2276</v>
      </c>
      <c r="S646" s="4"/>
    </row>
    <row r="647" customFormat="false" ht="15" hidden="false" customHeight="false" outlineLevel="0" collapsed="false">
      <c r="A647" s="4" t="s">
        <v>2280</v>
      </c>
      <c r="B647" s="8" t="s">
        <v>2281</v>
      </c>
      <c r="C647" s="8"/>
      <c r="D647" s="8"/>
      <c r="E647" s="8" t="s">
        <v>68</v>
      </c>
      <c r="F647" s="8" t="s">
        <v>2282</v>
      </c>
      <c r="G647" s="8" t="s">
        <v>2283</v>
      </c>
      <c r="H647" s="8"/>
      <c r="I647" s="8" t="s">
        <v>2284</v>
      </c>
      <c r="J647" s="8" t="s">
        <v>64</v>
      </c>
      <c r="K647" s="8" t="s">
        <v>1191</v>
      </c>
      <c r="L647" s="8" t="s">
        <v>688</v>
      </c>
      <c r="M647" s="8"/>
      <c r="N647" s="8" t="s">
        <v>62</v>
      </c>
      <c r="O647" s="8" t="s">
        <v>63</v>
      </c>
      <c r="P647" s="4" t="n">
        <v>32</v>
      </c>
      <c r="Q647" s="8"/>
      <c r="R647" s="4" t="s">
        <v>2281</v>
      </c>
      <c r="S647" s="4"/>
    </row>
    <row r="648" customFormat="false" ht="15" hidden="false" customHeight="false" outlineLevel="0" collapsed="false">
      <c r="A648" s="4" t="s">
        <v>2285</v>
      </c>
      <c r="B648" s="8" t="s">
        <v>2286</v>
      </c>
      <c r="C648" s="8"/>
      <c r="D648" s="8"/>
      <c r="E648" s="8" t="s">
        <v>68</v>
      </c>
      <c r="F648" s="8" t="s">
        <v>2287</v>
      </c>
      <c r="G648" s="8" t="s">
        <v>2288</v>
      </c>
      <c r="H648" s="8"/>
      <c r="I648" s="8" t="s">
        <v>2289</v>
      </c>
      <c r="J648" s="8" t="s">
        <v>64</v>
      </c>
      <c r="K648" s="8" t="s">
        <v>1191</v>
      </c>
      <c r="L648" s="8" t="s">
        <v>688</v>
      </c>
      <c r="M648" s="8"/>
      <c r="N648" s="8" t="s">
        <v>62</v>
      </c>
      <c r="O648" s="8" t="s">
        <v>63</v>
      </c>
      <c r="P648" s="4" t="n">
        <v>32</v>
      </c>
      <c r="Q648" s="8"/>
      <c r="R648" s="4" t="s">
        <v>2286</v>
      </c>
      <c r="S648" s="4"/>
    </row>
    <row r="649" customFormat="false" ht="15" hidden="false" customHeight="false" outlineLevel="0" collapsed="false">
      <c r="A649" s="4" t="s">
        <v>2290</v>
      </c>
      <c r="B649" s="8" t="s">
        <v>2291</v>
      </c>
      <c r="C649" s="8"/>
      <c r="D649" s="8"/>
      <c r="E649" s="8" t="s">
        <v>68</v>
      </c>
      <c r="F649" s="8" t="s">
        <v>2292</v>
      </c>
      <c r="G649" s="8" t="s">
        <v>2293</v>
      </c>
      <c r="H649" s="8"/>
      <c r="I649" s="8" t="s">
        <v>2294</v>
      </c>
      <c r="J649" s="8" t="s">
        <v>64</v>
      </c>
      <c r="K649" s="8" t="s">
        <v>1191</v>
      </c>
      <c r="L649" s="8" t="s">
        <v>688</v>
      </c>
      <c r="M649" s="8"/>
      <c r="N649" s="8" t="s">
        <v>62</v>
      </c>
      <c r="O649" s="8" t="s">
        <v>63</v>
      </c>
      <c r="P649" s="4" t="n">
        <v>33</v>
      </c>
      <c r="Q649" s="8"/>
      <c r="R649" s="4" t="s">
        <v>2291</v>
      </c>
      <c r="S649" s="4"/>
    </row>
    <row r="650" customFormat="false" ht="15" hidden="false" customHeight="false" outlineLevel="0" collapsed="false">
      <c r="A650" s="4" t="s">
        <v>2295</v>
      </c>
      <c r="B650" s="8" t="s">
        <v>2296</v>
      </c>
      <c r="C650" s="8"/>
      <c r="D650" s="8"/>
      <c r="E650" s="8" t="s">
        <v>68</v>
      </c>
      <c r="F650" s="8" t="s">
        <v>2297</v>
      </c>
      <c r="G650" s="8" t="s">
        <v>2298</v>
      </c>
      <c r="H650" s="8"/>
      <c r="I650" s="8" t="s">
        <v>2299</v>
      </c>
      <c r="J650" s="8" t="s">
        <v>64</v>
      </c>
      <c r="K650" s="8" t="s">
        <v>1191</v>
      </c>
      <c r="L650" s="8" t="s">
        <v>688</v>
      </c>
      <c r="M650" s="8"/>
      <c r="N650" s="8" t="s">
        <v>62</v>
      </c>
      <c r="O650" s="8" t="s">
        <v>63</v>
      </c>
      <c r="P650" s="4" t="n">
        <v>33</v>
      </c>
      <c r="Q650" s="8"/>
      <c r="R650" s="4" t="s">
        <v>2296</v>
      </c>
      <c r="S650" s="4"/>
    </row>
    <row r="651" customFormat="false" ht="15" hidden="false" customHeight="false" outlineLevel="0" collapsed="false">
      <c r="A651" s="4" t="s">
        <v>2300</v>
      </c>
      <c r="B651" s="8" t="s">
        <v>2301</v>
      </c>
      <c r="C651" s="8"/>
      <c r="D651" s="8"/>
      <c r="E651" s="8"/>
      <c r="F651" s="8"/>
      <c r="G651" s="8"/>
      <c r="H651" s="8"/>
      <c r="I651" s="8" t="s">
        <v>2302</v>
      </c>
      <c r="J651" s="8" t="s">
        <v>64</v>
      </c>
      <c r="K651" s="8" t="s">
        <v>1191</v>
      </c>
      <c r="L651" s="8" t="s">
        <v>688</v>
      </c>
      <c r="M651" s="8"/>
      <c r="N651" s="8" t="s">
        <v>62</v>
      </c>
      <c r="O651" s="8" t="s">
        <v>63</v>
      </c>
      <c r="P651" s="4" t="n">
        <v>33</v>
      </c>
      <c r="Q651" s="8"/>
      <c r="R651" s="4" t="s">
        <v>2301</v>
      </c>
      <c r="S651" s="4"/>
    </row>
    <row r="652" customFormat="false" ht="15" hidden="false" customHeight="false" outlineLevel="0" collapsed="false">
      <c r="A652" s="4" t="s">
        <v>2303</v>
      </c>
      <c r="B652" s="8" t="s">
        <v>2304</v>
      </c>
      <c r="C652" s="8"/>
      <c r="D652" s="8"/>
      <c r="E652" s="8" t="s">
        <v>68</v>
      </c>
      <c r="F652" s="8" t="s">
        <v>2305</v>
      </c>
      <c r="G652" s="8" t="s">
        <v>2306</v>
      </c>
      <c r="H652" s="8"/>
      <c r="I652" s="8" t="s">
        <v>2307</v>
      </c>
      <c r="J652" s="8" t="s">
        <v>64</v>
      </c>
      <c r="K652" s="8" t="s">
        <v>1191</v>
      </c>
      <c r="L652" s="8" t="s">
        <v>688</v>
      </c>
      <c r="M652" s="8"/>
      <c r="N652" s="8" t="s">
        <v>62</v>
      </c>
      <c r="O652" s="8" t="s">
        <v>63</v>
      </c>
      <c r="P652" s="4" t="n">
        <v>33</v>
      </c>
      <c r="Q652" s="8"/>
      <c r="R652" s="4" t="s">
        <v>2304</v>
      </c>
      <c r="S652" s="4" t="n">
        <v>167</v>
      </c>
    </row>
    <row r="653" customFormat="false" ht="15" hidden="false" customHeight="false" outlineLevel="0" collapsed="false">
      <c r="A653" s="4" t="s">
        <v>2308</v>
      </c>
      <c r="B653" s="8" t="s">
        <v>2309</v>
      </c>
      <c r="C653" s="8"/>
      <c r="D653" s="8"/>
      <c r="E653" s="8" t="s">
        <v>68</v>
      </c>
      <c r="F653" s="8" t="s">
        <v>2310</v>
      </c>
      <c r="G653" s="8" t="s">
        <v>2311</v>
      </c>
      <c r="H653" s="8"/>
      <c r="I653" s="8" t="s">
        <v>2312</v>
      </c>
      <c r="J653" s="8" t="s">
        <v>64</v>
      </c>
      <c r="K653" s="8" t="s">
        <v>1191</v>
      </c>
      <c r="L653" s="8" t="s">
        <v>688</v>
      </c>
      <c r="M653" s="8"/>
      <c r="N653" s="8" t="s">
        <v>62</v>
      </c>
      <c r="O653" s="8" t="s">
        <v>63</v>
      </c>
      <c r="P653" s="4" t="n">
        <v>33</v>
      </c>
      <c r="Q653" s="8"/>
      <c r="R653" s="4" t="s">
        <v>2309</v>
      </c>
      <c r="S653" s="4"/>
    </row>
    <row r="654" customFormat="false" ht="15" hidden="false" customHeight="false" outlineLevel="0" collapsed="false">
      <c r="A654" s="4" t="s">
        <v>2313</v>
      </c>
      <c r="B654" s="8" t="s">
        <v>2314</v>
      </c>
      <c r="C654" s="8"/>
      <c r="D654" s="8"/>
      <c r="E654" s="8" t="s">
        <v>68</v>
      </c>
      <c r="F654" s="8" t="s">
        <v>2315</v>
      </c>
      <c r="G654" s="8" t="s">
        <v>2316</v>
      </c>
      <c r="H654" s="8"/>
      <c r="I654" s="8" t="s">
        <v>2317</v>
      </c>
      <c r="J654" s="8" t="s">
        <v>64</v>
      </c>
      <c r="K654" s="8" t="s">
        <v>1191</v>
      </c>
      <c r="L654" s="8" t="s">
        <v>688</v>
      </c>
      <c r="M654" s="8"/>
      <c r="N654" s="8" t="s">
        <v>62</v>
      </c>
      <c r="O654" s="8" t="s">
        <v>63</v>
      </c>
      <c r="P654" s="4" t="n">
        <v>33</v>
      </c>
      <c r="Q654" s="8"/>
      <c r="R654" s="4" t="s">
        <v>2314</v>
      </c>
      <c r="S654" s="4"/>
    </row>
    <row r="655" customFormat="false" ht="15" hidden="false" customHeight="false" outlineLevel="0" collapsed="false">
      <c r="A655" s="4" t="s">
        <v>2318</v>
      </c>
      <c r="B655" s="8" t="s">
        <v>2319</v>
      </c>
      <c r="C655" s="8"/>
      <c r="D655" s="8"/>
      <c r="E655" s="8" t="s">
        <v>68</v>
      </c>
      <c r="F655" s="8" t="s">
        <v>2320</v>
      </c>
      <c r="G655" s="8" t="s">
        <v>2321</v>
      </c>
      <c r="H655" s="8"/>
      <c r="I655" s="8" t="s">
        <v>2317</v>
      </c>
      <c r="J655" s="8" t="s">
        <v>64</v>
      </c>
      <c r="K655" s="8" t="s">
        <v>1191</v>
      </c>
      <c r="L655" s="8" t="s">
        <v>688</v>
      </c>
      <c r="M655" s="8"/>
      <c r="N655" s="8" t="s">
        <v>62</v>
      </c>
      <c r="O655" s="8" t="s">
        <v>63</v>
      </c>
      <c r="P655" s="4" t="n">
        <v>33</v>
      </c>
      <c r="Q655" s="8"/>
      <c r="R655" s="4" t="s">
        <v>2319</v>
      </c>
      <c r="S655" s="4"/>
    </row>
    <row r="656" customFormat="false" ht="15" hidden="false" customHeight="false" outlineLevel="0" collapsed="false">
      <c r="A656" s="4" t="s">
        <v>2322</v>
      </c>
      <c r="B656" s="8" t="s">
        <v>2323</v>
      </c>
      <c r="C656" s="8"/>
      <c r="D656" s="8"/>
      <c r="E656" s="8" t="s">
        <v>68</v>
      </c>
      <c r="F656" s="8" t="s">
        <v>2324</v>
      </c>
      <c r="G656" s="8" t="s">
        <v>2325</v>
      </c>
      <c r="H656" s="8"/>
      <c r="I656" s="8" t="s">
        <v>2326</v>
      </c>
      <c r="J656" s="8" t="s">
        <v>64</v>
      </c>
      <c r="K656" s="8" t="s">
        <v>1191</v>
      </c>
      <c r="L656" s="8" t="s">
        <v>688</v>
      </c>
      <c r="M656" s="8"/>
      <c r="N656" s="8" t="s">
        <v>62</v>
      </c>
      <c r="O656" s="8" t="s">
        <v>63</v>
      </c>
      <c r="P656" s="4" t="n">
        <v>33</v>
      </c>
      <c r="Q656" s="8"/>
      <c r="R656" s="4" t="s">
        <v>2323</v>
      </c>
      <c r="S656" s="4"/>
    </row>
    <row r="657" customFormat="false" ht="15" hidden="false" customHeight="false" outlineLevel="0" collapsed="false">
      <c r="A657" s="4" t="s">
        <v>2327</v>
      </c>
      <c r="B657" s="8" t="s">
        <v>2328</v>
      </c>
      <c r="C657" s="8"/>
      <c r="D657" s="8"/>
      <c r="E657" s="8" t="s">
        <v>68</v>
      </c>
      <c r="F657" s="8" t="s">
        <v>2329</v>
      </c>
      <c r="G657" s="8" t="s">
        <v>2330</v>
      </c>
      <c r="H657" s="8"/>
      <c r="I657" s="8" t="s">
        <v>2331</v>
      </c>
      <c r="J657" s="8" t="s">
        <v>64</v>
      </c>
      <c r="K657" s="8" t="s">
        <v>1191</v>
      </c>
      <c r="L657" s="8" t="s">
        <v>688</v>
      </c>
      <c r="M657" s="8"/>
      <c r="N657" s="8" t="s">
        <v>62</v>
      </c>
      <c r="O657" s="8" t="s">
        <v>63</v>
      </c>
      <c r="P657" s="4" t="n">
        <v>33</v>
      </c>
      <c r="Q657" s="8"/>
      <c r="R657" s="4" t="s">
        <v>2328</v>
      </c>
      <c r="S657" s="4" t="n">
        <v>646</v>
      </c>
    </row>
    <row r="658" customFormat="false" ht="15" hidden="false" customHeight="false" outlineLevel="0" collapsed="false">
      <c r="A658" s="4" t="s">
        <v>2332</v>
      </c>
      <c r="B658" s="8" t="s">
        <v>2333</v>
      </c>
      <c r="C658" s="8"/>
      <c r="D658" s="8"/>
      <c r="E658" s="8" t="s">
        <v>68</v>
      </c>
      <c r="F658" s="8" t="s">
        <v>2334</v>
      </c>
      <c r="G658" s="8" t="s">
        <v>2335</v>
      </c>
      <c r="H658" s="8"/>
      <c r="I658" s="8" t="s">
        <v>2336</v>
      </c>
      <c r="J658" s="8" t="s">
        <v>64</v>
      </c>
      <c r="K658" s="8" t="s">
        <v>1191</v>
      </c>
      <c r="L658" s="8" t="s">
        <v>688</v>
      </c>
      <c r="M658" s="8"/>
      <c r="N658" s="8" t="s">
        <v>62</v>
      </c>
      <c r="O658" s="8" t="s">
        <v>63</v>
      </c>
      <c r="P658" s="4" t="n">
        <v>33</v>
      </c>
      <c r="Q658" s="8"/>
      <c r="R658" s="4" t="s">
        <v>2333</v>
      </c>
      <c r="S658" s="4"/>
    </row>
    <row r="659" customFormat="false" ht="15" hidden="false" customHeight="false" outlineLevel="0" collapsed="false">
      <c r="A659" s="4" t="s">
        <v>2337</v>
      </c>
      <c r="B659" s="8" t="s">
        <v>2338</v>
      </c>
      <c r="C659" s="8"/>
      <c r="D659" s="8"/>
      <c r="E659" s="8"/>
      <c r="F659" s="8"/>
      <c r="G659" s="8"/>
      <c r="H659" s="8"/>
      <c r="I659" s="8" t="s">
        <v>2339</v>
      </c>
      <c r="J659" s="8" t="s">
        <v>64</v>
      </c>
      <c r="K659" s="8" t="s">
        <v>2340</v>
      </c>
      <c r="L659" s="8"/>
      <c r="M659" s="8"/>
      <c r="N659" s="8" t="s">
        <v>62</v>
      </c>
      <c r="O659" s="8" t="s">
        <v>63</v>
      </c>
      <c r="P659" s="4" t="n">
        <v>33</v>
      </c>
      <c r="Q659" s="8"/>
      <c r="R659" s="4" t="s">
        <v>2338</v>
      </c>
      <c r="S659" s="4"/>
    </row>
    <row r="660" customFormat="false" ht="15" hidden="false" customHeight="false" outlineLevel="0" collapsed="false">
      <c r="A660" s="4" t="s">
        <v>2341</v>
      </c>
      <c r="B660" s="8" t="s">
        <v>2342</v>
      </c>
      <c r="C660" s="8" t="s">
        <v>58</v>
      </c>
      <c r="D660" s="8"/>
      <c r="E660" s="8" t="s">
        <v>60</v>
      </c>
      <c r="F660" s="8"/>
      <c r="G660" s="8"/>
      <c r="H660" s="8"/>
      <c r="I660" s="8" t="s">
        <v>2343</v>
      </c>
      <c r="J660" s="8" t="s">
        <v>64</v>
      </c>
      <c r="K660" s="8" t="s">
        <v>2340</v>
      </c>
      <c r="L660" s="8"/>
      <c r="M660" s="8"/>
      <c r="N660" s="8" t="s">
        <v>62</v>
      </c>
      <c r="O660" s="8" t="s">
        <v>63</v>
      </c>
      <c r="P660" s="4" t="n">
        <v>33</v>
      </c>
      <c r="Q660" s="8"/>
      <c r="R660" s="4" t="s">
        <v>2344</v>
      </c>
      <c r="S660" s="4"/>
    </row>
    <row r="661" customFormat="false" ht="15" hidden="false" customHeight="false" outlineLevel="0" collapsed="false">
      <c r="A661" s="4" t="s">
        <v>2345</v>
      </c>
      <c r="B661" s="8" t="s">
        <v>319</v>
      </c>
      <c r="C661" s="8"/>
      <c r="D661" s="8"/>
      <c r="E661" s="8"/>
      <c r="F661" s="8"/>
      <c r="G661" s="8"/>
      <c r="H661" s="8"/>
      <c r="I661" s="8" t="s">
        <v>2346</v>
      </c>
      <c r="J661" s="8" t="s">
        <v>64</v>
      </c>
      <c r="K661" s="8" t="s">
        <v>2340</v>
      </c>
      <c r="L661" s="8"/>
      <c r="M661" s="8"/>
      <c r="N661" s="8" t="s">
        <v>62</v>
      </c>
      <c r="O661" s="8" t="s">
        <v>63</v>
      </c>
      <c r="P661" s="4" t="n">
        <v>33</v>
      </c>
      <c r="Q661" s="8"/>
      <c r="R661" s="4" t="s">
        <v>319</v>
      </c>
      <c r="S661" s="4"/>
    </row>
    <row r="662" customFormat="false" ht="15" hidden="false" customHeight="false" outlineLevel="0" collapsed="false">
      <c r="A662" s="4" t="s">
        <v>2347</v>
      </c>
      <c r="B662" s="8" t="s">
        <v>2348</v>
      </c>
      <c r="C662" s="8"/>
      <c r="D662" s="8"/>
      <c r="E662" s="8"/>
      <c r="F662" s="8"/>
      <c r="G662" s="8"/>
      <c r="H662" s="8"/>
      <c r="I662" s="8" t="s">
        <v>2349</v>
      </c>
      <c r="J662" s="8" t="s">
        <v>64</v>
      </c>
      <c r="K662" s="8" t="s">
        <v>2340</v>
      </c>
      <c r="L662" s="8"/>
      <c r="M662" s="8"/>
      <c r="N662" s="8" t="s">
        <v>62</v>
      </c>
      <c r="O662" s="8" t="s">
        <v>63</v>
      </c>
      <c r="P662" s="4" t="n">
        <v>33</v>
      </c>
      <c r="Q662" s="8"/>
      <c r="R662" s="4" t="s">
        <v>2348</v>
      </c>
      <c r="S662" s="4"/>
    </row>
    <row r="663" customFormat="false" ht="15" hidden="false" customHeight="false" outlineLevel="0" collapsed="false">
      <c r="A663" s="4" t="s">
        <v>2350</v>
      </c>
      <c r="B663" s="8" t="s">
        <v>2351</v>
      </c>
      <c r="C663" s="8"/>
      <c r="D663" s="8"/>
      <c r="E663" s="8"/>
      <c r="F663" s="8"/>
      <c r="G663" s="8"/>
      <c r="H663" s="8"/>
      <c r="I663" s="8" t="s">
        <v>2352</v>
      </c>
      <c r="J663" s="8" t="s">
        <v>64</v>
      </c>
      <c r="K663" s="8" t="s">
        <v>2340</v>
      </c>
      <c r="L663" s="8"/>
      <c r="M663" s="8"/>
      <c r="N663" s="8" t="s">
        <v>62</v>
      </c>
      <c r="O663" s="8" t="s">
        <v>63</v>
      </c>
      <c r="P663" s="4" t="n">
        <v>33</v>
      </c>
      <c r="Q663" s="8"/>
      <c r="R663" s="4" t="s">
        <v>2351</v>
      </c>
      <c r="S663" s="4" t="n">
        <v>330</v>
      </c>
    </row>
    <row r="664" customFormat="false" ht="15" hidden="false" customHeight="false" outlineLevel="0" collapsed="false">
      <c r="A664" s="4" t="s">
        <v>2353</v>
      </c>
      <c r="B664" s="8" t="s">
        <v>2354</v>
      </c>
      <c r="C664" s="8"/>
      <c r="D664" s="8"/>
      <c r="E664" s="8"/>
      <c r="F664" s="8"/>
      <c r="G664" s="8"/>
      <c r="H664" s="8"/>
      <c r="I664" s="8" t="s">
        <v>2355</v>
      </c>
      <c r="J664" s="8" t="s">
        <v>64</v>
      </c>
      <c r="K664" s="8" t="s">
        <v>2340</v>
      </c>
      <c r="L664" s="8"/>
      <c r="M664" s="8"/>
      <c r="N664" s="8" t="s">
        <v>62</v>
      </c>
      <c r="O664" s="8" t="s">
        <v>63</v>
      </c>
      <c r="P664" s="4" t="n">
        <v>33</v>
      </c>
      <c r="Q664" s="8"/>
      <c r="R664" s="4" t="s">
        <v>2354</v>
      </c>
      <c r="S664" s="4"/>
    </row>
    <row r="665" customFormat="false" ht="15" hidden="false" customHeight="false" outlineLevel="0" collapsed="false">
      <c r="A665" s="4" t="s">
        <v>2356</v>
      </c>
      <c r="B665" s="8" t="s">
        <v>2357</v>
      </c>
      <c r="C665" s="8"/>
      <c r="D665" s="8"/>
      <c r="E665" s="8"/>
      <c r="F665" s="8"/>
      <c r="G665" s="8"/>
      <c r="H665" s="8"/>
      <c r="I665" s="8" t="s">
        <v>2358</v>
      </c>
      <c r="J665" s="8" t="s">
        <v>64</v>
      </c>
      <c r="K665" s="8" t="s">
        <v>2340</v>
      </c>
      <c r="L665" s="8"/>
      <c r="M665" s="8"/>
      <c r="N665" s="8" t="s">
        <v>62</v>
      </c>
      <c r="O665" s="8" t="s">
        <v>63</v>
      </c>
      <c r="P665" s="4" t="n">
        <v>33</v>
      </c>
      <c r="Q665" s="8"/>
      <c r="R665" s="4" t="s">
        <v>2357</v>
      </c>
      <c r="S665" s="4"/>
    </row>
    <row r="666" customFormat="false" ht="15" hidden="false" customHeight="false" outlineLevel="0" collapsed="false">
      <c r="A666" s="4" t="s">
        <v>2359</v>
      </c>
      <c r="B666" s="8" t="s">
        <v>2360</v>
      </c>
      <c r="C666" s="8"/>
      <c r="D666" s="8"/>
      <c r="E666" s="8"/>
      <c r="F666" s="8"/>
      <c r="G666" s="8"/>
      <c r="H666" s="8"/>
      <c r="I666" s="8" t="s">
        <v>2361</v>
      </c>
      <c r="J666" s="8" t="s">
        <v>64</v>
      </c>
      <c r="K666" s="8" t="s">
        <v>2340</v>
      </c>
      <c r="L666" s="8"/>
      <c r="M666" s="8"/>
      <c r="N666" s="8" t="s">
        <v>62</v>
      </c>
      <c r="O666" s="8" t="s">
        <v>63</v>
      </c>
      <c r="P666" s="4" t="n">
        <v>33</v>
      </c>
      <c r="Q666" s="8"/>
      <c r="R666" s="4" t="s">
        <v>2360</v>
      </c>
      <c r="S666" s="4"/>
    </row>
    <row r="667" customFormat="false" ht="15" hidden="false" customHeight="false" outlineLevel="0" collapsed="false">
      <c r="A667" s="4" t="s">
        <v>2362</v>
      </c>
      <c r="B667" s="8" t="s">
        <v>2363</v>
      </c>
      <c r="C667" s="8" t="s">
        <v>58</v>
      </c>
      <c r="D667" s="8"/>
      <c r="E667" s="8" t="s">
        <v>60</v>
      </c>
      <c r="F667" s="8"/>
      <c r="G667" s="8"/>
      <c r="H667" s="8"/>
      <c r="I667" s="8" t="s">
        <v>2364</v>
      </c>
      <c r="J667" s="8" t="s">
        <v>64</v>
      </c>
      <c r="K667" s="8" t="s">
        <v>2340</v>
      </c>
      <c r="L667" s="8"/>
      <c r="M667" s="8"/>
      <c r="N667" s="8" t="s">
        <v>62</v>
      </c>
      <c r="O667" s="8" t="s">
        <v>63</v>
      </c>
      <c r="P667" s="4" t="n">
        <v>33</v>
      </c>
      <c r="Q667" s="8"/>
      <c r="R667" s="4" t="s">
        <v>2365</v>
      </c>
      <c r="S667" s="4"/>
    </row>
    <row r="668" customFormat="false" ht="15" hidden="false" customHeight="false" outlineLevel="0" collapsed="false">
      <c r="A668" s="4" t="s">
        <v>2366</v>
      </c>
      <c r="B668" s="8" t="s">
        <v>2367</v>
      </c>
      <c r="C668" s="8"/>
      <c r="D668" s="8"/>
      <c r="E668" s="8"/>
      <c r="F668" s="8"/>
      <c r="G668" s="8"/>
      <c r="H668" s="8"/>
      <c r="I668" s="8" t="s">
        <v>2368</v>
      </c>
      <c r="J668" s="8" t="s">
        <v>64</v>
      </c>
      <c r="K668" s="8" t="s">
        <v>2340</v>
      </c>
      <c r="L668" s="8"/>
      <c r="M668" s="8"/>
      <c r="N668" s="8" t="s">
        <v>62</v>
      </c>
      <c r="O668" s="8" t="s">
        <v>63</v>
      </c>
      <c r="P668" s="4" t="n">
        <v>33</v>
      </c>
      <c r="Q668" s="8"/>
      <c r="R668" s="4" t="s">
        <v>2367</v>
      </c>
      <c r="S668" s="4"/>
    </row>
    <row r="669" customFormat="false" ht="15" hidden="false" customHeight="false" outlineLevel="0" collapsed="false">
      <c r="A669" s="4" t="s">
        <v>2369</v>
      </c>
      <c r="B669" s="8" t="s">
        <v>2370</v>
      </c>
      <c r="C669" s="8"/>
      <c r="D669" s="8"/>
      <c r="E669" s="8"/>
      <c r="F669" s="8"/>
      <c r="G669" s="8"/>
      <c r="H669" s="8"/>
      <c r="I669" s="8" t="s">
        <v>2371</v>
      </c>
      <c r="J669" s="8" t="s">
        <v>64</v>
      </c>
      <c r="K669" s="8" t="s">
        <v>2340</v>
      </c>
      <c r="L669" s="8"/>
      <c r="M669" s="8"/>
      <c r="N669" s="8" t="s">
        <v>62</v>
      </c>
      <c r="O669" s="8" t="s">
        <v>63</v>
      </c>
      <c r="P669" s="4" t="n">
        <v>33</v>
      </c>
      <c r="Q669" s="8"/>
      <c r="R669" s="4" t="s">
        <v>2370</v>
      </c>
      <c r="S669" s="4"/>
    </row>
    <row r="670" customFormat="false" ht="15" hidden="false" customHeight="false" outlineLevel="0" collapsed="false">
      <c r="A670" s="4" t="s">
        <v>2372</v>
      </c>
      <c r="B670" s="8" t="s">
        <v>2373</v>
      </c>
      <c r="C670" s="8"/>
      <c r="D670" s="8"/>
      <c r="E670" s="8" t="s">
        <v>68</v>
      </c>
      <c r="F670" s="8" t="s">
        <v>2374</v>
      </c>
      <c r="G670" s="8" t="s">
        <v>2375</v>
      </c>
      <c r="H670" s="8"/>
      <c r="I670" s="8" t="s">
        <v>2376</v>
      </c>
      <c r="J670" s="8" t="s">
        <v>64</v>
      </c>
      <c r="K670" s="8" t="s">
        <v>2340</v>
      </c>
      <c r="L670" s="8" t="s">
        <v>688</v>
      </c>
      <c r="M670" s="8"/>
      <c r="N670" s="8" t="s">
        <v>62</v>
      </c>
      <c r="O670" s="8" t="s">
        <v>63</v>
      </c>
      <c r="P670" s="4" t="n">
        <v>33</v>
      </c>
      <c r="Q670" s="8"/>
      <c r="R670" s="4" t="s">
        <v>2373</v>
      </c>
      <c r="S670" s="4"/>
    </row>
    <row r="671" customFormat="false" ht="15" hidden="false" customHeight="false" outlineLevel="0" collapsed="false">
      <c r="A671" s="4" t="s">
        <v>2377</v>
      </c>
      <c r="B671" s="8" t="s">
        <v>2378</v>
      </c>
      <c r="C671" s="8"/>
      <c r="D671" s="8"/>
      <c r="E671" s="8" t="s">
        <v>68</v>
      </c>
      <c r="F671" s="8" t="s">
        <v>2379</v>
      </c>
      <c r="G671" s="8" t="s">
        <v>2380</v>
      </c>
      <c r="H671" s="8"/>
      <c r="I671" s="8" t="s">
        <v>2381</v>
      </c>
      <c r="J671" s="8" t="s">
        <v>64</v>
      </c>
      <c r="K671" s="8" t="s">
        <v>2340</v>
      </c>
      <c r="L671" s="8" t="s">
        <v>688</v>
      </c>
      <c r="M671" s="8"/>
      <c r="N671" s="8" t="s">
        <v>62</v>
      </c>
      <c r="O671" s="8" t="s">
        <v>63</v>
      </c>
      <c r="P671" s="4" t="n">
        <v>33</v>
      </c>
      <c r="Q671" s="8"/>
      <c r="R671" s="4" t="s">
        <v>2378</v>
      </c>
      <c r="S671" s="4"/>
    </row>
    <row r="672" customFormat="false" ht="15" hidden="false" customHeight="false" outlineLevel="0" collapsed="false">
      <c r="A672" s="4" t="s">
        <v>2382</v>
      </c>
      <c r="B672" s="8" t="s">
        <v>2181</v>
      </c>
      <c r="C672" s="8"/>
      <c r="D672" s="8"/>
      <c r="E672" s="8" t="s">
        <v>68</v>
      </c>
      <c r="F672" s="8" t="s">
        <v>2182</v>
      </c>
      <c r="G672" s="8" t="s">
        <v>2183</v>
      </c>
      <c r="H672" s="8"/>
      <c r="I672" s="8" t="s">
        <v>2184</v>
      </c>
      <c r="J672" s="8" t="s">
        <v>64</v>
      </c>
      <c r="K672" s="8" t="s">
        <v>2340</v>
      </c>
      <c r="L672" s="8" t="s">
        <v>688</v>
      </c>
      <c r="M672" s="8"/>
      <c r="N672" s="8" t="s">
        <v>62</v>
      </c>
      <c r="O672" s="8" t="s">
        <v>63</v>
      </c>
      <c r="P672" s="4" t="n">
        <v>33</v>
      </c>
      <c r="Q672" s="8"/>
      <c r="R672" s="4" t="s">
        <v>2181</v>
      </c>
      <c r="S672" s="4"/>
    </row>
    <row r="673" customFormat="false" ht="15" hidden="false" customHeight="false" outlineLevel="0" collapsed="false">
      <c r="A673" s="4" t="s">
        <v>2383</v>
      </c>
      <c r="B673" s="8" t="s">
        <v>2384</v>
      </c>
      <c r="C673" s="8"/>
      <c r="D673" s="8"/>
      <c r="E673" s="8" t="s">
        <v>68</v>
      </c>
      <c r="F673" s="8" t="s">
        <v>2385</v>
      </c>
      <c r="G673" s="8" t="s">
        <v>2386</v>
      </c>
      <c r="H673" s="8"/>
      <c r="I673" s="8" t="s">
        <v>2387</v>
      </c>
      <c r="J673" s="8" t="s">
        <v>64</v>
      </c>
      <c r="K673" s="8" t="s">
        <v>2340</v>
      </c>
      <c r="L673" s="8" t="s">
        <v>688</v>
      </c>
      <c r="M673" s="8"/>
      <c r="N673" s="8" t="s">
        <v>62</v>
      </c>
      <c r="O673" s="8" t="s">
        <v>63</v>
      </c>
      <c r="P673" s="4" t="n">
        <v>33</v>
      </c>
      <c r="Q673" s="8"/>
      <c r="R673" s="4" t="s">
        <v>2384</v>
      </c>
      <c r="S673" s="4"/>
    </row>
    <row r="674" customFormat="false" ht="26.85" hidden="false" customHeight="false" outlineLevel="0" collapsed="false">
      <c r="A674" s="4" t="s">
        <v>2388</v>
      </c>
      <c r="B674" s="8" t="s">
        <v>2389</v>
      </c>
      <c r="C674" s="8"/>
      <c r="D674" s="8"/>
      <c r="E674" s="8" t="s">
        <v>68</v>
      </c>
      <c r="F674" s="8" t="s">
        <v>2390</v>
      </c>
      <c r="G674" s="8" t="s">
        <v>2391</v>
      </c>
      <c r="H674" s="8"/>
      <c r="I674" s="8" t="s">
        <v>2392</v>
      </c>
      <c r="J674" s="8" t="s">
        <v>64</v>
      </c>
      <c r="K674" s="8" t="s">
        <v>2340</v>
      </c>
      <c r="L674" s="8" t="s">
        <v>688</v>
      </c>
      <c r="M674" s="8"/>
      <c r="N674" s="8" t="s">
        <v>62</v>
      </c>
      <c r="O674" s="8" t="s">
        <v>63</v>
      </c>
      <c r="P674" s="4" t="n">
        <v>33</v>
      </c>
      <c r="Q674" s="8"/>
      <c r="R674" s="4" t="s">
        <v>2389</v>
      </c>
      <c r="S674" s="4"/>
    </row>
    <row r="675" customFormat="false" ht="15" hidden="false" customHeight="false" outlineLevel="0" collapsed="false">
      <c r="A675" s="4" t="s">
        <v>2393</v>
      </c>
      <c r="B675" s="8" t="s">
        <v>2394</v>
      </c>
      <c r="C675" s="8"/>
      <c r="D675" s="8"/>
      <c r="E675" s="8" t="s">
        <v>68</v>
      </c>
      <c r="F675" s="8" t="s">
        <v>2395</v>
      </c>
      <c r="G675" s="8" t="s">
        <v>2396</v>
      </c>
      <c r="H675" s="8"/>
      <c r="I675" s="8" t="s">
        <v>2397</v>
      </c>
      <c r="J675" s="8" t="s">
        <v>64</v>
      </c>
      <c r="K675" s="8" t="s">
        <v>2340</v>
      </c>
      <c r="L675" s="8" t="s">
        <v>688</v>
      </c>
      <c r="M675" s="8"/>
      <c r="N675" s="8" t="s">
        <v>62</v>
      </c>
      <c r="O675" s="8" t="s">
        <v>63</v>
      </c>
      <c r="P675" s="4" t="n">
        <v>33</v>
      </c>
      <c r="Q675" s="8"/>
      <c r="R675" s="4" t="s">
        <v>2394</v>
      </c>
      <c r="S675" s="4"/>
    </row>
    <row r="676" customFormat="false" ht="15" hidden="false" customHeight="false" outlineLevel="0" collapsed="false">
      <c r="A676" s="4" t="s">
        <v>2398</v>
      </c>
      <c r="B676" s="8" t="s">
        <v>2399</v>
      </c>
      <c r="C676" s="8"/>
      <c r="D676" s="8"/>
      <c r="E676" s="8" t="s">
        <v>68</v>
      </c>
      <c r="F676" s="8" t="s">
        <v>2400</v>
      </c>
      <c r="G676" s="8" t="s">
        <v>1173</v>
      </c>
      <c r="H676" s="8"/>
      <c r="I676" s="8" t="s">
        <v>2401</v>
      </c>
      <c r="J676" s="8" t="s">
        <v>64</v>
      </c>
      <c r="K676" s="8" t="s">
        <v>2340</v>
      </c>
      <c r="L676" s="8" t="s">
        <v>688</v>
      </c>
      <c r="M676" s="8"/>
      <c r="N676" s="8" t="s">
        <v>62</v>
      </c>
      <c r="O676" s="8" t="s">
        <v>63</v>
      </c>
      <c r="P676" s="4" t="n">
        <v>33</v>
      </c>
      <c r="Q676" s="8"/>
      <c r="R676" s="4" t="s">
        <v>2399</v>
      </c>
      <c r="S676" s="4" t="n">
        <v>1045</v>
      </c>
    </row>
    <row r="677" customFormat="false" ht="15" hidden="false" customHeight="false" outlineLevel="0" collapsed="false">
      <c r="A677" s="4" t="s">
        <v>2402</v>
      </c>
      <c r="B677" s="8" t="s">
        <v>2201</v>
      </c>
      <c r="C677" s="8"/>
      <c r="D677" s="8"/>
      <c r="E677" s="8" t="s">
        <v>68</v>
      </c>
      <c r="F677" s="8" t="s">
        <v>2202</v>
      </c>
      <c r="G677" s="8" t="s">
        <v>2203</v>
      </c>
      <c r="H677" s="8"/>
      <c r="I677" s="8" t="s">
        <v>2204</v>
      </c>
      <c r="J677" s="8" t="s">
        <v>64</v>
      </c>
      <c r="K677" s="8" t="s">
        <v>2340</v>
      </c>
      <c r="L677" s="8" t="s">
        <v>688</v>
      </c>
      <c r="M677" s="8"/>
      <c r="N677" s="8" t="s">
        <v>62</v>
      </c>
      <c r="O677" s="8" t="s">
        <v>63</v>
      </c>
      <c r="P677" s="4" t="n">
        <v>33</v>
      </c>
      <c r="Q677" s="8"/>
      <c r="R677" s="4" t="s">
        <v>2201</v>
      </c>
      <c r="S677" s="4" t="n">
        <v>302</v>
      </c>
    </row>
    <row r="678" customFormat="false" ht="15" hidden="false" customHeight="false" outlineLevel="0" collapsed="false">
      <c r="A678" s="4" t="s">
        <v>2403</v>
      </c>
      <c r="B678" s="8" t="s">
        <v>2404</v>
      </c>
      <c r="C678" s="8"/>
      <c r="D678" s="8"/>
      <c r="E678" s="8" t="s">
        <v>68</v>
      </c>
      <c r="F678" s="8" t="s">
        <v>2405</v>
      </c>
      <c r="G678" s="8" t="s">
        <v>2406</v>
      </c>
      <c r="H678" s="8"/>
      <c r="I678" s="8" t="s">
        <v>2407</v>
      </c>
      <c r="J678" s="8" t="s">
        <v>64</v>
      </c>
      <c r="K678" s="8" t="s">
        <v>2340</v>
      </c>
      <c r="L678" s="8" t="s">
        <v>688</v>
      </c>
      <c r="M678" s="8"/>
      <c r="N678" s="8" t="s">
        <v>62</v>
      </c>
      <c r="O678" s="8" t="s">
        <v>63</v>
      </c>
      <c r="P678" s="4" t="n">
        <v>33</v>
      </c>
      <c r="Q678" s="8"/>
      <c r="R678" s="4" t="s">
        <v>2404</v>
      </c>
      <c r="S678" s="4"/>
    </row>
    <row r="679" customFormat="false" ht="15" hidden="false" customHeight="false" outlineLevel="0" collapsed="false">
      <c r="A679" s="4" t="s">
        <v>2408</v>
      </c>
      <c r="B679" s="8" t="s">
        <v>2409</v>
      </c>
      <c r="C679" s="8"/>
      <c r="D679" s="8"/>
      <c r="E679" s="8" t="s">
        <v>68</v>
      </c>
      <c r="F679" s="8" t="s">
        <v>2410</v>
      </c>
      <c r="G679" s="8" t="s">
        <v>2411</v>
      </c>
      <c r="H679" s="8"/>
      <c r="I679" s="8" t="s">
        <v>2412</v>
      </c>
      <c r="J679" s="8" t="s">
        <v>64</v>
      </c>
      <c r="K679" s="8" t="s">
        <v>2340</v>
      </c>
      <c r="L679" s="8" t="s">
        <v>688</v>
      </c>
      <c r="M679" s="8"/>
      <c r="N679" s="8" t="s">
        <v>62</v>
      </c>
      <c r="O679" s="8" t="s">
        <v>63</v>
      </c>
      <c r="P679" s="4" t="n">
        <v>33</v>
      </c>
      <c r="Q679" s="8"/>
      <c r="R679" s="4" t="s">
        <v>2409</v>
      </c>
      <c r="S679" s="4"/>
    </row>
    <row r="680" customFormat="false" ht="15" hidden="false" customHeight="false" outlineLevel="0" collapsed="false">
      <c r="A680" s="4" t="s">
        <v>2413</v>
      </c>
      <c r="B680" s="8" t="s">
        <v>2414</v>
      </c>
      <c r="C680" s="8"/>
      <c r="D680" s="8"/>
      <c r="E680" s="8" t="s">
        <v>68</v>
      </c>
      <c r="F680" s="8" t="s">
        <v>2415</v>
      </c>
      <c r="G680" s="8" t="s">
        <v>2416</v>
      </c>
      <c r="H680" s="8"/>
      <c r="I680" s="8" t="s">
        <v>2417</v>
      </c>
      <c r="J680" s="8" t="s">
        <v>64</v>
      </c>
      <c r="K680" s="8" t="s">
        <v>2340</v>
      </c>
      <c r="L680" s="8" t="s">
        <v>688</v>
      </c>
      <c r="M680" s="8"/>
      <c r="N680" s="8" t="s">
        <v>62</v>
      </c>
      <c r="O680" s="8" t="s">
        <v>63</v>
      </c>
      <c r="P680" s="4" t="n">
        <v>33</v>
      </c>
      <c r="Q680" s="8"/>
      <c r="R680" s="4" t="s">
        <v>2414</v>
      </c>
      <c r="S680" s="4"/>
    </row>
    <row r="681" customFormat="false" ht="15" hidden="false" customHeight="false" outlineLevel="0" collapsed="false">
      <c r="A681" s="4" t="s">
        <v>2418</v>
      </c>
      <c r="B681" s="8" t="s">
        <v>2419</v>
      </c>
      <c r="C681" s="8"/>
      <c r="D681" s="8"/>
      <c r="E681" s="8" t="s">
        <v>68</v>
      </c>
      <c r="F681" s="8" t="s">
        <v>2420</v>
      </c>
      <c r="G681" s="8" t="s">
        <v>2421</v>
      </c>
      <c r="H681" s="8" t="s">
        <v>704</v>
      </c>
      <c r="I681" s="8" t="s">
        <v>2422</v>
      </c>
      <c r="J681" s="8" t="s">
        <v>64</v>
      </c>
      <c r="K681" s="8" t="s">
        <v>2340</v>
      </c>
      <c r="L681" s="8" t="s">
        <v>688</v>
      </c>
      <c r="M681" s="8"/>
      <c r="N681" s="8" t="s">
        <v>62</v>
      </c>
      <c r="O681" s="8" t="s">
        <v>63</v>
      </c>
      <c r="P681" s="4" t="n">
        <v>33</v>
      </c>
      <c r="Q681" s="8"/>
      <c r="R681" s="4" t="s">
        <v>2419</v>
      </c>
      <c r="S681" s="4"/>
    </row>
    <row r="682" customFormat="false" ht="15" hidden="false" customHeight="false" outlineLevel="0" collapsed="false">
      <c r="A682" s="4" t="s">
        <v>2423</v>
      </c>
      <c r="B682" s="8" t="s">
        <v>2424</v>
      </c>
      <c r="C682" s="8"/>
      <c r="D682" s="8"/>
      <c r="E682" s="8"/>
      <c r="F682" s="8"/>
      <c r="G682" s="8"/>
      <c r="H682" s="8"/>
      <c r="I682" s="8" t="s">
        <v>2425</v>
      </c>
      <c r="J682" s="8" t="s">
        <v>64</v>
      </c>
      <c r="K682" s="8" t="s">
        <v>2340</v>
      </c>
      <c r="L682" s="8" t="s">
        <v>688</v>
      </c>
      <c r="M682" s="8"/>
      <c r="N682" s="8" t="s">
        <v>62</v>
      </c>
      <c r="O682" s="8" t="s">
        <v>63</v>
      </c>
      <c r="P682" s="4" t="n">
        <v>33</v>
      </c>
      <c r="Q682" s="8"/>
      <c r="R682" s="4" t="s">
        <v>2424</v>
      </c>
      <c r="S682" s="4"/>
    </row>
    <row r="683" customFormat="false" ht="15" hidden="false" customHeight="false" outlineLevel="0" collapsed="false">
      <c r="A683" s="4" t="s">
        <v>2426</v>
      </c>
      <c r="B683" s="8" t="s">
        <v>2427</v>
      </c>
      <c r="C683" s="8"/>
      <c r="D683" s="8"/>
      <c r="E683" s="8"/>
      <c r="F683" s="8"/>
      <c r="G683" s="8"/>
      <c r="H683" s="8"/>
      <c r="I683" s="8" t="s">
        <v>2428</v>
      </c>
      <c r="J683" s="8" t="s">
        <v>64</v>
      </c>
      <c r="K683" s="8" t="s">
        <v>2340</v>
      </c>
      <c r="L683" s="8" t="s">
        <v>688</v>
      </c>
      <c r="M683" s="8"/>
      <c r="N683" s="8" t="s">
        <v>62</v>
      </c>
      <c r="O683" s="8" t="s">
        <v>63</v>
      </c>
      <c r="P683" s="4" t="n">
        <v>33</v>
      </c>
      <c r="Q683" s="8"/>
      <c r="R683" s="4" t="s">
        <v>2427</v>
      </c>
      <c r="S683" s="4"/>
    </row>
    <row r="684" customFormat="false" ht="15" hidden="false" customHeight="false" outlineLevel="0" collapsed="false">
      <c r="A684" s="4" t="s">
        <v>2429</v>
      </c>
      <c r="B684" s="8" t="s">
        <v>2237</v>
      </c>
      <c r="C684" s="8"/>
      <c r="D684" s="8"/>
      <c r="E684" s="8" t="s">
        <v>68</v>
      </c>
      <c r="F684" s="8" t="s">
        <v>2238</v>
      </c>
      <c r="G684" s="8" t="s">
        <v>2239</v>
      </c>
      <c r="H684" s="8"/>
      <c r="I684" s="8" t="s">
        <v>2240</v>
      </c>
      <c r="J684" s="8" t="s">
        <v>64</v>
      </c>
      <c r="K684" s="8" t="s">
        <v>2340</v>
      </c>
      <c r="L684" s="8" t="s">
        <v>688</v>
      </c>
      <c r="M684" s="8"/>
      <c r="N684" s="8" t="s">
        <v>62</v>
      </c>
      <c r="O684" s="8" t="s">
        <v>63</v>
      </c>
      <c r="P684" s="4" t="n">
        <v>33</v>
      </c>
      <c r="Q684" s="8"/>
      <c r="R684" s="4" t="s">
        <v>2237</v>
      </c>
      <c r="S684" s="4" t="n">
        <v>1991</v>
      </c>
    </row>
    <row r="685" customFormat="false" ht="15" hidden="false" customHeight="false" outlineLevel="0" collapsed="false">
      <c r="A685" s="4" t="s">
        <v>2430</v>
      </c>
      <c r="B685" s="8" t="s">
        <v>1568</v>
      </c>
      <c r="C685" s="8"/>
      <c r="D685" s="8"/>
      <c r="E685" s="8" t="s">
        <v>68</v>
      </c>
      <c r="F685" s="8" t="s">
        <v>1569</v>
      </c>
      <c r="G685" s="8" t="s">
        <v>1570</v>
      </c>
      <c r="H685" s="8"/>
      <c r="I685" s="8" t="s">
        <v>1571</v>
      </c>
      <c r="J685" s="8" t="s">
        <v>64</v>
      </c>
      <c r="K685" s="8" t="s">
        <v>2340</v>
      </c>
      <c r="L685" s="8" t="s">
        <v>688</v>
      </c>
      <c r="M685" s="8"/>
      <c r="N685" s="8" t="s">
        <v>62</v>
      </c>
      <c r="O685" s="8" t="s">
        <v>63</v>
      </c>
      <c r="P685" s="4" t="n">
        <v>33</v>
      </c>
      <c r="Q685" s="8"/>
      <c r="R685" s="4" t="s">
        <v>1568</v>
      </c>
      <c r="S685" s="4"/>
    </row>
    <row r="686" customFormat="false" ht="15" hidden="false" customHeight="false" outlineLevel="0" collapsed="false">
      <c r="A686" s="4" t="s">
        <v>2431</v>
      </c>
      <c r="B686" s="8" t="s">
        <v>727</v>
      </c>
      <c r="C686" s="8"/>
      <c r="D686" s="8"/>
      <c r="E686" s="8" t="s">
        <v>68</v>
      </c>
      <c r="F686" s="8" t="s">
        <v>728</v>
      </c>
      <c r="G686" s="8" t="s">
        <v>729</v>
      </c>
      <c r="H686" s="8" t="s">
        <v>704</v>
      </c>
      <c r="I686" s="8" t="s">
        <v>2432</v>
      </c>
      <c r="J686" s="8" t="s">
        <v>64</v>
      </c>
      <c r="K686" s="8" t="s">
        <v>2340</v>
      </c>
      <c r="L686" s="8" t="s">
        <v>688</v>
      </c>
      <c r="M686" s="8"/>
      <c r="N686" s="8" t="s">
        <v>62</v>
      </c>
      <c r="O686" s="8" t="s">
        <v>63</v>
      </c>
      <c r="P686" s="4" t="n">
        <v>33</v>
      </c>
      <c r="Q686" s="8"/>
      <c r="R686" s="4" t="s">
        <v>727</v>
      </c>
      <c r="S686" s="4" t="n">
        <v>972</v>
      </c>
    </row>
    <row r="687" customFormat="false" ht="15" hidden="false" customHeight="false" outlineLevel="0" collapsed="false">
      <c r="A687" s="4" t="s">
        <v>2433</v>
      </c>
      <c r="B687" s="8" t="s">
        <v>2434</v>
      </c>
      <c r="C687" s="8"/>
      <c r="D687" s="8"/>
      <c r="E687" s="8" t="s">
        <v>68</v>
      </c>
      <c r="F687" s="8" t="s">
        <v>2435</v>
      </c>
      <c r="G687" s="8" t="s">
        <v>2436</v>
      </c>
      <c r="H687" s="8"/>
      <c r="I687" s="8" t="s">
        <v>2437</v>
      </c>
      <c r="J687" s="8" t="s">
        <v>64</v>
      </c>
      <c r="K687" s="8" t="s">
        <v>2340</v>
      </c>
      <c r="L687" s="8" t="s">
        <v>688</v>
      </c>
      <c r="M687" s="8"/>
      <c r="N687" s="8" t="s">
        <v>62</v>
      </c>
      <c r="O687" s="8" t="s">
        <v>63</v>
      </c>
      <c r="P687" s="4" t="n">
        <v>33</v>
      </c>
      <c r="Q687" s="8"/>
      <c r="R687" s="4" t="s">
        <v>2434</v>
      </c>
      <c r="S687" s="4"/>
    </row>
    <row r="688" customFormat="false" ht="15" hidden="false" customHeight="false" outlineLevel="0" collapsed="false">
      <c r="A688" s="4" t="s">
        <v>2438</v>
      </c>
      <c r="B688" s="8" t="s">
        <v>2257</v>
      </c>
      <c r="C688" s="8"/>
      <c r="D688" s="8"/>
      <c r="E688" s="8" t="s">
        <v>68</v>
      </c>
      <c r="F688" s="8" t="s">
        <v>2258</v>
      </c>
      <c r="G688" s="8" t="s">
        <v>2259</v>
      </c>
      <c r="H688" s="8"/>
      <c r="I688" s="8" t="s">
        <v>2260</v>
      </c>
      <c r="J688" s="8" t="s">
        <v>64</v>
      </c>
      <c r="K688" s="8" t="s">
        <v>2340</v>
      </c>
      <c r="L688" s="8" t="s">
        <v>688</v>
      </c>
      <c r="M688" s="8"/>
      <c r="N688" s="8" t="s">
        <v>62</v>
      </c>
      <c r="O688" s="8" t="s">
        <v>63</v>
      </c>
      <c r="P688" s="4" t="n">
        <v>33</v>
      </c>
      <c r="Q688" s="8"/>
      <c r="R688" s="4" t="s">
        <v>2257</v>
      </c>
      <c r="S688" s="4"/>
    </row>
    <row r="689" customFormat="false" ht="15" hidden="false" customHeight="false" outlineLevel="0" collapsed="false">
      <c r="A689" s="4" t="s">
        <v>2439</v>
      </c>
      <c r="B689" s="8" t="s">
        <v>2440</v>
      </c>
      <c r="C689" s="8"/>
      <c r="D689" s="8"/>
      <c r="E689" s="8" t="s">
        <v>68</v>
      </c>
      <c r="F689" s="8" t="s">
        <v>2441</v>
      </c>
      <c r="G689" s="8" t="s">
        <v>2442</v>
      </c>
      <c r="H689" s="8"/>
      <c r="I689" s="8" t="s">
        <v>2443</v>
      </c>
      <c r="J689" s="8" t="s">
        <v>64</v>
      </c>
      <c r="K689" s="8" t="s">
        <v>2340</v>
      </c>
      <c r="L689" s="8" t="s">
        <v>688</v>
      </c>
      <c r="M689" s="8"/>
      <c r="N689" s="8" t="s">
        <v>62</v>
      </c>
      <c r="O689" s="8" t="s">
        <v>63</v>
      </c>
      <c r="P689" s="4" t="n">
        <v>33</v>
      </c>
      <c r="Q689" s="8"/>
      <c r="R689" s="4" t="s">
        <v>2440</v>
      </c>
      <c r="S689" s="4"/>
    </row>
    <row r="690" customFormat="false" ht="15" hidden="false" customHeight="false" outlineLevel="0" collapsed="false">
      <c r="A690" s="4" t="s">
        <v>2444</v>
      </c>
      <c r="B690" s="8" t="s">
        <v>2262</v>
      </c>
      <c r="C690" s="8"/>
      <c r="D690" s="8"/>
      <c r="E690" s="8" t="s">
        <v>68</v>
      </c>
      <c r="F690" s="8" t="s">
        <v>2263</v>
      </c>
      <c r="G690" s="8" t="s">
        <v>2264</v>
      </c>
      <c r="H690" s="8"/>
      <c r="I690" s="8" t="s">
        <v>2265</v>
      </c>
      <c r="J690" s="8" t="s">
        <v>64</v>
      </c>
      <c r="K690" s="8" t="s">
        <v>2340</v>
      </c>
      <c r="L690" s="8" t="s">
        <v>688</v>
      </c>
      <c r="M690" s="8"/>
      <c r="N690" s="8" t="s">
        <v>62</v>
      </c>
      <c r="O690" s="8" t="s">
        <v>63</v>
      </c>
      <c r="P690" s="4" t="n">
        <v>33</v>
      </c>
      <c r="Q690" s="8"/>
      <c r="R690" s="4" t="s">
        <v>2262</v>
      </c>
      <c r="S690" s="4" t="n">
        <v>1576</v>
      </c>
    </row>
    <row r="691" customFormat="false" ht="15" hidden="false" customHeight="false" outlineLevel="0" collapsed="false">
      <c r="A691" s="4" t="s">
        <v>2445</v>
      </c>
      <c r="B691" s="8" t="s">
        <v>2446</v>
      </c>
      <c r="C691" s="8"/>
      <c r="D691" s="8"/>
      <c r="E691" s="8"/>
      <c r="F691" s="8"/>
      <c r="G691" s="8"/>
      <c r="H691" s="8"/>
      <c r="I691" s="8" t="s">
        <v>2447</v>
      </c>
      <c r="J691" s="8" t="s">
        <v>64</v>
      </c>
      <c r="K691" s="8" t="s">
        <v>2340</v>
      </c>
      <c r="L691" s="8" t="s">
        <v>688</v>
      </c>
      <c r="M691" s="8"/>
      <c r="N691" s="8" t="s">
        <v>62</v>
      </c>
      <c r="O691" s="8" t="s">
        <v>63</v>
      </c>
      <c r="P691" s="4" t="n">
        <v>34</v>
      </c>
      <c r="Q691" s="8"/>
      <c r="R691" s="4" t="s">
        <v>2446</v>
      </c>
      <c r="S691" s="4"/>
    </row>
    <row r="692" customFormat="false" ht="15" hidden="false" customHeight="false" outlineLevel="0" collapsed="false">
      <c r="A692" s="4" t="s">
        <v>2448</v>
      </c>
      <c r="B692" s="8" t="s">
        <v>2449</v>
      </c>
      <c r="C692" s="8"/>
      <c r="D692" s="8"/>
      <c r="E692" s="8"/>
      <c r="F692" s="8"/>
      <c r="G692" s="8"/>
      <c r="H692" s="8"/>
      <c r="I692" s="8" t="s">
        <v>2450</v>
      </c>
      <c r="J692" s="8" t="s">
        <v>64</v>
      </c>
      <c r="K692" s="8" t="s">
        <v>2340</v>
      </c>
      <c r="L692" s="8" t="s">
        <v>688</v>
      </c>
      <c r="M692" s="8"/>
      <c r="N692" s="8" t="s">
        <v>62</v>
      </c>
      <c r="O692" s="8" t="s">
        <v>63</v>
      </c>
      <c r="P692" s="4" t="n">
        <v>34</v>
      </c>
      <c r="Q692" s="8"/>
      <c r="R692" s="4" t="s">
        <v>2449</v>
      </c>
      <c r="S692" s="4"/>
    </row>
    <row r="693" customFormat="false" ht="15" hidden="false" customHeight="false" outlineLevel="0" collapsed="false">
      <c r="A693" s="4" t="s">
        <v>2451</v>
      </c>
      <c r="B693" s="8" t="s">
        <v>2452</v>
      </c>
      <c r="C693" s="8"/>
      <c r="D693" s="8"/>
      <c r="E693" s="8" t="s">
        <v>68</v>
      </c>
      <c r="F693" s="8" t="s">
        <v>2453</v>
      </c>
      <c r="G693" s="8" t="s">
        <v>2454</v>
      </c>
      <c r="H693" s="8"/>
      <c r="I693" s="8" t="s">
        <v>2455</v>
      </c>
      <c r="J693" s="8" t="s">
        <v>64</v>
      </c>
      <c r="K693" s="8" t="s">
        <v>2340</v>
      </c>
      <c r="L693" s="8" t="s">
        <v>688</v>
      </c>
      <c r="M693" s="8"/>
      <c r="N693" s="8" t="s">
        <v>62</v>
      </c>
      <c r="O693" s="8" t="s">
        <v>63</v>
      </c>
      <c r="P693" s="4" t="n">
        <v>34</v>
      </c>
      <c r="Q693" s="8"/>
      <c r="R693" s="4" t="s">
        <v>2452</v>
      </c>
      <c r="S693" s="4"/>
    </row>
    <row r="694" customFormat="false" ht="15" hidden="false" customHeight="false" outlineLevel="0" collapsed="false">
      <c r="A694" s="4" t="s">
        <v>2456</v>
      </c>
      <c r="B694" s="8" t="s">
        <v>2457</v>
      </c>
      <c r="C694" s="8"/>
      <c r="D694" s="8"/>
      <c r="E694" s="8" t="s">
        <v>68</v>
      </c>
      <c r="F694" s="8" t="s">
        <v>2458</v>
      </c>
      <c r="G694" s="8" t="s">
        <v>2459</v>
      </c>
      <c r="H694" s="8"/>
      <c r="I694" s="8" t="s">
        <v>2460</v>
      </c>
      <c r="J694" s="8" t="s">
        <v>64</v>
      </c>
      <c r="K694" s="8" t="s">
        <v>2340</v>
      </c>
      <c r="L694" s="8" t="s">
        <v>688</v>
      </c>
      <c r="M694" s="8"/>
      <c r="N694" s="8" t="s">
        <v>62</v>
      </c>
      <c r="O694" s="8" t="s">
        <v>63</v>
      </c>
      <c r="P694" s="4" t="n">
        <v>34</v>
      </c>
      <c r="Q694" s="8"/>
      <c r="R694" s="4" t="s">
        <v>2457</v>
      </c>
      <c r="S694" s="4"/>
    </row>
    <row r="695" customFormat="false" ht="15" hidden="false" customHeight="false" outlineLevel="0" collapsed="false">
      <c r="A695" s="4" t="s">
        <v>2461</v>
      </c>
      <c r="B695" s="8" t="s">
        <v>2304</v>
      </c>
      <c r="C695" s="8"/>
      <c r="D695" s="8"/>
      <c r="E695" s="8" t="s">
        <v>68</v>
      </c>
      <c r="F695" s="8" t="s">
        <v>2305</v>
      </c>
      <c r="G695" s="8" t="s">
        <v>2306</v>
      </c>
      <c r="H695" s="8"/>
      <c r="I695" s="8" t="s">
        <v>2307</v>
      </c>
      <c r="J695" s="8" t="s">
        <v>64</v>
      </c>
      <c r="K695" s="8" t="s">
        <v>2340</v>
      </c>
      <c r="L695" s="8" t="s">
        <v>688</v>
      </c>
      <c r="M695" s="8"/>
      <c r="N695" s="8" t="s">
        <v>62</v>
      </c>
      <c r="O695" s="8" t="s">
        <v>63</v>
      </c>
      <c r="P695" s="4" t="n">
        <v>34</v>
      </c>
      <c r="Q695" s="8"/>
      <c r="R695" s="4" t="s">
        <v>2304</v>
      </c>
      <c r="S695" s="4" t="n">
        <v>167</v>
      </c>
    </row>
    <row r="696" customFormat="false" ht="15" hidden="false" customHeight="false" outlineLevel="0" collapsed="false">
      <c r="A696" s="4" t="s">
        <v>2462</v>
      </c>
      <c r="B696" s="8" t="s">
        <v>2463</v>
      </c>
      <c r="C696" s="8"/>
      <c r="D696" s="8"/>
      <c r="E696" s="8"/>
      <c r="F696" s="8"/>
      <c r="G696" s="8"/>
      <c r="H696" s="8"/>
      <c r="I696" s="8" t="s">
        <v>2464</v>
      </c>
      <c r="J696" s="8" t="s">
        <v>64</v>
      </c>
      <c r="K696" s="8" t="s">
        <v>2340</v>
      </c>
      <c r="L696" s="8" t="s">
        <v>688</v>
      </c>
      <c r="M696" s="8"/>
      <c r="N696" s="8" t="s">
        <v>62</v>
      </c>
      <c r="O696" s="8" t="s">
        <v>63</v>
      </c>
      <c r="P696" s="4" t="n">
        <v>34</v>
      </c>
      <c r="Q696" s="8"/>
      <c r="R696" s="4" t="s">
        <v>2463</v>
      </c>
      <c r="S696" s="4"/>
    </row>
    <row r="697" customFormat="false" ht="15" hidden="false" customHeight="false" outlineLevel="0" collapsed="false">
      <c r="A697" s="4" t="s">
        <v>2465</v>
      </c>
      <c r="B697" s="8" t="s">
        <v>2466</v>
      </c>
      <c r="C697" s="8"/>
      <c r="D697" s="8"/>
      <c r="E697" s="8"/>
      <c r="F697" s="8"/>
      <c r="G697" s="8"/>
      <c r="H697" s="8"/>
      <c r="I697" s="8" t="s">
        <v>2467</v>
      </c>
      <c r="J697" s="8" t="s">
        <v>64</v>
      </c>
      <c r="K697" s="8" t="s">
        <v>2340</v>
      </c>
      <c r="L697" s="8" t="s">
        <v>688</v>
      </c>
      <c r="M697" s="8"/>
      <c r="N697" s="8" t="s">
        <v>62</v>
      </c>
      <c r="O697" s="8" t="s">
        <v>63</v>
      </c>
      <c r="P697" s="4" t="n">
        <v>34</v>
      </c>
      <c r="Q697" s="8"/>
      <c r="R697" s="4" t="s">
        <v>2466</v>
      </c>
      <c r="S697" s="4"/>
    </row>
    <row r="698" customFormat="false" ht="15" hidden="false" customHeight="false" outlineLevel="0" collapsed="false">
      <c r="A698" s="4" t="s">
        <v>2468</v>
      </c>
      <c r="B698" s="8" t="s">
        <v>2469</v>
      </c>
      <c r="C698" s="8"/>
      <c r="D698" s="8"/>
      <c r="E698" s="8"/>
      <c r="F698" s="8"/>
      <c r="G698" s="8"/>
      <c r="H698" s="8"/>
      <c r="I698" s="8" t="s">
        <v>2470</v>
      </c>
      <c r="J698" s="8" t="s">
        <v>64</v>
      </c>
      <c r="K698" s="8" t="s">
        <v>2340</v>
      </c>
      <c r="L698" s="8" t="s">
        <v>688</v>
      </c>
      <c r="M698" s="8"/>
      <c r="N698" s="8" t="s">
        <v>62</v>
      </c>
      <c r="O698" s="8" t="s">
        <v>63</v>
      </c>
      <c r="P698" s="4" t="n">
        <v>34</v>
      </c>
      <c r="Q698" s="8"/>
      <c r="R698" s="4" t="s">
        <v>2469</v>
      </c>
      <c r="S698" s="4"/>
    </row>
    <row r="699" customFormat="false" ht="15" hidden="false" customHeight="false" outlineLevel="0" collapsed="false">
      <c r="A699" s="4" t="s">
        <v>2471</v>
      </c>
      <c r="B699" s="8" t="s">
        <v>2328</v>
      </c>
      <c r="C699" s="8"/>
      <c r="D699" s="8"/>
      <c r="E699" s="8" t="s">
        <v>68</v>
      </c>
      <c r="F699" s="8" t="s">
        <v>2329</v>
      </c>
      <c r="G699" s="8" t="s">
        <v>2330</v>
      </c>
      <c r="H699" s="8"/>
      <c r="I699" s="8" t="s">
        <v>2472</v>
      </c>
      <c r="J699" s="8" t="s">
        <v>64</v>
      </c>
      <c r="K699" s="8" t="s">
        <v>2340</v>
      </c>
      <c r="L699" s="8" t="s">
        <v>688</v>
      </c>
      <c r="M699" s="8"/>
      <c r="N699" s="8" t="s">
        <v>62</v>
      </c>
      <c r="O699" s="8" t="s">
        <v>63</v>
      </c>
      <c r="P699" s="4" t="n">
        <v>34</v>
      </c>
      <c r="Q699" s="8"/>
      <c r="R699" s="4" t="s">
        <v>2328</v>
      </c>
      <c r="S699" s="4" t="n">
        <v>646</v>
      </c>
    </row>
    <row r="700" customFormat="false" ht="15" hidden="false" customHeight="false" outlineLevel="0" collapsed="false">
      <c r="A700" s="4" t="s">
        <v>2473</v>
      </c>
      <c r="B700" s="8" t="s">
        <v>1196</v>
      </c>
      <c r="C700" s="8" t="s">
        <v>58</v>
      </c>
      <c r="D700" s="8"/>
      <c r="E700" s="8" t="s">
        <v>60</v>
      </c>
      <c r="F700" s="8"/>
      <c r="G700" s="8"/>
      <c r="H700" s="8"/>
      <c r="I700" s="8" t="s">
        <v>1197</v>
      </c>
      <c r="J700" s="8" t="s">
        <v>64</v>
      </c>
      <c r="K700" s="8" t="s">
        <v>2474</v>
      </c>
      <c r="L700" s="8"/>
      <c r="M700" s="8"/>
      <c r="N700" s="8" t="s">
        <v>62</v>
      </c>
      <c r="O700" s="8" t="s">
        <v>63</v>
      </c>
      <c r="P700" s="4" t="n">
        <v>34</v>
      </c>
      <c r="Q700" s="8"/>
      <c r="R700" s="4" t="s">
        <v>1198</v>
      </c>
      <c r="S700" s="4"/>
    </row>
    <row r="701" customFormat="false" ht="15" hidden="false" customHeight="false" outlineLevel="0" collapsed="false">
      <c r="A701" s="4" t="s">
        <v>2475</v>
      </c>
      <c r="B701" s="8" t="s">
        <v>132</v>
      </c>
      <c r="C701" s="8"/>
      <c r="D701" s="8"/>
      <c r="E701" s="8"/>
      <c r="F701" s="8"/>
      <c r="G701" s="8"/>
      <c r="H701" s="8"/>
      <c r="I701" s="8" t="s">
        <v>133</v>
      </c>
      <c r="J701" s="8" t="s">
        <v>64</v>
      </c>
      <c r="K701" s="8" t="s">
        <v>2474</v>
      </c>
      <c r="L701" s="8"/>
      <c r="M701" s="8"/>
      <c r="N701" s="8" t="s">
        <v>62</v>
      </c>
      <c r="O701" s="8" t="s">
        <v>63</v>
      </c>
      <c r="P701" s="4" t="n">
        <v>34</v>
      </c>
      <c r="Q701" s="8"/>
      <c r="R701" s="4" t="s">
        <v>132</v>
      </c>
      <c r="S701" s="4" t="n">
        <v>8578</v>
      </c>
    </row>
    <row r="702" customFormat="false" ht="15" hidden="false" customHeight="false" outlineLevel="0" collapsed="false">
      <c r="A702" s="4" t="s">
        <v>2476</v>
      </c>
      <c r="B702" s="8" t="s">
        <v>1228</v>
      </c>
      <c r="C702" s="8"/>
      <c r="D702" s="8"/>
      <c r="E702" s="8"/>
      <c r="F702" s="8"/>
      <c r="G702" s="8"/>
      <c r="H702" s="8"/>
      <c r="I702" s="8" t="s">
        <v>1229</v>
      </c>
      <c r="J702" s="8" t="s">
        <v>64</v>
      </c>
      <c r="K702" s="8" t="s">
        <v>2474</v>
      </c>
      <c r="L702" s="8"/>
      <c r="M702" s="8"/>
      <c r="N702" s="8" t="s">
        <v>62</v>
      </c>
      <c r="O702" s="8" t="s">
        <v>63</v>
      </c>
      <c r="P702" s="4" t="n">
        <v>34</v>
      </c>
      <c r="Q702" s="8"/>
      <c r="R702" s="4" t="s">
        <v>1228</v>
      </c>
      <c r="S702" s="4"/>
    </row>
    <row r="703" customFormat="false" ht="15" hidden="false" customHeight="false" outlineLevel="0" collapsed="false">
      <c r="A703" s="4" t="s">
        <v>2477</v>
      </c>
      <c r="B703" s="8" t="s">
        <v>2478</v>
      </c>
      <c r="C703" s="8"/>
      <c r="D703" s="8"/>
      <c r="E703" s="8"/>
      <c r="F703" s="8"/>
      <c r="G703" s="8"/>
      <c r="H703" s="8"/>
      <c r="I703" s="8" t="s">
        <v>2479</v>
      </c>
      <c r="J703" s="8" t="s">
        <v>64</v>
      </c>
      <c r="K703" s="8" t="s">
        <v>2474</v>
      </c>
      <c r="L703" s="8"/>
      <c r="M703" s="8"/>
      <c r="N703" s="8" t="s">
        <v>62</v>
      </c>
      <c r="O703" s="8" t="s">
        <v>63</v>
      </c>
      <c r="P703" s="4" t="n">
        <v>34</v>
      </c>
      <c r="Q703" s="8"/>
      <c r="R703" s="4" t="s">
        <v>2478</v>
      </c>
      <c r="S703" s="4"/>
    </row>
    <row r="704" customFormat="false" ht="15" hidden="false" customHeight="false" outlineLevel="0" collapsed="false">
      <c r="A704" s="4" t="s">
        <v>2480</v>
      </c>
      <c r="B704" s="8" t="s">
        <v>2481</v>
      </c>
      <c r="C704" s="8"/>
      <c r="D704" s="8"/>
      <c r="E704" s="8"/>
      <c r="F704" s="8"/>
      <c r="G704" s="8"/>
      <c r="H704" s="8"/>
      <c r="I704" s="8" t="s">
        <v>2482</v>
      </c>
      <c r="J704" s="8" t="s">
        <v>64</v>
      </c>
      <c r="K704" s="8" t="s">
        <v>2474</v>
      </c>
      <c r="L704" s="8"/>
      <c r="M704" s="8"/>
      <c r="N704" s="8" t="s">
        <v>62</v>
      </c>
      <c r="O704" s="8" t="s">
        <v>63</v>
      </c>
      <c r="P704" s="4" t="n">
        <v>34</v>
      </c>
      <c r="Q704" s="8"/>
      <c r="R704" s="4" t="s">
        <v>2481</v>
      </c>
      <c r="S704" s="4"/>
    </row>
    <row r="705" customFormat="false" ht="15" hidden="false" customHeight="false" outlineLevel="0" collapsed="false">
      <c r="A705" s="4" t="s">
        <v>2483</v>
      </c>
      <c r="B705" s="8" t="s">
        <v>1254</v>
      </c>
      <c r="C705" s="8" t="s">
        <v>58</v>
      </c>
      <c r="D705" s="8"/>
      <c r="E705" s="8" t="s">
        <v>60</v>
      </c>
      <c r="F705" s="8"/>
      <c r="G705" s="8"/>
      <c r="H705" s="8"/>
      <c r="I705" s="8" t="s">
        <v>511</v>
      </c>
      <c r="J705" s="8" t="s">
        <v>64</v>
      </c>
      <c r="K705" s="8" t="s">
        <v>2474</v>
      </c>
      <c r="L705" s="8"/>
      <c r="M705" s="8"/>
      <c r="N705" s="8" t="s">
        <v>62</v>
      </c>
      <c r="O705" s="8" t="s">
        <v>63</v>
      </c>
      <c r="P705" s="4" t="n">
        <v>34</v>
      </c>
      <c r="Q705" s="8"/>
      <c r="R705" s="4" t="s">
        <v>1255</v>
      </c>
      <c r="S705" s="4"/>
    </row>
    <row r="706" customFormat="false" ht="15" hidden="false" customHeight="false" outlineLevel="0" collapsed="false">
      <c r="A706" s="4" t="s">
        <v>2484</v>
      </c>
      <c r="B706" s="8" t="s">
        <v>2485</v>
      </c>
      <c r="C706" s="8"/>
      <c r="D706" s="8"/>
      <c r="E706" s="8"/>
      <c r="F706" s="8"/>
      <c r="G706" s="8"/>
      <c r="H706" s="8"/>
      <c r="I706" s="8" t="s">
        <v>2486</v>
      </c>
      <c r="J706" s="8" t="s">
        <v>64</v>
      </c>
      <c r="K706" s="8" t="s">
        <v>2474</v>
      </c>
      <c r="L706" s="8"/>
      <c r="M706" s="8"/>
      <c r="N706" s="8" t="s">
        <v>62</v>
      </c>
      <c r="O706" s="8" t="s">
        <v>63</v>
      </c>
      <c r="P706" s="4" t="n">
        <v>34</v>
      </c>
      <c r="Q706" s="8"/>
      <c r="R706" s="4" t="s">
        <v>2485</v>
      </c>
      <c r="S706" s="4"/>
    </row>
    <row r="707" customFormat="false" ht="15" hidden="false" customHeight="false" outlineLevel="0" collapsed="false">
      <c r="A707" s="4" t="s">
        <v>2487</v>
      </c>
      <c r="B707" s="8" t="s">
        <v>2488</v>
      </c>
      <c r="C707" s="8" t="s">
        <v>58</v>
      </c>
      <c r="D707" s="8"/>
      <c r="E707" s="8" t="s">
        <v>60</v>
      </c>
      <c r="F707" s="8"/>
      <c r="G707" s="8"/>
      <c r="H707" s="8"/>
      <c r="I707" s="8" t="s">
        <v>2489</v>
      </c>
      <c r="J707" s="8" t="s">
        <v>64</v>
      </c>
      <c r="K707" s="8" t="s">
        <v>2474</v>
      </c>
      <c r="L707" s="8"/>
      <c r="M707" s="8"/>
      <c r="N707" s="8" t="s">
        <v>62</v>
      </c>
      <c r="O707" s="8" t="s">
        <v>63</v>
      </c>
      <c r="P707" s="4" t="n">
        <v>34</v>
      </c>
      <c r="Q707" s="8"/>
      <c r="R707" s="4" t="s">
        <v>2490</v>
      </c>
      <c r="S707" s="4"/>
    </row>
    <row r="708" customFormat="false" ht="15" hidden="false" customHeight="false" outlineLevel="0" collapsed="false">
      <c r="A708" s="4" t="s">
        <v>2491</v>
      </c>
      <c r="B708" s="8" t="s">
        <v>2492</v>
      </c>
      <c r="C708" s="8"/>
      <c r="D708" s="8"/>
      <c r="E708" s="8"/>
      <c r="F708" s="8"/>
      <c r="G708" s="8"/>
      <c r="H708" s="8"/>
      <c r="I708" s="8" t="s">
        <v>2493</v>
      </c>
      <c r="J708" s="8" t="s">
        <v>64</v>
      </c>
      <c r="K708" s="8" t="s">
        <v>2474</v>
      </c>
      <c r="L708" s="8"/>
      <c r="M708" s="8"/>
      <c r="N708" s="8" t="s">
        <v>62</v>
      </c>
      <c r="O708" s="8" t="s">
        <v>63</v>
      </c>
      <c r="P708" s="4" t="n">
        <v>34</v>
      </c>
      <c r="Q708" s="8"/>
      <c r="R708" s="4" t="s">
        <v>2492</v>
      </c>
      <c r="S708" s="4"/>
    </row>
    <row r="709" customFormat="false" ht="15" hidden="false" customHeight="false" outlineLevel="0" collapsed="false">
      <c r="A709" s="4" t="s">
        <v>2494</v>
      </c>
      <c r="B709" s="8" t="s">
        <v>2495</v>
      </c>
      <c r="C709" s="8" t="s">
        <v>58</v>
      </c>
      <c r="D709" s="8"/>
      <c r="E709" s="8" t="s">
        <v>60</v>
      </c>
      <c r="F709" s="8"/>
      <c r="G709" s="8"/>
      <c r="H709" s="8"/>
      <c r="I709" s="8" t="s">
        <v>2496</v>
      </c>
      <c r="J709" s="8" t="s">
        <v>64</v>
      </c>
      <c r="K709" s="8" t="s">
        <v>2474</v>
      </c>
      <c r="L709" s="8"/>
      <c r="M709" s="8"/>
      <c r="N709" s="8" t="s">
        <v>62</v>
      </c>
      <c r="O709" s="8" t="s">
        <v>63</v>
      </c>
      <c r="P709" s="4" t="n">
        <v>34</v>
      </c>
      <c r="Q709" s="8"/>
      <c r="R709" s="4" t="s">
        <v>2497</v>
      </c>
      <c r="S709" s="4"/>
    </row>
    <row r="710" customFormat="false" ht="15" hidden="false" customHeight="false" outlineLevel="0" collapsed="false">
      <c r="A710" s="4" t="s">
        <v>2498</v>
      </c>
      <c r="B710" s="8" t="s">
        <v>2499</v>
      </c>
      <c r="C710" s="8" t="s">
        <v>58</v>
      </c>
      <c r="D710" s="8"/>
      <c r="E710" s="8" t="s">
        <v>60</v>
      </c>
      <c r="F710" s="8"/>
      <c r="G710" s="8"/>
      <c r="H710" s="8"/>
      <c r="I710" s="8" t="s">
        <v>2500</v>
      </c>
      <c r="J710" s="8" t="s">
        <v>64</v>
      </c>
      <c r="K710" s="8" t="s">
        <v>2474</v>
      </c>
      <c r="L710" s="8"/>
      <c r="M710" s="8"/>
      <c r="N710" s="8" t="s">
        <v>62</v>
      </c>
      <c r="O710" s="8" t="s">
        <v>63</v>
      </c>
      <c r="P710" s="4" t="n">
        <v>34</v>
      </c>
      <c r="Q710" s="8"/>
      <c r="R710" s="4" t="s">
        <v>2501</v>
      </c>
      <c r="S710" s="4"/>
    </row>
    <row r="711" customFormat="false" ht="15" hidden="false" customHeight="false" outlineLevel="0" collapsed="false">
      <c r="A711" s="4" t="s">
        <v>2502</v>
      </c>
      <c r="B711" s="8" t="s">
        <v>2503</v>
      </c>
      <c r="C711" s="8" t="s">
        <v>58</v>
      </c>
      <c r="D711" s="8"/>
      <c r="E711" s="8" t="s">
        <v>60</v>
      </c>
      <c r="F711" s="8"/>
      <c r="G711" s="8"/>
      <c r="H711" s="8"/>
      <c r="I711" s="8" t="s">
        <v>2504</v>
      </c>
      <c r="J711" s="8" t="s">
        <v>64</v>
      </c>
      <c r="K711" s="8" t="s">
        <v>2474</v>
      </c>
      <c r="L711" s="8"/>
      <c r="M711" s="8"/>
      <c r="N711" s="8" t="s">
        <v>62</v>
      </c>
      <c r="O711" s="8" t="s">
        <v>63</v>
      </c>
      <c r="P711" s="4" t="n">
        <v>34</v>
      </c>
      <c r="Q711" s="8"/>
      <c r="R711" s="4" t="s">
        <v>2505</v>
      </c>
      <c r="S711" s="4"/>
    </row>
    <row r="712" customFormat="false" ht="15" hidden="false" customHeight="false" outlineLevel="0" collapsed="false">
      <c r="A712" s="4" t="s">
        <v>2506</v>
      </c>
      <c r="B712" s="8" t="s">
        <v>2507</v>
      </c>
      <c r="C712" s="8" t="s">
        <v>58</v>
      </c>
      <c r="D712" s="8"/>
      <c r="E712" s="8" t="s">
        <v>60</v>
      </c>
      <c r="F712" s="8"/>
      <c r="G712" s="8"/>
      <c r="H712" s="8"/>
      <c r="I712" s="8" t="s">
        <v>2508</v>
      </c>
      <c r="J712" s="8" t="s">
        <v>64</v>
      </c>
      <c r="K712" s="8" t="s">
        <v>2474</v>
      </c>
      <c r="L712" s="8"/>
      <c r="M712" s="8"/>
      <c r="N712" s="8" t="s">
        <v>62</v>
      </c>
      <c r="O712" s="8" t="s">
        <v>63</v>
      </c>
      <c r="P712" s="4" t="n">
        <v>34</v>
      </c>
      <c r="Q712" s="8"/>
      <c r="R712" s="4" t="s">
        <v>2509</v>
      </c>
      <c r="S712" s="4"/>
    </row>
    <row r="713" customFormat="false" ht="15" hidden="false" customHeight="false" outlineLevel="0" collapsed="false">
      <c r="A713" s="4" t="s">
        <v>2510</v>
      </c>
      <c r="B713" s="8" t="s">
        <v>190</v>
      </c>
      <c r="C713" s="8"/>
      <c r="D713" s="8"/>
      <c r="E713" s="8"/>
      <c r="F713" s="8"/>
      <c r="G713" s="8"/>
      <c r="H713" s="8"/>
      <c r="I713" s="8" t="s">
        <v>191</v>
      </c>
      <c r="J713" s="8" t="s">
        <v>64</v>
      </c>
      <c r="K713" s="8" t="s">
        <v>2474</v>
      </c>
      <c r="L713" s="8"/>
      <c r="M713" s="8"/>
      <c r="N713" s="8" t="s">
        <v>62</v>
      </c>
      <c r="O713" s="8" t="s">
        <v>63</v>
      </c>
      <c r="P713" s="4" t="n">
        <v>34</v>
      </c>
      <c r="Q713" s="8"/>
      <c r="R713" s="4" t="s">
        <v>190</v>
      </c>
      <c r="S713" s="4"/>
    </row>
    <row r="714" customFormat="false" ht="15" hidden="false" customHeight="false" outlineLevel="0" collapsed="false">
      <c r="A714" s="4" t="s">
        <v>2511</v>
      </c>
      <c r="B714" s="8" t="s">
        <v>193</v>
      </c>
      <c r="C714" s="8" t="s">
        <v>58</v>
      </c>
      <c r="D714" s="8"/>
      <c r="E714" s="8" t="s">
        <v>60</v>
      </c>
      <c r="F714" s="8"/>
      <c r="G714" s="8"/>
      <c r="H714" s="8"/>
      <c r="I714" s="8" t="s">
        <v>2512</v>
      </c>
      <c r="J714" s="8" t="s">
        <v>64</v>
      </c>
      <c r="K714" s="8" t="s">
        <v>2474</v>
      </c>
      <c r="L714" s="8"/>
      <c r="M714" s="8"/>
      <c r="N714" s="8" t="s">
        <v>62</v>
      </c>
      <c r="O714" s="8" t="s">
        <v>63</v>
      </c>
      <c r="P714" s="4" t="n">
        <v>34</v>
      </c>
      <c r="Q714" s="8"/>
      <c r="R714" s="4" t="s">
        <v>195</v>
      </c>
      <c r="S714" s="4"/>
    </row>
    <row r="715" customFormat="false" ht="15" hidden="false" customHeight="false" outlineLevel="0" collapsed="false">
      <c r="A715" s="4" t="s">
        <v>2513</v>
      </c>
      <c r="B715" s="8" t="s">
        <v>1307</v>
      </c>
      <c r="C715" s="8" t="s">
        <v>58</v>
      </c>
      <c r="D715" s="8"/>
      <c r="E715" s="8" t="s">
        <v>60</v>
      </c>
      <c r="F715" s="8"/>
      <c r="G715" s="8"/>
      <c r="H715" s="8"/>
      <c r="I715" s="8" t="s">
        <v>1308</v>
      </c>
      <c r="J715" s="8" t="s">
        <v>64</v>
      </c>
      <c r="K715" s="8" t="s">
        <v>2474</v>
      </c>
      <c r="L715" s="8"/>
      <c r="M715" s="8"/>
      <c r="N715" s="8" t="s">
        <v>62</v>
      </c>
      <c r="O715" s="8" t="s">
        <v>63</v>
      </c>
      <c r="P715" s="4" t="n">
        <v>34</v>
      </c>
      <c r="Q715" s="8"/>
      <c r="R715" s="4" t="s">
        <v>1309</v>
      </c>
      <c r="S715" s="4"/>
    </row>
    <row r="716" customFormat="false" ht="15" hidden="false" customHeight="false" outlineLevel="0" collapsed="false">
      <c r="A716" s="4" t="s">
        <v>2514</v>
      </c>
      <c r="B716" s="8" t="s">
        <v>2515</v>
      </c>
      <c r="C716" s="8" t="s">
        <v>58</v>
      </c>
      <c r="D716" s="8"/>
      <c r="E716" s="8" t="s">
        <v>60</v>
      </c>
      <c r="F716" s="8"/>
      <c r="G716" s="8"/>
      <c r="H716" s="8"/>
      <c r="I716" s="8" t="s">
        <v>2516</v>
      </c>
      <c r="J716" s="8" t="s">
        <v>64</v>
      </c>
      <c r="K716" s="8" t="s">
        <v>2474</v>
      </c>
      <c r="L716" s="8"/>
      <c r="M716" s="8"/>
      <c r="N716" s="8" t="s">
        <v>62</v>
      </c>
      <c r="O716" s="8" t="s">
        <v>63</v>
      </c>
      <c r="P716" s="4" t="n">
        <v>34</v>
      </c>
      <c r="Q716" s="8"/>
      <c r="R716" s="4" t="s">
        <v>2517</v>
      </c>
      <c r="S716" s="4"/>
    </row>
    <row r="717" customFormat="false" ht="15" hidden="false" customHeight="false" outlineLevel="0" collapsed="false">
      <c r="A717" s="4" t="s">
        <v>2518</v>
      </c>
      <c r="B717" s="8" t="s">
        <v>2519</v>
      </c>
      <c r="C717" s="8"/>
      <c r="D717" s="8"/>
      <c r="E717" s="8"/>
      <c r="F717" s="8"/>
      <c r="G717" s="8"/>
      <c r="H717" s="8"/>
      <c r="I717" s="8" t="s">
        <v>2520</v>
      </c>
      <c r="J717" s="8" t="s">
        <v>64</v>
      </c>
      <c r="K717" s="8" t="s">
        <v>2474</v>
      </c>
      <c r="L717" s="8"/>
      <c r="M717" s="8"/>
      <c r="N717" s="8" t="s">
        <v>62</v>
      </c>
      <c r="O717" s="8" t="s">
        <v>63</v>
      </c>
      <c r="P717" s="4" t="n">
        <v>34</v>
      </c>
      <c r="Q717" s="8"/>
      <c r="R717" s="4" t="s">
        <v>2519</v>
      </c>
      <c r="S717" s="4"/>
    </row>
    <row r="718" customFormat="false" ht="15" hidden="false" customHeight="false" outlineLevel="0" collapsed="false">
      <c r="A718" s="4" t="s">
        <v>2521</v>
      </c>
      <c r="B718" s="8" t="s">
        <v>2522</v>
      </c>
      <c r="C718" s="8" t="s">
        <v>58</v>
      </c>
      <c r="D718" s="8" t="s">
        <v>67</v>
      </c>
      <c r="E718" s="8" t="s">
        <v>60</v>
      </c>
      <c r="F718" s="8"/>
      <c r="G718" s="8"/>
      <c r="H718" s="8"/>
      <c r="I718" s="8" t="s">
        <v>2523</v>
      </c>
      <c r="J718" s="8" t="s">
        <v>64</v>
      </c>
      <c r="K718" s="8" t="s">
        <v>2474</v>
      </c>
      <c r="L718" s="8"/>
      <c r="M718" s="8"/>
      <c r="N718" s="8" t="s">
        <v>62</v>
      </c>
      <c r="O718" s="8" t="s">
        <v>63</v>
      </c>
      <c r="P718" s="4" t="n">
        <v>34</v>
      </c>
      <c r="Q718" s="8"/>
      <c r="R718" s="4" t="s">
        <v>2524</v>
      </c>
      <c r="S718" s="4"/>
    </row>
    <row r="719" customFormat="false" ht="15" hidden="false" customHeight="false" outlineLevel="0" collapsed="false">
      <c r="A719" s="4" t="s">
        <v>2525</v>
      </c>
      <c r="B719" s="8" t="s">
        <v>2526</v>
      </c>
      <c r="C719" s="8" t="s">
        <v>58</v>
      </c>
      <c r="D719" s="8"/>
      <c r="E719" s="8" t="s">
        <v>60</v>
      </c>
      <c r="F719" s="8"/>
      <c r="G719" s="8"/>
      <c r="H719" s="8"/>
      <c r="I719" s="8" t="s">
        <v>2527</v>
      </c>
      <c r="J719" s="8" t="s">
        <v>64</v>
      </c>
      <c r="K719" s="8" t="s">
        <v>2474</v>
      </c>
      <c r="L719" s="8"/>
      <c r="M719" s="8"/>
      <c r="N719" s="8" t="s">
        <v>62</v>
      </c>
      <c r="O719" s="8" t="s">
        <v>63</v>
      </c>
      <c r="P719" s="4" t="n">
        <v>34</v>
      </c>
      <c r="Q719" s="8"/>
      <c r="R719" s="4" t="s">
        <v>2528</v>
      </c>
      <c r="S719" s="4"/>
    </row>
    <row r="720" customFormat="false" ht="15" hidden="false" customHeight="false" outlineLevel="0" collapsed="false">
      <c r="A720" s="4" t="s">
        <v>2529</v>
      </c>
      <c r="B720" s="8" t="s">
        <v>1324</v>
      </c>
      <c r="C720" s="8" t="s">
        <v>58</v>
      </c>
      <c r="D720" s="8"/>
      <c r="E720" s="8" t="s">
        <v>60</v>
      </c>
      <c r="F720" s="8"/>
      <c r="G720" s="8"/>
      <c r="H720" s="8"/>
      <c r="I720" s="8" t="s">
        <v>1325</v>
      </c>
      <c r="J720" s="8" t="s">
        <v>64</v>
      </c>
      <c r="K720" s="8" t="s">
        <v>2474</v>
      </c>
      <c r="L720" s="8"/>
      <c r="M720" s="8"/>
      <c r="N720" s="8" t="s">
        <v>62</v>
      </c>
      <c r="O720" s="8" t="s">
        <v>63</v>
      </c>
      <c r="P720" s="4" t="n">
        <v>34</v>
      </c>
      <c r="Q720" s="8"/>
      <c r="R720" s="4" t="s">
        <v>1326</v>
      </c>
      <c r="S720" s="4"/>
    </row>
    <row r="721" customFormat="false" ht="15" hidden="false" customHeight="false" outlineLevel="0" collapsed="false">
      <c r="A721" s="4" t="s">
        <v>2530</v>
      </c>
      <c r="B721" s="8" t="s">
        <v>206</v>
      </c>
      <c r="C721" s="8"/>
      <c r="D721" s="8"/>
      <c r="E721" s="8"/>
      <c r="F721" s="8"/>
      <c r="G721" s="8"/>
      <c r="H721" s="8"/>
      <c r="I721" s="8" t="s">
        <v>207</v>
      </c>
      <c r="J721" s="8" t="s">
        <v>64</v>
      </c>
      <c r="K721" s="8" t="s">
        <v>2474</v>
      </c>
      <c r="L721" s="8"/>
      <c r="M721" s="8"/>
      <c r="N721" s="8" t="s">
        <v>62</v>
      </c>
      <c r="O721" s="8" t="s">
        <v>63</v>
      </c>
      <c r="P721" s="4" t="n">
        <v>34</v>
      </c>
      <c r="Q721" s="8"/>
      <c r="R721" s="4" t="s">
        <v>206</v>
      </c>
      <c r="S721" s="4"/>
    </row>
    <row r="722" customFormat="false" ht="15" hidden="false" customHeight="false" outlineLevel="0" collapsed="false">
      <c r="A722" s="4" t="s">
        <v>2531</v>
      </c>
      <c r="B722" s="8" t="s">
        <v>209</v>
      </c>
      <c r="C722" s="8" t="s">
        <v>58</v>
      </c>
      <c r="D722" s="8"/>
      <c r="E722" s="8" t="s">
        <v>60</v>
      </c>
      <c r="F722" s="8"/>
      <c r="G722" s="8"/>
      <c r="H722" s="8"/>
      <c r="I722" s="8" t="s">
        <v>210</v>
      </c>
      <c r="J722" s="8" t="s">
        <v>64</v>
      </c>
      <c r="K722" s="8" t="s">
        <v>2474</v>
      </c>
      <c r="L722" s="8"/>
      <c r="M722" s="8"/>
      <c r="N722" s="8" t="s">
        <v>62</v>
      </c>
      <c r="O722" s="8" t="s">
        <v>63</v>
      </c>
      <c r="P722" s="4" t="n">
        <v>34</v>
      </c>
      <c r="Q722" s="8"/>
      <c r="R722" s="4" t="s">
        <v>211</v>
      </c>
      <c r="S722" s="4" t="n">
        <v>13211</v>
      </c>
    </row>
    <row r="723" customFormat="false" ht="15" hidden="false" customHeight="false" outlineLevel="0" collapsed="false">
      <c r="A723" s="4" t="s">
        <v>2532</v>
      </c>
      <c r="B723" s="8" t="s">
        <v>2533</v>
      </c>
      <c r="C723" s="8"/>
      <c r="D723" s="8"/>
      <c r="E723" s="8"/>
      <c r="F723" s="8"/>
      <c r="G723" s="8"/>
      <c r="H723" s="8"/>
      <c r="I723" s="8" t="s">
        <v>2534</v>
      </c>
      <c r="J723" s="8" t="s">
        <v>64</v>
      </c>
      <c r="K723" s="8" t="s">
        <v>2474</v>
      </c>
      <c r="L723" s="8"/>
      <c r="M723" s="8"/>
      <c r="N723" s="8" t="s">
        <v>62</v>
      </c>
      <c r="O723" s="8" t="s">
        <v>63</v>
      </c>
      <c r="P723" s="4" t="n">
        <v>34</v>
      </c>
      <c r="Q723" s="8"/>
      <c r="R723" s="4" t="s">
        <v>2533</v>
      </c>
      <c r="S723" s="4"/>
    </row>
    <row r="724" customFormat="false" ht="15" hidden="false" customHeight="false" outlineLevel="0" collapsed="false">
      <c r="A724" s="4" t="s">
        <v>2535</v>
      </c>
      <c r="B724" s="8" t="s">
        <v>1927</v>
      </c>
      <c r="C724" s="8" t="s">
        <v>58</v>
      </c>
      <c r="D724" s="8"/>
      <c r="E724" s="8" t="s">
        <v>60</v>
      </c>
      <c r="F724" s="8"/>
      <c r="G724" s="8"/>
      <c r="H724" s="8"/>
      <c r="I724" s="8" t="s">
        <v>2536</v>
      </c>
      <c r="J724" s="8" t="s">
        <v>64</v>
      </c>
      <c r="K724" s="8" t="s">
        <v>2474</v>
      </c>
      <c r="L724" s="8"/>
      <c r="M724" s="8"/>
      <c r="N724" s="8" t="s">
        <v>62</v>
      </c>
      <c r="O724" s="8" t="s">
        <v>63</v>
      </c>
      <c r="P724" s="4" t="n">
        <v>34</v>
      </c>
      <c r="Q724" s="8"/>
      <c r="R724" s="4" t="s">
        <v>1929</v>
      </c>
      <c r="S724" s="4" t="n">
        <v>5352</v>
      </c>
    </row>
    <row r="725" customFormat="false" ht="15" hidden="false" customHeight="false" outlineLevel="0" collapsed="false">
      <c r="A725" s="4" t="s">
        <v>2537</v>
      </c>
      <c r="B725" s="8" t="s">
        <v>2538</v>
      </c>
      <c r="C725" s="8" t="s">
        <v>58</v>
      </c>
      <c r="D725" s="8"/>
      <c r="E725" s="8" t="s">
        <v>60</v>
      </c>
      <c r="F725" s="8"/>
      <c r="G725" s="8"/>
      <c r="H725" s="8"/>
      <c r="I725" s="8" t="s">
        <v>2539</v>
      </c>
      <c r="J725" s="8" t="s">
        <v>64</v>
      </c>
      <c r="K725" s="8" t="s">
        <v>2474</v>
      </c>
      <c r="L725" s="8"/>
      <c r="M725" s="8"/>
      <c r="N725" s="8" t="s">
        <v>62</v>
      </c>
      <c r="O725" s="8" t="s">
        <v>63</v>
      </c>
      <c r="P725" s="4" t="n">
        <v>34</v>
      </c>
      <c r="Q725" s="8"/>
      <c r="R725" s="4" t="s">
        <v>2540</v>
      </c>
      <c r="S725" s="4" t="n">
        <v>1260</v>
      </c>
    </row>
    <row r="726" customFormat="false" ht="15" hidden="false" customHeight="false" outlineLevel="0" collapsed="false">
      <c r="A726" s="4" t="s">
        <v>2541</v>
      </c>
      <c r="B726" s="8" t="s">
        <v>2542</v>
      </c>
      <c r="C726" s="8" t="s">
        <v>58</v>
      </c>
      <c r="D726" s="8"/>
      <c r="E726" s="8" t="s">
        <v>60</v>
      </c>
      <c r="F726" s="8"/>
      <c r="G726" s="8"/>
      <c r="H726" s="8"/>
      <c r="I726" s="8" t="s">
        <v>2543</v>
      </c>
      <c r="J726" s="8" t="s">
        <v>64</v>
      </c>
      <c r="K726" s="8" t="s">
        <v>2474</v>
      </c>
      <c r="L726" s="8"/>
      <c r="M726" s="8"/>
      <c r="N726" s="8" t="s">
        <v>62</v>
      </c>
      <c r="O726" s="8" t="s">
        <v>63</v>
      </c>
      <c r="P726" s="4" t="n">
        <v>34</v>
      </c>
      <c r="Q726" s="8"/>
      <c r="R726" s="4" t="s">
        <v>2544</v>
      </c>
      <c r="S726" s="4"/>
    </row>
    <row r="727" customFormat="false" ht="15" hidden="false" customHeight="false" outlineLevel="0" collapsed="false">
      <c r="A727" s="4" t="s">
        <v>2545</v>
      </c>
      <c r="B727" s="8" t="s">
        <v>2546</v>
      </c>
      <c r="C727" s="8" t="s">
        <v>58</v>
      </c>
      <c r="D727" s="8" t="s">
        <v>67</v>
      </c>
      <c r="E727" s="8" t="s">
        <v>60</v>
      </c>
      <c r="F727" s="8"/>
      <c r="G727" s="8"/>
      <c r="H727" s="8"/>
      <c r="I727" s="8" t="s">
        <v>2547</v>
      </c>
      <c r="J727" s="8" t="s">
        <v>64</v>
      </c>
      <c r="K727" s="8" t="s">
        <v>2474</v>
      </c>
      <c r="L727" s="8"/>
      <c r="M727" s="8"/>
      <c r="N727" s="8" t="s">
        <v>62</v>
      </c>
      <c r="O727" s="8" t="s">
        <v>63</v>
      </c>
      <c r="P727" s="4" t="n">
        <v>34</v>
      </c>
      <c r="Q727" s="8"/>
      <c r="R727" s="4" t="s">
        <v>2548</v>
      </c>
      <c r="S727" s="4"/>
    </row>
    <row r="728" customFormat="false" ht="15" hidden="false" customHeight="false" outlineLevel="0" collapsed="false">
      <c r="A728" s="4" t="s">
        <v>2549</v>
      </c>
      <c r="B728" s="8" t="s">
        <v>2550</v>
      </c>
      <c r="C728" s="8" t="s">
        <v>58</v>
      </c>
      <c r="D728" s="8"/>
      <c r="E728" s="8" t="s">
        <v>60</v>
      </c>
      <c r="F728" s="8"/>
      <c r="G728" s="8"/>
      <c r="H728" s="8"/>
      <c r="I728" s="8" t="s">
        <v>2551</v>
      </c>
      <c r="J728" s="8" t="s">
        <v>64</v>
      </c>
      <c r="K728" s="8" t="s">
        <v>2474</v>
      </c>
      <c r="L728" s="8"/>
      <c r="M728" s="8"/>
      <c r="N728" s="8" t="s">
        <v>62</v>
      </c>
      <c r="O728" s="8" t="s">
        <v>63</v>
      </c>
      <c r="P728" s="4" t="n">
        <v>34</v>
      </c>
      <c r="Q728" s="8"/>
      <c r="R728" s="4" t="s">
        <v>2552</v>
      </c>
      <c r="S728" s="4" t="n">
        <v>1681</v>
      </c>
    </row>
    <row r="729" customFormat="false" ht="15" hidden="false" customHeight="false" outlineLevel="0" collapsed="false">
      <c r="A729" s="4" t="s">
        <v>2553</v>
      </c>
      <c r="B729" s="8" t="s">
        <v>1370</v>
      </c>
      <c r="C729" s="8"/>
      <c r="D729" s="8"/>
      <c r="E729" s="8"/>
      <c r="F729" s="8"/>
      <c r="G729" s="8"/>
      <c r="H729" s="8"/>
      <c r="I729" s="8" t="s">
        <v>1371</v>
      </c>
      <c r="J729" s="8" t="s">
        <v>64</v>
      </c>
      <c r="K729" s="8" t="s">
        <v>2474</v>
      </c>
      <c r="L729" s="8"/>
      <c r="M729" s="8"/>
      <c r="N729" s="8" t="s">
        <v>62</v>
      </c>
      <c r="O729" s="8" t="s">
        <v>63</v>
      </c>
      <c r="P729" s="4" t="n">
        <v>34</v>
      </c>
      <c r="Q729" s="8"/>
      <c r="R729" s="4" t="s">
        <v>1370</v>
      </c>
      <c r="S729" s="4"/>
    </row>
    <row r="730" customFormat="false" ht="15" hidden="false" customHeight="false" outlineLevel="0" collapsed="false">
      <c r="A730" s="4" t="s">
        <v>2554</v>
      </c>
      <c r="B730" s="8" t="s">
        <v>2555</v>
      </c>
      <c r="C730" s="8" t="s">
        <v>58</v>
      </c>
      <c r="D730" s="8"/>
      <c r="E730" s="8" t="s">
        <v>60</v>
      </c>
      <c r="F730" s="8"/>
      <c r="G730" s="8"/>
      <c r="H730" s="8"/>
      <c r="I730" s="8" t="s">
        <v>2556</v>
      </c>
      <c r="J730" s="8" t="s">
        <v>64</v>
      </c>
      <c r="K730" s="8" t="s">
        <v>2474</v>
      </c>
      <c r="L730" s="8"/>
      <c r="M730" s="8"/>
      <c r="N730" s="8" t="s">
        <v>62</v>
      </c>
      <c r="O730" s="8" t="s">
        <v>63</v>
      </c>
      <c r="P730" s="4" t="n">
        <v>34</v>
      </c>
      <c r="Q730" s="8"/>
      <c r="R730" s="4" t="s">
        <v>2557</v>
      </c>
      <c r="S730" s="4" t="n">
        <v>18709</v>
      </c>
    </row>
    <row r="731" customFormat="false" ht="15" hidden="false" customHeight="false" outlineLevel="0" collapsed="false">
      <c r="A731" s="4" t="s">
        <v>2558</v>
      </c>
      <c r="B731" s="8" t="s">
        <v>2559</v>
      </c>
      <c r="C731" s="8" t="s">
        <v>58</v>
      </c>
      <c r="D731" s="8" t="s">
        <v>67</v>
      </c>
      <c r="E731" s="8" t="s">
        <v>60</v>
      </c>
      <c r="F731" s="8"/>
      <c r="G731" s="8"/>
      <c r="H731" s="8"/>
      <c r="I731" s="8" t="s">
        <v>2560</v>
      </c>
      <c r="J731" s="8" t="s">
        <v>64</v>
      </c>
      <c r="K731" s="8" t="s">
        <v>2474</v>
      </c>
      <c r="L731" s="8"/>
      <c r="M731" s="8"/>
      <c r="N731" s="8" t="s">
        <v>62</v>
      </c>
      <c r="O731" s="8" t="s">
        <v>63</v>
      </c>
      <c r="P731" s="4" t="n">
        <v>34</v>
      </c>
      <c r="Q731" s="8"/>
      <c r="R731" s="4" t="s">
        <v>2561</v>
      </c>
      <c r="S731" s="4"/>
    </row>
    <row r="732" customFormat="false" ht="15" hidden="false" customHeight="false" outlineLevel="0" collapsed="false">
      <c r="A732" s="4" t="s">
        <v>2562</v>
      </c>
      <c r="B732" s="8" t="s">
        <v>2563</v>
      </c>
      <c r="C732" s="8" t="s">
        <v>58</v>
      </c>
      <c r="D732" s="8" t="s">
        <v>67</v>
      </c>
      <c r="E732" s="8" t="s">
        <v>60</v>
      </c>
      <c r="F732" s="8"/>
      <c r="G732" s="8"/>
      <c r="H732" s="8"/>
      <c r="I732" s="8" t="s">
        <v>2564</v>
      </c>
      <c r="J732" s="8" t="s">
        <v>64</v>
      </c>
      <c r="K732" s="8" t="s">
        <v>2474</v>
      </c>
      <c r="L732" s="8"/>
      <c r="M732" s="8"/>
      <c r="N732" s="8" t="s">
        <v>62</v>
      </c>
      <c r="O732" s="8" t="s">
        <v>63</v>
      </c>
      <c r="P732" s="4" t="n">
        <v>34</v>
      </c>
      <c r="Q732" s="8"/>
      <c r="R732" s="4" t="s">
        <v>2565</v>
      </c>
      <c r="S732" s="4"/>
    </row>
    <row r="733" customFormat="false" ht="15" hidden="false" customHeight="false" outlineLevel="0" collapsed="false">
      <c r="A733" s="4" t="s">
        <v>2566</v>
      </c>
      <c r="B733" s="8" t="s">
        <v>2567</v>
      </c>
      <c r="C733" s="8"/>
      <c r="D733" s="8"/>
      <c r="E733" s="8"/>
      <c r="F733" s="8"/>
      <c r="G733" s="8"/>
      <c r="H733" s="8"/>
      <c r="I733" s="8" t="s">
        <v>2568</v>
      </c>
      <c r="J733" s="8" t="s">
        <v>64</v>
      </c>
      <c r="K733" s="8" t="s">
        <v>2474</v>
      </c>
      <c r="L733" s="8"/>
      <c r="M733" s="8"/>
      <c r="N733" s="8" t="s">
        <v>62</v>
      </c>
      <c r="O733" s="8" t="s">
        <v>63</v>
      </c>
      <c r="P733" s="4" t="n">
        <v>34</v>
      </c>
      <c r="Q733" s="8"/>
      <c r="R733" s="4" t="s">
        <v>2567</v>
      </c>
      <c r="S733" s="4"/>
    </row>
    <row r="734" customFormat="false" ht="15" hidden="false" customHeight="false" outlineLevel="0" collapsed="false">
      <c r="A734" s="4" t="s">
        <v>2569</v>
      </c>
      <c r="B734" s="8" t="s">
        <v>1419</v>
      </c>
      <c r="C734" s="8"/>
      <c r="D734" s="8"/>
      <c r="E734" s="8"/>
      <c r="F734" s="8"/>
      <c r="G734" s="8"/>
      <c r="H734" s="8"/>
      <c r="I734" s="8" t="s">
        <v>1420</v>
      </c>
      <c r="J734" s="8" t="s">
        <v>64</v>
      </c>
      <c r="K734" s="8" t="s">
        <v>2474</v>
      </c>
      <c r="L734" s="8"/>
      <c r="M734" s="8"/>
      <c r="N734" s="8" t="s">
        <v>62</v>
      </c>
      <c r="O734" s="8" t="s">
        <v>63</v>
      </c>
      <c r="P734" s="4" t="n">
        <v>34</v>
      </c>
      <c r="Q734" s="8"/>
      <c r="R734" s="4" t="s">
        <v>1419</v>
      </c>
      <c r="S734" s="4"/>
    </row>
    <row r="735" customFormat="false" ht="15" hidden="false" customHeight="false" outlineLevel="0" collapsed="false">
      <c r="A735" s="4" t="s">
        <v>2570</v>
      </c>
      <c r="B735" s="8" t="s">
        <v>2571</v>
      </c>
      <c r="C735" s="8"/>
      <c r="D735" s="8"/>
      <c r="E735" s="8" t="s">
        <v>68</v>
      </c>
      <c r="F735" s="8" t="s">
        <v>2572</v>
      </c>
      <c r="G735" s="8" t="s">
        <v>1169</v>
      </c>
      <c r="H735" s="8"/>
      <c r="I735" s="8" t="s">
        <v>2573</v>
      </c>
      <c r="J735" s="8" t="s">
        <v>64</v>
      </c>
      <c r="K735" s="8" t="s">
        <v>2474</v>
      </c>
      <c r="L735" s="8"/>
      <c r="M735" s="8"/>
      <c r="N735" s="8" t="s">
        <v>62</v>
      </c>
      <c r="O735" s="8" t="s">
        <v>63</v>
      </c>
      <c r="P735" s="4" t="n">
        <v>35</v>
      </c>
      <c r="Q735" s="8"/>
      <c r="R735" s="4" t="s">
        <v>2571</v>
      </c>
      <c r="S735" s="4" t="n">
        <v>161</v>
      </c>
    </row>
    <row r="736" customFormat="false" ht="15" hidden="false" customHeight="false" outlineLevel="0" collapsed="false">
      <c r="A736" s="4" t="s">
        <v>2574</v>
      </c>
      <c r="B736" s="8" t="s">
        <v>2575</v>
      </c>
      <c r="C736" s="8" t="s">
        <v>58</v>
      </c>
      <c r="D736" s="8"/>
      <c r="E736" s="8" t="s">
        <v>60</v>
      </c>
      <c r="F736" s="8"/>
      <c r="G736" s="8"/>
      <c r="H736" s="8"/>
      <c r="I736" s="8" t="s">
        <v>2576</v>
      </c>
      <c r="J736" s="8" t="s">
        <v>64</v>
      </c>
      <c r="K736" s="8" t="s">
        <v>2474</v>
      </c>
      <c r="L736" s="8"/>
      <c r="M736" s="8"/>
      <c r="N736" s="8" t="s">
        <v>62</v>
      </c>
      <c r="O736" s="8" t="s">
        <v>63</v>
      </c>
      <c r="P736" s="4" t="n">
        <v>35</v>
      </c>
      <c r="Q736" s="8"/>
      <c r="R736" s="4" t="s">
        <v>2577</v>
      </c>
      <c r="S736" s="4"/>
    </row>
    <row r="737" customFormat="false" ht="15" hidden="false" customHeight="false" outlineLevel="0" collapsed="false">
      <c r="A737" s="4" t="s">
        <v>2578</v>
      </c>
      <c r="B737" s="8" t="s">
        <v>2579</v>
      </c>
      <c r="C737" s="8" t="s">
        <v>58</v>
      </c>
      <c r="D737" s="8"/>
      <c r="E737" s="8" t="s">
        <v>60</v>
      </c>
      <c r="F737" s="8"/>
      <c r="G737" s="8"/>
      <c r="H737" s="8"/>
      <c r="I737" s="8" t="s">
        <v>2580</v>
      </c>
      <c r="J737" s="8" t="s">
        <v>64</v>
      </c>
      <c r="K737" s="8" t="s">
        <v>2474</v>
      </c>
      <c r="L737" s="8"/>
      <c r="M737" s="8"/>
      <c r="N737" s="8" t="s">
        <v>62</v>
      </c>
      <c r="O737" s="8" t="s">
        <v>63</v>
      </c>
      <c r="P737" s="4" t="n">
        <v>35</v>
      </c>
      <c r="Q737" s="8"/>
      <c r="R737" s="4" t="s">
        <v>2581</v>
      </c>
      <c r="S737" s="4"/>
    </row>
    <row r="738" customFormat="false" ht="15" hidden="false" customHeight="false" outlineLevel="0" collapsed="false">
      <c r="A738" s="4" t="s">
        <v>2582</v>
      </c>
      <c r="B738" s="8" t="s">
        <v>296</v>
      </c>
      <c r="C738" s="8" t="s">
        <v>58</v>
      </c>
      <c r="D738" s="8"/>
      <c r="E738" s="8" t="s">
        <v>60</v>
      </c>
      <c r="F738" s="8"/>
      <c r="G738" s="8"/>
      <c r="H738" s="8"/>
      <c r="I738" s="8" t="s">
        <v>297</v>
      </c>
      <c r="J738" s="8" t="s">
        <v>64</v>
      </c>
      <c r="K738" s="8" t="s">
        <v>2474</v>
      </c>
      <c r="L738" s="8"/>
      <c r="M738" s="8"/>
      <c r="N738" s="8" t="s">
        <v>62</v>
      </c>
      <c r="O738" s="8" t="s">
        <v>63</v>
      </c>
      <c r="P738" s="4" t="n">
        <v>35</v>
      </c>
      <c r="Q738" s="8"/>
      <c r="R738" s="4" t="s">
        <v>298</v>
      </c>
      <c r="S738" s="4" t="n">
        <v>3282</v>
      </c>
    </row>
    <row r="739" customFormat="false" ht="15" hidden="false" customHeight="false" outlineLevel="0" collapsed="false">
      <c r="A739" s="4" t="s">
        <v>2583</v>
      </c>
      <c r="B739" s="8" t="s">
        <v>316</v>
      </c>
      <c r="C739" s="8"/>
      <c r="D739" s="8"/>
      <c r="E739" s="8"/>
      <c r="F739" s="8"/>
      <c r="G739" s="8"/>
      <c r="H739" s="8"/>
      <c r="I739" s="8" t="s">
        <v>317</v>
      </c>
      <c r="J739" s="8" t="s">
        <v>64</v>
      </c>
      <c r="K739" s="8" t="s">
        <v>2474</v>
      </c>
      <c r="L739" s="8"/>
      <c r="M739" s="8"/>
      <c r="N739" s="8" t="s">
        <v>62</v>
      </c>
      <c r="O739" s="8" t="s">
        <v>63</v>
      </c>
      <c r="P739" s="4" t="n">
        <v>35</v>
      </c>
      <c r="Q739" s="8"/>
      <c r="R739" s="4" t="s">
        <v>316</v>
      </c>
      <c r="S739" s="4"/>
    </row>
    <row r="740" customFormat="false" ht="15" hidden="false" customHeight="false" outlineLevel="0" collapsed="false">
      <c r="A740" s="4" t="s">
        <v>2584</v>
      </c>
      <c r="B740" s="8" t="s">
        <v>328</v>
      </c>
      <c r="C740" s="8" t="s">
        <v>58</v>
      </c>
      <c r="D740" s="8"/>
      <c r="E740" s="8" t="s">
        <v>60</v>
      </c>
      <c r="F740" s="8"/>
      <c r="G740" s="8"/>
      <c r="H740" s="8"/>
      <c r="I740" s="8" t="s">
        <v>329</v>
      </c>
      <c r="J740" s="8" t="s">
        <v>64</v>
      </c>
      <c r="K740" s="8" t="s">
        <v>2474</v>
      </c>
      <c r="L740" s="8"/>
      <c r="M740" s="8"/>
      <c r="N740" s="8" t="s">
        <v>62</v>
      </c>
      <c r="O740" s="8" t="s">
        <v>63</v>
      </c>
      <c r="P740" s="4" t="n">
        <v>35</v>
      </c>
      <c r="Q740" s="8"/>
      <c r="R740" s="4" t="s">
        <v>330</v>
      </c>
      <c r="S740" s="4" t="n">
        <v>629</v>
      </c>
    </row>
    <row r="741" customFormat="false" ht="15" hidden="false" customHeight="false" outlineLevel="0" collapsed="false">
      <c r="A741" s="4" t="s">
        <v>2585</v>
      </c>
      <c r="B741" s="8" t="s">
        <v>841</v>
      </c>
      <c r="C741" s="8" t="s">
        <v>58</v>
      </c>
      <c r="D741" s="8"/>
      <c r="E741" s="8" t="s">
        <v>60</v>
      </c>
      <c r="F741" s="8"/>
      <c r="G741" s="8"/>
      <c r="H741" s="8"/>
      <c r="I741" s="8" t="s">
        <v>842</v>
      </c>
      <c r="J741" s="8" t="s">
        <v>64</v>
      </c>
      <c r="K741" s="8" t="s">
        <v>2474</v>
      </c>
      <c r="L741" s="8"/>
      <c r="M741" s="8"/>
      <c r="N741" s="8" t="s">
        <v>62</v>
      </c>
      <c r="O741" s="8" t="s">
        <v>63</v>
      </c>
      <c r="P741" s="4" t="n">
        <v>35</v>
      </c>
      <c r="Q741" s="8"/>
      <c r="R741" s="4" t="s">
        <v>843</v>
      </c>
      <c r="S741" s="4"/>
    </row>
    <row r="742" customFormat="false" ht="15" hidden="false" customHeight="false" outlineLevel="0" collapsed="false">
      <c r="A742" s="4" t="s">
        <v>2586</v>
      </c>
      <c r="B742" s="8" t="s">
        <v>2587</v>
      </c>
      <c r="C742" s="8" t="s">
        <v>58</v>
      </c>
      <c r="D742" s="8"/>
      <c r="E742" s="8" t="s">
        <v>60</v>
      </c>
      <c r="F742" s="8"/>
      <c r="G742" s="8"/>
      <c r="H742" s="8"/>
      <c r="I742" s="8" t="s">
        <v>2588</v>
      </c>
      <c r="J742" s="8" t="s">
        <v>64</v>
      </c>
      <c r="K742" s="8" t="s">
        <v>2474</v>
      </c>
      <c r="L742" s="8"/>
      <c r="M742" s="8"/>
      <c r="N742" s="8" t="s">
        <v>62</v>
      </c>
      <c r="O742" s="8" t="s">
        <v>63</v>
      </c>
      <c r="P742" s="4" t="n">
        <v>35</v>
      </c>
      <c r="Q742" s="8"/>
      <c r="R742" s="4" t="s">
        <v>2589</v>
      </c>
      <c r="S742" s="4"/>
    </row>
    <row r="743" customFormat="false" ht="15" hidden="false" customHeight="false" outlineLevel="0" collapsed="false">
      <c r="A743" s="4" t="s">
        <v>2590</v>
      </c>
      <c r="B743" s="8" t="s">
        <v>2591</v>
      </c>
      <c r="C743" s="8" t="s">
        <v>58</v>
      </c>
      <c r="D743" s="8"/>
      <c r="E743" s="8" t="s">
        <v>60</v>
      </c>
      <c r="F743" s="8"/>
      <c r="G743" s="8"/>
      <c r="H743" s="8"/>
      <c r="I743" s="8" t="s">
        <v>2592</v>
      </c>
      <c r="J743" s="8" t="s">
        <v>64</v>
      </c>
      <c r="K743" s="8" t="s">
        <v>2474</v>
      </c>
      <c r="L743" s="8"/>
      <c r="M743" s="8"/>
      <c r="N743" s="8" t="s">
        <v>62</v>
      </c>
      <c r="O743" s="8" t="s">
        <v>63</v>
      </c>
      <c r="P743" s="4" t="n">
        <v>35</v>
      </c>
      <c r="Q743" s="8"/>
      <c r="R743" s="4" t="s">
        <v>2593</v>
      </c>
      <c r="S743" s="4"/>
    </row>
    <row r="744" customFormat="false" ht="15" hidden="false" customHeight="false" outlineLevel="0" collapsed="false">
      <c r="A744" s="4" t="s">
        <v>2594</v>
      </c>
      <c r="B744" s="8" t="s">
        <v>2595</v>
      </c>
      <c r="C744" s="8" t="s">
        <v>58</v>
      </c>
      <c r="D744" s="8"/>
      <c r="E744" s="8" t="s">
        <v>60</v>
      </c>
      <c r="F744" s="8"/>
      <c r="G744" s="8"/>
      <c r="H744" s="8"/>
      <c r="I744" s="8" t="s">
        <v>2596</v>
      </c>
      <c r="J744" s="8" t="s">
        <v>64</v>
      </c>
      <c r="K744" s="8" t="s">
        <v>2474</v>
      </c>
      <c r="L744" s="8"/>
      <c r="M744" s="8"/>
      <c r="N744" s="8" t="s">
        <v>62</v>
      </c>
      <c r="O744" s="8" t="s">
        <v>63</v>
      </c>
      <c r="P744" s="4" t="n">
        <v>35</v>
      </c>
      <c r="Q744" s="8"/>
      <c r="R744" s="4" t="s">
        <v>2597</v>
      </c>
      <c r="S744" s="4"/>
    </row>
    <row r="745" customFormat="false" ht="15" hidden="false" customHeight="false" outlineLevel="0" collapsed="false">
      <c r="A745" s="4" t="s">
        <v>2598</v>
      </c>
      <c r="B745" s="8" t="s">
        <v>2599</v>
      </c>
      <c r="C745" s="8" t="s">
        <v>58</v>
      </c>
      <c r="D745" s="8" t="s">
        <v>67</v>
      </c>
      <c r="E745" s="8" t="s">
        <v>60</v>
      </c>
      <c r="F745" s="8"/>
      <c r="G745" s="8"/>
      <c r="H745" s="8"/>
      <c r="I745" s="8" t="s">
        <v>2600</v>
      </c>
      <c r="J745" s="8" t="s">
        <v>64</v>
      </c>
      <c r="K745" s="8" t="s">
        <v>2474</v>
      </c>
      <c r="L745" s="8"/>
      <c r="M745" s="8"/>
      <c r="N745" s="8" t="s">
        <v>62</v>
      </c>
      <c r="O745" s="8" t="s">
        <v>63</v>
      </c>
      <c r="P745" s="4" t="n">
        <v>35</v>
      </c>
      <c r="Q745" s="8"/>
      <c r="R745" s="4" t="s">
        <v>2601</v>
      </c>
      <c r="S745" s="4"/>
    </row>
    <row r="746" customFormat="false" ht="15" hidden="false" customHeight="false" outlineLevel="0" collapsed="false">
      <c r="A746" s="4" t="s">
        <v>2602</v>
      </c>
      <c r="B746" s="8" t="s">
        <v>2603</v>
      </c>
      <c r="C746" s="8"/>
      <c r="D746" s="8"/>
      <c r="E746" s="8"/>
      <c r="F746" s="8"/>
      <c r="G746" s="8"/>
      <c r="H746" s="8"/>
      <c r="I746" s="8" t="s">
        <v>2604</v>
      </c>
      <c r="J746" s="8" t="s">
        <v>64</v>
      </c>
      <c r="K746" s="8" t="s">
        <v>2474</v>
      </c>
      <c r="L746" s="8"/>
      <c r="M746" s="8"/>
      <c r="N746" s="8" t="s">
        <v>62</v>
      </c>
      <c r="O746" s="8" t="s">
        <v>63</v>
      </c>
      <c r="P746" s="4" t="n">
        <v>35</v>
      </c>
      <c r="Q746" s="8"/>
      <c r="R746" s="4" t="s">
        <v>2603</v>
      </c>
      <c r="S746" s="4"/>
    </row>
    <row r="747" customFormat="false" ht="15" hidden="false" customHeight="false" outlineLevel="0" collapsed="false">
      <c r="A747" s="4" t="s">
        <v>2605</v>
      </c>
      <c r="B747" s="8" t="s">
        <v>2606</v>
      </c>
      <c r="C747" s="8" t="s">
        <v>58</v>
      </c>
      <c r="D747" s="8"/>
      <c r="E747" s="8" t="s">
        <v>60</v>
      </c>
      <c r="F747" s="8"/>
      <c r="G747" s="8"/>
      <c r="H747" s="8"/>
      <c r="I747" s="8" t="s">
        <v>2607</v>
      </c>
      <c r="J747" s="8" t="s">
        <v>64</v>
      </c>
      <c r="K747" s="8" t="s">
        <v>2474</v>
      </c>
      <c r="L747" s="8"/>
      <c r="M747" s="8"/>
      <c r="N747" s="8" t="s">
        <v>62</v>
      </c>
      <c r="O747" s="8" t="s">
        <v>63</v>
      </c>
      <c r="P747" s="4" t="n">
        <v>35</v>
      </c>
      <c r="Q747" s="8"/>
      <c r="R747" s="4" t="s">
        <v>2608</v>
      </c>
      <c r="S747" s="4"/>
    </row>
    <row r="748" customFormat="false" ht="15" hidden="false" customHeight="false" outlineLevel="0" collapsed="false">
      <c r="A748" s="4" t="s">
        <v>2609</v>
      </c>
      <c r="B748" s="8" t="s">
        <v>2610</v>
      </c>
      <c r="C748" s="8"/>
      <c r="D748" s="8"/>
      <c r="E748" s="8"/>
      <c r="F748" s="8"/>
      <c r="G748" s="8"/>
      <c r="H748" s="8"/>
      <c r="I748" s="8" t="s">
        <v>2611</v>
      </c>
      <c r="J748" s="8" t="s">
        <v>64</v>
      </c>
      <c r="K748" s="8" t="s">
        <v>2474</v>
      </c>
      <c r="L748" s="8"/>
      <c r="M748" s="8"/>
      <c r="N748" s="8" t="s">
        <v>62</v>
      </c>
      <c r="O748" s="8" t="s">
        <v>63</v>
      </c>
      <c r="P748" s="4" t="n">
        <v>35</v>
      </c>
      <c r="Q748" s="8"/>
      <c r="R748" s="4" t="s">
        <v>2610</v>
      </c>
      <c r="S748" s="4" t="n">
        <v>1404</v>
      </c>
    </row>
    <row r="749" customFormat="false" ht="15" hidden="false" customHeight="false" outlineLevel="0" collapsed="false">
      <c r="A749" s="4" t="s">
        <v>2612</v>
      </c>
      <c r="B749" s="8" t="s">
        <v>2613</v>
      </c>
      <c r="C749" s="8" t="s">
        <v>58</v>
      </c>
      <c r="D749" s="8"/>
      <c r="E749" s="8" t="s">
        <v>60</v>
      </c>
      <c r="F749" s="8"/>
      <c r="G749" s="8"/>
      <c r="H749" s="8"/>
      <c r="I749" s="8" t="s">
        <v>2614</v>
      </c>
      <c r="J749" s="8" t="s">
        <v>64</v>
      </c>
      <c r="K749" s="8" t="s">
        <v>2474</v>
      </c>
      <c r="L749" s="8"/>
      <c r="M749" s="8"/>
      <c r="N749" s="8" t="s">
        <v>62</v>
      </c>
      <c r="O749" s="8" t="s">
        <v>63</v>
      </c>
      <c r="P749" s="4" t="n">
        <v>35</v>
      </c>
      <c r="Q749" s="8"/>
      <c r="R749" s="4" t="s">
        <v>2615</v>
      </c>
      <c r="S749" s="4"/>
    </row>
    <row r="750" customFormat="false" ht="15" hidden="false" customHeight="false" outlineLevel="0" collapsed="false">
      <c r="A750" s="4" t="s">
        <v>2616</v>
      </c>
      <c r="B750" s="8" t="s">
        <v>2617</v>
      </c>
      <c r="C750" s="8"/>
      <c r="D750" s="8"/>
      <c r="E750" s="8"/>
      <c r="F750" s="8"/>
      <c r="G750" s="8"/>
      <c r="H750" s="8"/>
      <c r="I750" s="8" t="s">
        <v>508</v>
      </c>
      <c r="J750" s="8" t="s">
        <v>64</v>
      </c>
      <c r="K750" s="8" t="s">
        <v>2474</v>
      </c>
      <c r="L750" s="8"/>
      <c r="M750" s="8"/>
      <c r="N750" s="8" t="s">
        <v>62</v>
      </c>
      <c r="O750" s="8" t="s">
        <v>63</v>
      </c>
      <c r="P750" s="4" t="n">
        <v>35</v>
      </c>
      <c r="Q750" s="8"/>
      <c r="R750" s="4" t="s">
        <v>2617</v>
      </c>
      <c r="S750" s="4"/>
    </row>
    <row r="751" customFormat="false" ht="15" hidden="false" customHeight="false" outlineLevel="0" collapsed="false">
      <c r="A751" s="4" t="s">
        <v>2618</v>
      </c>
      <c r="B751" s="8" t="s">
        <v>2619</v>
      </c>
      <c r="C751" s="8"/>
      <c r="D751" s="8"/>
      <c r="E751" s="8"/>
      <c r="F751" s="8"/>
      <c r="G751" s="8"/>
      <c r="H751" s="8"/>
      <c r="I751" s="8" t="s">
        <v>2620</v>
      </c>
      <c r="J751" s="8" t="s">
        <v>64</v>
      </c>
      <c r="K751" s="8" t="s">
        <v>2474</v>
      </c>
      <c r="L751" s="8"/>
      <c r="M751" s="8"/>
      <c r="N751" s="8" t="s">
        <v>62</v>
      </c>
      <c r="O751" s="8" t="s">
        <v>63</v>
      </c>
      <c r="P751" s="4" t="n">
        <v>35</v>
      </c>
      <c r="Q751" s="8"/>
      <c r="R751" s="4" t="s">
        <v>2619</v>
      </c>
      <c r="S751" s="4"/>
    </row>
    <row r="752" customFormat="false" ht="15" hidden="false" customHeight="false" outlineLevel="0" collapsed="false">
      <c r="A752" s="4" t="s">
        <v>2621</v>
      </c>
      <c r="B752" s="8" t="s">
        <v>2622</v>
      </c>
      <c r="C752" s="8"/>
      <c r="D752" s="8"/>
      <c r="E752" s="8"/>
      <c r="F752" s="8"/>
      <c r="G752" s="8"/>
      <c r="H752" s="8"/>
      <c r="I752" s="8" t="s">
        <v>2623</v>
      </c>
      <c r="J752" s="8" t="s">
        <v>64</v>
      </c>
      <c r="K752" s="8" t="s">
        <v>2474</v>
      </c>
      <c r="L752" s="8"/>
      <c r="M752" s="8"/>
      <c r="N752" s="8" t="s">
        <v>62</v>
      </c>
      <c r="O752" s="8" t="s">
        <v>63</v>
      </c>
      <c r="P752" s="4" t="n">
        <v>35</v>
      </c>
      <c r="Q752" s="8"/>
      <c r="R752" s="4" t="s">
        <v>2622</v>
      </c>
      <c r="S752" s="4"/>
    </row>
    <row r="753" customFormat="false" ht="15" hidden="false" customHeight="false" outlineLevel="0" collapsed="false">
      <c r="A753" s="4" t="s">
        <v>2624</v>
      </c>
      <c r="B753" s="8" t="s">
        <v>381</v>
      </c>
      <c r="C753" s="8" t="s">
        <v>58</v>
      </c>
      <c r="D753" s="8"/>
      <c r="E753" s="8" t="s">
        <v>60</v>
      </c>
      <c r="F753" s="8"/>
      <c r="G753" s="8"/>
      <c r="H753" s="8"/>
      <c r="I753" s="8" t="s">
        <v>382</v>
      </c>
      <c r="J753" s="8" t="s">
        <v>64</v>
      </c>
      <c r="K753" s="8" t="s">
        <v>2474</v>
      </c>
      <c r="L753" s="8"/>
      <c r="M753" s="8"/>
      <c r="N753" s="8" t="s">
        <v>62</v>
      </c>
      <c r="O753" s="8" t="s">
        <v>63</v>
      </c>
      <c r="P753" s="4" t="n">
        <v>35</v>
      </c>
      <c r="Q753" s="8"/>
      <c r="R753" s="4" t="s">
        <v>383</v>
      </c>
      <c r="S753" s="4" t="n">
        <v>3219</v>
      </c>
    </row>
    <row r="754" customFormat="false" ht="15" hidden="false" customHeight="false" outlineLevel="0" collapsed="false">
      <c r="A754" s="4" t="s">
        <v>2625</v>
      </c>
      <c r="B754" s="8" t="s">
        <v>385</v>
      </c>
      <c r="C754" s="8"/>
      <c r="D754" s="8"/>
      <c r="E754" s="8"/>
      <c r="F754" s="8"/>
      <c r="G754" s="8"/>
      <c r="H754" s="8"/>
      <c r="I754" s="8" t="s">
        <v>386</v>
      </c>
      <c r="J754" s="8" t="s">
        <v>64</v>
      </c>
      <c r="K754" s="8" t="s">
        <v>2474</v>
      </c>
      <c r="L754" s="8"/>
      <c r="M754" s="8"/>
      <c r="N754" s="8" t="s">
        <v>62</v>
      </c>
      <c r="O754" s="8" t="s">
        <v>63</v>
      </c>
      <c r="P754" s="4" t="n">
        <v>35</v>
      </c>
      <c r="Q754" s="8"/>
      <c r="R754" s="4" t="s">
        <v>385</v>
      </c>
      <c r="S754" s="4"/>
    </row>
    <row r="755" customFormat="false" ht="15" hidden="false" customHeight="false" outlineLevel="0" collapsed="false">
      <c r="A755" s="4" t="s">
        <v>2626</v>
      </c>
      <c r="B755" s="8" t="s">
        <v>2627</v>
      </c>
      <c r="C755" s="8" t="s">
        <v>58</v>
      </c>
      <c r="D755" s="8"/>
      <c r="E755" s="8" t="s">
        <v>60</v>
      </c>
      <c r="F755" s="8"/>
      <c r="G755" s="8"/>
      <c r="H755" s="8"/>
      <c r="I755" s="8" t="s">
        <v>2628</v>
      </c>
      <c r="J755" s="8" t="s">
        <v>64</v>
      </c>
      <c r="K755" s="8" t="s">
        <v>2474</v>
      </c>
      <c r="L755" s="8"/>
      <c r="M755" s="8"/>
      <c r="N755" s="8" t="s">
        <v>62</v>
      </c>
      <c r="O755" s="8" t="s">
        <v>63</v>
      </c>
      <c r="P755" s="4" t="n">
        <v>35</v>
      </c>
      <c r="Q755" s="8"/>
      <c r="R755" s="4" t="s">
        <v>2629</v>
      </c>
      <c r="S755" s="4"/>
    </row>
    <row r="756" customFormat="false" ht="15" hidden="false" customHeight="false" outlineLevel="0" collapsed="false">
      <c r="A756" s="4" t="s">
        <v>2630</v>
      </c>
      <c r="B756" s="8" t="s">
        <v>1976</v>
      </c>
      <c r="C756" s="8" t="s">
        <v>58</v>
      </c>
      <c r="D756" s="8"/>
      <c r="E756" s="8" t="s">
        <v>60</v>
      </c>
      <c r="F756" s="8"/>
      <c r="G756" s="8"/>
      <c r="H756" s="8"/>
      <c r="I756" s="8" t="s">
        <v>1977</v>
      </c>
      <c r="J756" s="8" t="s">
        <v>64</v>
      </c>
      <c r="K756" s="8" t="s">
        <v>2474</v>
      </c>
      <c r="L756" s="8"/>
      <c r="M756" s="8"/>
      <c r="N756" s="8" t="s">
        <v>62</v>
      </c>
      <c r="O756" s="8" t="s">
        <v>63</v>
      </c>
      <c r="P756" s="4" t="n">
        <v>35</v>
      </c>
      <c r="Q756" s="8"/>
      <c r="R756" s="4" t="s">
        <v>1978</v>
      </c>
      <c r="S756" s="4" t="n">
        <v>7058</v>
      </c>
    </row>
    <row r="757" customFormat="false" ht="26.85" hidden="false" customHeight="false" outlineLevel="0" collapsed="false">
      <c r="A757" s="4" t="s">
        <v>2631</v>
      </c>
      <c r="B757" s="8" t="s">
        <v>848</v>
      </c>
      <c r="C757" s="8" t="s">
        <v>58</v>
      </c>
      <c r="D757" s="8"/>
      <c r="E757" s="8" t="s">
        <v>60</v>
      </c>
      <c r="F757" s="8"/>
      <c r="G757" s="8"/>
      <c r="H757" s="8"/>
      <c r="I757" s="8" t="s">
        <v>1508</v>
      </c>
      <c r="J757" s="8" t="s">
        <v>64</v>
      </c>
      <c r="K757" s="8" t="s">
        <v>2474</v>
      </c>
      <c r="L757" s="8"/>
      <c r="M757" s="8"/>
      <c r="N757" s="8" t="s">
        <v>62</v>
      </c>
      <c r="O757" s="8" t="s">
        <v>63</v>
      </c>
      <c r="P757" s="4" t="n">
        <v>35</v>
      </c>
      <c r="Q757" s="8"/>
      <c r="R757" s="4" t="s">
        <v>850</v>
      </c>
      <c r="S757" s="4"/>
    </row>
    <row r="758" customFormat="false" ht="15" hidden="false" customHeight="false" outlineLevel="0" collapsed="false">
      <c r="A758" s="4" t="s">
        <v>2632</v>
      </c>
      <c r="B758" s="8" t="s">
        <v>2633</v>
      </c>
      <c r="C758" s="8" t="s">
        <v>58</v>
      </c>
      <c r="D758" s="8"/>
      <c r="E758" s="8" t="s">
        <v>60</v>
      </c>
      <c r="F758" s="8"/>
      <c r="G758" s="8"/>
      <c r="H758" s="8"/>
      <c r="I758" s="8" t="s">
        <v>2634</v>
      </c>
      <c r="J758" s="8" t="s">
        <v>64</v>
      </c>
      <c r="K758" s="8" t="s">
        <v>2474</v>
      </c>
      <c r="L758" s="8"/>
      <c r="M758" s="8"/>
      <c r="N758" s="8" t="s">
        <v>62</v>
      </c>
      <c r="O758" s="8" t="s">
        <v>63</v>
      </c>
      <c r="P758" s="4" t="n">
        <v>35</v>
      </c>
      <c r="Q758" s="8"/>
      <c r="R758" s="4" t="s">
        <v>2635</v>
      </c>
      <c r="S758" s="4"/>
    </row>
    <row r="759" customFormat="false" ht="15" hidden="false" customHeight="false" outlineLevel="0" collapsed="false">
      <c r="A759" s="4" t="s">
        <v>2636</v>
      </c>
      <c r="B759" s="8" t="s">
        <v>2637</v>
      </c>
      <c r="C759" s="8" t="s">
        <v>58</v>
      </c>
      <c r="D759" s="8"/>
      <c r="E759" s="8" t="s">
        <v>60</v>
      </c>
      <c r="F759" s="8"/>
      <c r="G759" s="8"/>
      <c r="H759" s="8"/>
      <c r="I759" s="8" t="s">
        <v>2638</v>
      </c>
      <c r="J759" s="8" t="s">
        <v>64</v>
      </c>
      <c r="K759" s="8" t="s">
        <v>2474</v>
      </c>
      <c r="L759" s="8"/>
      <c r="M759" s="8"/>
      <c r="N759" s="8" t="s">
        <v>62</v>
      </c>
      <c r="O759" s="8" t="s">
        <v>63</v>
      </c>
      <c r="P759" s="4" t="n">
        <v>35</v>
      </c>
      <c r="Q759" s="8"/>
      <c r="R759" s="4" t="s">
        <v>2639</v>
      </c>
      <c r="S759" s="4"/>
    </row>
    <row r="760" customFormat="false" ht="15" hidden="false" customHeight="false" outlineLevel="0" collapsed="false">
      <c r="A760" s="4" t="s">
        <v>2640</v>
      </c>
      <c r="B760" s="8" t="s">
        <v>2641</v>
      </c>
      <c r="C760" s="8" t="s">
        <v>58</v>
      </c>
      <c r="D760" s="8"/>
      <c r="E760" s="8" t="s">
        <v>60</v>
      </c>
      <c r="F760" s="8"/>
      <c r="G760" s="8"/>
      <c r="H760" s="8"/>
      <c r="I760" s="8" t="s">
        <v>2642</v>
      </c>
      <c r="J760" s="8" t="s">
        <v>64</v>
      </c>
      <c r="K760" s="8" t="s">
        <v>2474</v>
      </c>
      <c r="L760" s="8"/>
      <c r="M760" s="8"/>
      <c r="N760" s="8" t="s">
        <v>62</v>
      </c>
      <c r="O760" s="8" t="s">
        <v>63</v>
      </c>
      <c r="P760" s="4" t="n">
        <v>35</v>
      </c>
      <c r="Q760" s="8"/>
      <c r="R760" s="4" t="s">
        <v>2643</v>
      </c>
      <c r="S760" s="4"/>
    </row>
    <row r="761" customFormat="false" ht="15" hidden="false" customHeight="false" outlineLevel="0" collapsed="false">
      <c r="A761" s="4" t="s">
        <v>2644</v>
      </c>
      <c r="B761" s="8" t="s">
        <v>2645</v>
      </c>
      <c r="C761" s="8" t="s">
        <v>58</v>
      </c>
      <c r="D761" s="8"/>
      <c r="E761" s="8" t="s">
        <v>60</v>
      </c>
      <c r="F761" s="8"/>
      <c r="G761" s="8"/>
      <c r="H761" s="8"/>
      <c r="I761" s="8" t="s">
        <v>2646</v>
      </c>
      <c r="J761" s="8" t="s">
        <v>64</v>
      </c>
      <c r="K761" s="8" t="s">
        <v>2474</v>
      </c>
      <c r="L761" s="8"/>
      <c r="M761" s="8"/>
      <c r="N761" s="8" t="s">
        <v>62</v>
      </c>
      <c r="O761" s="8" t="s">
        <v>63</v>
      </c>
      <c r="P761" s="4" t="n">
        <v>35</v>
      </c>
      <c r="Q761" s="8"/>
      <c r="R761" s="4" t="s">
        <v>2647</v>
      </c>
      <c r="S761" s="4"/>
    </row>
    <row r="762" customFormat="false" ht="15" hidden="false" customHeight="false" outlineLevel="0" collapsed="false">
      <c r="A762" s="4" t="s">
        <v>2648</v>
      </c>
      <c r="B762" s="8" t="s">
        <v>2649</v>
      </c>
      <c r="C762" s="8" t="s">
        <v>58</v>
      </c>
      <c r="D762" s="8"/>
      <c r="E762" s="8" t="s">
        <v>60</v>
      </c>
      <c r="F762" s="8"/>
      <c r="G762" s="8"/>
      <c r="H762" s="8"/>
      <c r="I762" s="8" t="s">
        <v>2650</v>
      </c>
      <c r="J762" s="8" t="s">
        <v>64</v>
      </c>
      <c r="K762" s="8" t="s">
        <v>2474</v>
      </c>
      <c r="L762" s="8"/>
      <c r="M762" s="8"/>
      <c r="N762" s="8" t="s">
        <v>62</v>
      </c>
      <c r="O762" s="8" t="s">
        <v>63</v>
      </c>
      <c r="P762" s="4" t="n">
        <v>35</v>
      </c>
      <c r="Q762" s="8"/>
      <c r="R762" s="4" t="s">
        <v>2651</v>
      </c>
      <c r="S762" s="4"/>
    </row>
    <row r="763" customFormat="false" ht="15" hidden="false" customHeight="false" outlineLevel="0" collapsed="false">
      <c r="A763" s="4" t="s">
        <v>2652</v>
      </c>
      <c r="B763" s="8" t="s">
        <v>2653</v>
      </c>
      <c r="C763" s="8" t="s">
        <v>58</v>
      </c>
      <c r="D763" s="8"/>
      <c r="E763" s="8" t="s">
        <v>60</v>
      </c>
      <c r="F763" s="8"/>
      <c r="G763" s="8"/>
      <c r="H763" s="8"/>
      <c r="I763" s="8" t="s">
        <v>2654</v>
      </c>
      <c r="J763" s="8" t="s">
        <v>64</v>
      </c>
      <c r="K763" s="8" t="s">
        <v>2474</v>
      </c>
      <c r="L763" s="8"/>
      <c r="M763" s="8"/>
      <c r="N763" s="8" t="s">
        <v>62</v>
      </c>
      <c r="O763" s="8" t="s">
        <v>63</v>
      </c>
      <c r="P763" s="4" t="n">
        <v>35</v>
      </c>
      <c r="Q763" s="8"/>
      <c r="R763" s="4" t="s">
        <v>2655</v>
      </c>
      <c r="S763" s="4"/>
    </row>
    <row r="764" customFormat="false" ht="15" hidden="false" customHeight="false" outlineLevel="0" collapsed="false">
      <c r="A764" s="4" t="s">
        <v>2656</v>
      </c>
      <c r="B764" s="8" t="s">
        <v>2657</v>
      </c>
      <c r="C764" s="8" t="s">
        <v>58</v>
      </c>
      <c r="D764" s="8"/>
      <c r="E764" s="8" t="s">
        <v>60</v>
      </c>
      <c r="F764" s="8"/>
      <c r="G764" s="8"/>
      <c r="H764" s="8"/>
      <c r="I764" s="8" t="s">
        <v>2658</v>
      </c>
      <c r="J764" s="8" t="s">
        <v>64</v>
      </c>
      <c r="K764" s="8" t="s">
        <v>2474</v>
      </c>
      <c r="L764" s="8"/>
      <c r="M764" s="8"/>
      <c r="N764" s="8" t="s">
        <v>62</v>
      </c>
      <c r="O764" s="8" t="s">
        <v>63</v>
      </c>
      <c r="P764" s="4" t="n">
        <v>35</v>
      </c>
      <c r="Q764" s="8"/>
      <c r="R764" s="4" t="s">
        <v>2659</v>
      </c>
      <c r="S764" s="4"/>
    </row>
    <row r="765" customFormat="false" ht="15" hidden="false" customHeight="false" outlineLevel="0" collapsed="false">
      <c r="A765" s="4" t="s">
        <v>2660</v>
      </c>
      <c r="B765" s="8" t="s">
        <v>2661</v>
      </c>
      <c r="C765" s="8" t="s">
        <v>58</v>
      </c>
      <c r="D765" s="8"/>
      <c r="E765" s="8" t="s">
        <v>60</v>
      </c>
      <c r="F765" s="8"/>
      <c r="G765" s="8"/>
      <c r="H765" s="8"/>
      <c r="I765" s="8" t="s">
        <v>2662</v>
      </c>
      <c r="J765" s="8" t="s">
        <v>64</v>
      </c>
      <c r="K765" s="8" t="s">
        <v>2474</v>
      </c>
      <c r="L765" s="8"/>
      <c r="M765" s="8"/>
      <c r="N765" s="8" t="s">
        <v>62</v>
      </c>
      <c r="O765" s="8" t="s">
        <v>63</v>
      </c>
      <c r="P765" s="4" t="n">
        <v>35</v>
      </c>
      <c r="Q765" s="8"/>
      <c r="R765" s="4" t="s">
        <v>2663</v>
      </c>
      <c r="S765" s="4"/>
    </row>
    <row r="766" customFormat="false" ht="15" hidden="false" customHeight="false" outlineLevel="0" collapsed="false">
      <c r="A766" s="4" t="s">
        <v>2664</v>
      </c>
      <c r="B766" s="8" t="s">
        <v>2665</v>
      </c>
      <c r="C766" s="8" t="s">
        <v>58</v>
      </c>
      <c r="D766" s="8"/>
      <c r="E766" s="8" t="s">
        <v>60</v>
      </c>
      <c r="F766" s="8"/>
      <c r="G766" s="8"/>
      <c r="H766" s="8"/>
      <c r="I766" s="8" t="s">
        <v>2666</v>
      </c>
      <c r="J766" s="8" t="s">
        <v>64</v>
      </c>
      <c r="K766" s="8" t="s">
        <v>2474</v>
      </c>
      <c r="L766" s="8"/>
      <c r="M766" s="8"/>
      <c r="N766" s="8" t="s">
        <v>62</v>
      </c>
      <c r="O766" s="8" t="s">
        <v>63</v>
      </c>
      <c r="P766" s="4" t="n">
        <v>35</v>
      </c>
      <c r="Q766" s="8"/>
      <c r="R766" s="4" t="s">
        <v>2667</v>
      </c>
      <c r="S766" s="4"/>
    </row>
    <row r="767" customFormat="false" ht="15" hidden="false" customHeight="false" outlineLevel="0" collapsed="false">
      <c r="A767" s="4" t="s">
        <v>2668</v>
      </c>
      <c r="B767" s="8" t="s">
        <v>2669</v>
      </c>
      <c r="C767" s="8" t="s">
        <v>58</v>
      </c>
      <c r="D767" s="8"/>
      <c r="E767" s="8" t="s">
        <v>60</v>
      </c>
      <c r="F767" s="8"/>
      <c r="G767" s="8"/>
      <c r="H767" s="8"/>
      <c r="I767" s="8" t="s">
        <v>2670</v>
      </c>
      <c r="J767" s="8" t="s">
        <v>64</v>
      </c>
      <c r="K767" s="8" t="s">
        <v>2474</v>
      </c>
      <c r="L767" s="8"/>
      <c r="M767" s="8"/>
      <c r="N767" s="8" t="s">
        <v>62</v>
      </c>
      <c r="O767" s="8" t="s">
        <v>63</v>
      </c>
      <c r="P767" s="4" t="n">
        <v>35</v>
      </c>
      <c r="Q767" s="8"/>
      <c r="R767" s="4" t="s">
        <v>2671</v>
      </c>
      <c r="S767" s="4"/>
    </row>
    <row r="768" customFormat="false" ht="15" hidden="false" customHeight="false" outlineLevel="0" collapsed="false">
      <c r="A768" s="4" t="s">
        <v>2672</v>
      </c>
      <c r="B768" s="8" t="s">
        <v>408</v>
      </c>
      <c r="C768" s="8" t="s">
        <v>58</v>
      </c>
      <c r="D768" s="8"/>
      <c r="E768" s="8" t="s">
        <v>60</v>
      </c>
      <c r="F768" s="8"/>
      <c r="G768" s="8"/>
      <c r="H768" s="8"/>
      <c r="I768" s="8" t="s">
        <v>409</v>
      </c>
      <c r="J768" s="8" t="s">
        <v>64</v>
      </c>
      <c r="K768" s="8" t="s">
        <v>2474</v>
      </c>
      <c r="L768" s="8"/>
      <c r="M768" s="8"/>
      <c r="N768" s="8" t="s">
        <v>62</v>
      </c>
      <c r="O768" s="8" t="s">
        <v>63</v>
      </c>
      <c r="P768" s="4" t="n">
        <v>35</v>
      </c>
      <c r="Q768" s="8"/>
      <c r="R768" s="4" t="s">
        <v>410</v>
      </c>
      <c r="S768" s="4" t="n">
        <v>1438</v>
      </c>
    </row>
    <row r="769" customFormat="false" ht="15" hidden="false" customHeight="false" outlineLevel="0" collapsed="false">
      <c r="A769" s="4" t="s">
        <v>2673</v>
      </c>
      <c r="B769" s="8" t="s">
        <v>2674</v>
      </c>
      <c r="C769" s="8" t="s">
        <v>58</v>
      </c>
      <c r="D769" s="8"/>
      <c r="E769" s="8" t="s">
        <v>60</v>
      </c>
      <c r="F769" s="8"/>
      <c r="G769" s="8"/>
      <c r="H769" s="8"/>
      <c r="I769" s="8" t="s">
        <v>2675</v>
      </c>
      <c r="J769" s="8" t="s">
        <v>64</v>
      </c>
      <c r="K769" s="8" t="s">
        <v>2474</v>
      </c>
      <c r="L769" s="8"/>
      <c r="M769" s="8"/>
      <c r="N769" s="8" t="s">
        <v>62</v>
      </c>
      <c r="O769" s="8" t="s">
        <v>63</v>
      </c>
      <c r="P769" s="4" t="n">
        <v>35</v>
      </c>
      <c r="Q769" s="8"/>
      <c r="R769" s="4" t="s">
        <v>2676</v>
      </c>
      <c r="S769" s="4"/>
    </row>
    <row r="770" customFormat="false" ht="15" hidden="false" customHeight="false" outlineLevel="0" collapsed="false">
      <c r="A770" s="4" t="s">
        <v>2677</v>
      </c>
      <c r="B770" s="8" t="s">
        <v>2678</v>
      </c>
      <c r="C770" s="8"/>
      <c r="D770" s="8"/>
      <c r="E770" s="8"/>
      <c r="F770" s="8"/>
      <c r="G770" s="8"/>
      <c r="H770" s="8"/>
      <c r="I770" s="8" t="s">
        <v>2679</v>
      </c>
      <c r="J770" s="8" t="s">
        <v>64</v>
      </c>
      <c r="K770" s="8" t="s">
        <v>2474</v>
      </c>
      <c r="L770" s="8"/>
      <c r="M770" s="8"/>
      <c r="N770" s="8" t="s">
        <v>62</v>
      </c>
      <c r="O770" s="8" t="s">
        <v>63</v>
      </c>
      <c r="P770" s="4" t="n">
        <v>35</v>
      </c>
      <c r="Q770" s="8"/>
      <c r="R770" s="4" t="s">
        <v>2678</v>
      </c>
      <c r="S770" s="4"/>
    </row>
    <row r="771" customFormat="false" ht="15" hidden="false" customHeight="false" outlineLevel="0" collapsed="false">
      <c r="A771" s="4" t="s">
        <v>2680</v>
      </c>
      <c r="B771" s="8" t="s">
        <v>2681</v>
      </c>
      <c r="C771" s="8"/>
      <c r="D771" s="8"/>
      <c r="E771" s="8"/>
      <c r="F771" s="8"/>
      <c r="G771" s="8"/>
      <c r="H771" s="8"/>
      <c r="I771" s="8" t="s">
        <v>2682</v>
      </c>
      <c r="J771" s="8" t="s">
        <v>64</v>
      </c>
      <c r="K771" s="8" t="s">
        <v>2474</v>
      </c>
      <c r="L771" s="8"/>
      <c r="M771" s="8"/>
      <c r="N771" s="8" t="s">
        <v>62</v>
      </c>
      <c r="O771" s="8" t="s">
        <v>63</v>
      </c>
      <c r="P771" s="4" t="n">
        <v>35</v>
      </c>
      <c r="Q771" s="8"/>
      <c r="R771" s="4" t="s">
        <v>2681</v>
      </c>
      <c r="S771" s="4"/>
    </row>
    <row r="772" customFormat="false" ht="15" hidden="false" customHeight="false" outlineLevel="0" collapsed="false">
      <c r="A772" s="4" t="s">
        <v>2683</v>
      </c>
      <c r="B772" s="8" t="s">
        <v>2684</v>
      </c>
      <c r="C772" s="8"/>
      <c r="D772" s="8"/>
      <c r="E772" s="8"/>
      <c r="F772" s="8"/>
      <c r="G772" s="8"/>
      <c r="H772" s="8"/>
      <c r="I772" s="8" t="s">
        <v>2685</v>
      </c>
      <c r="J772" s="8" t="s">
        <v>64</v>
      </c>
      <c r="K772" s="8" t="s">
        <v>2474</v>
      </c>
      <c r="L772" s="8"/>
      <c r="M772" s="8"/>
      <c r="N772" s="8" t="s">
        <v>62</v>
      </c>
      <c r="O772" s="8" t="s">
        <v>63</v>
      </c>
      <c r="P772" s="4" t="n">
        <v>35</v>
      </c>
      <c r="Q772" s="8"/>
      <c r="R772" s="4" t="s">
        <v>2684</v>
      </c>
      <c r="S772" s="4"/>
    </row>
    <row r="773" customFormat="false" ht="15" hidden="false" customHeight="false" outlineLevel="0" collapsed="false">
      <c r="A773" s="4" t="s">
        <v>2686</v>
      </c>
      <c r="B773" s="8" t="s">
        <v>2687</v>
      </c>
      <c r="C773" s="8" t="s">
        <v>58</v>
      </c>
      <c r="D773" s="8"/>
      <c r="E773" s="8" t="s">
        <v>60</v>
      </c>
      <c r="F773" s="8"/>
      <c r="G773" s="8"/>
      <c r="H773" s="8"/>
      <c r="I773" s="8" t="s">
        <v>2688</v>
      </c>
      <c r="J773" s="8" t="s">
        <v>64</v>
      </c>
      <c r="K773" s="8" t="s">
        <v>2474</v>
      </c>
      <c r="L773" s="8"/>
      <c r="M773" s="8"/>
      <c r="N773" s="8" t="s">
        <v>62</v>
      </c>
      <c r="O773" s="8" t="s">
        <v>63</v>
      </c>
      <c r="P773" s="4" t="n">
        <v>35</v>
      </c>
      <c r="Q773" s="8"/>
      <c r="R773" s="4" t="s">
        <v>2689</v>
      </c>
      <c r="S773" s="4"/>
    </row>
    <row r="774" customFormat="false" ht="15" hidden="false" customHeight="false" outlineLevel="0" collapsed="false">
      <c r="A774" s="4" t="s">
        <v>2690</v>
      </c>
      <c r="B774" s="8" t="s">
        <v>2691</v>
      </c>
      <c r="C774" s="8" t="s">
        <v>58</v>
      </c>
      <c r="D774" s="8"/>
      <c r="E774" s="8" t="s">
        <v>60</v>
      </c>
      <c r="F774" s="8"/>
      <c r="G774" s="8"/>
      <c r="H774" s="8"/>
      <c r="I774" s="8" t="s">
        <v>2692</v>
      </c>
      <c r="J774" s="8" t="s">
        <v>64</v>
      </c>
      <c r="K774" s="8" t="s">
        <v>2474</v>
      </c>
      <c r="L774" s="8"/>
      <c r="M774" s="8"/>
      <c r="N774" s="8" t="s">
        <v>62</v>
      </c>
      <c r="O774" s="8" t="s">
        <v>63</v>
      </c>
      <c r="P774" s="4" t="n">
        <v>35</v>
      </c>
      <c r="Q774" s="8"/>
      <c r="R774" s="4" t="s">
        <v>2693</v>
      </c>
      <c r="S774" s="4"/>
    </row>
    <row r="775" customFormat="false" ht="15" hidden="false" customHeight="false" outlineLevel="0" collapsed="false">
      <c r="A775" s="4" t="s">
        <v>2694</v>
      </c>
      <c r="B775" s="8" t="s">
        <v>2695</v>
      </c>
      <c r="C775" s="8" t="s">
        <v>58</v>
      </c>
      <c r="D775" s="8"/>
      <c r="E775" s="8" t="s">
        <v>60</v>
      </c>
      <c r="F775" s="8"/>
      <c r="G775" s="8"/>
      <c r="H775" s="8"/>
      <c r="I775" s="8" t="s">
        <v>2696</v>
      </c>
      <c r="J775" s="8" t="s">
        <v>64</v>
      </c>
      <c r="K775" s="8" t="s">
        <v>2474</v>
      </c>
      <c r="L775" s="8"/>
      <c r="M775" s="8"/>
      <c r="N775" s="8" t="s">
        <v>62</v>
      </c>
      <c r="O775" s="8" t="s">
        <v>63</v>
      </c>
      <c r="P775" s="4" t="n">
        <v>35</v>
      </c>
      <c r="Q775" s="8"/>
      <c r="R775" s="4" t="s">
        <v>2697</v>
      </c>
      <c r="S775" s="4"/>
    </row>
    <row r="776" customFormat="false" ht="15" hidden="false" customHeight="false" outlineLevel="0" collapsed="false">
      <c r="A776" s="4" t="s">
        <v>2698</v>
      </c>
      <c r="B776" s="8" t="s">
        <v>2699</v>
      </c>
      <c r="C776" s="8" t="s">
        <v>58</v>
      </c>
      <c r="D776" s="8"/>
      <c r="E776" s="8" t="s">
        <v>60</v>
      </c>
      <c r="F776" s="8"/>
      <c r="G776" s="8"/>
      <c r="H776" s="8"/>
      <c r="I776" s="8" t="s">
        <v>2700</v>
      </c>
      <c r="J776" s="8" t="s">
        <v>64</v>
      </c>
      <c r="K776" s="8" t="s">
        <v>2474</v>
      </c>
      <c r="L776" s="8"/>
      <c r="M776" s="8"/>
      <c r="N776" s="8" t="s">
        <v>62</v>
      </c>
      <c r="O776" s="8" t="s">
        <v>63</v>
      </c>
      <c r="P776" s="4" t="n">
        <v>35</v>
      </c>
      <c r="Q776" s="8"/>
      <c r="R776" s="4" t="s">
        <v>2701</v>
      </c>
      <c r="S776" s="4" t="n">
        <v>1202</v>
      </c>
    </row>
    <row r="777" customFormat="false" ht="15" hidden="false" customHeight="false" outlineLevel="0" collapsed="false">
      <c r="A777" s="4" t="s">
        <v>2702</v>
      </c>
      <c r="B777" s="8" t="s">
        <v>2703</v>
      </c>
      <c r="C777" s="8"/>
      <c r="D777" s="8"/>
      <c r="E777" s="8"/>
      <c r="F777" s="8"/>
      <c r="G777" s="8"/>
      <c r="H777" s="8"/>
      <c r="I777" s="8" t="s">
        <v>464</v>
      </c>
      <c r="J777" s="8" t="s">
        <v>64</v>
      </c>
      <c r="K777" s="8" t="s">
        <v>2474</v>
      </c>
      <c r="L777" s="8"/>
      <c r="M777" s="8"/>
      <c r="N777" s="8" t="s">
        <v>62</v>
      </c>
      <c r="O777" s="8" t="s">
        <v>63</v>
      </c>
      <c r="P777" s="4" t="n">
        <v>35</v>
      </c>
      <c r="Q777" s="8"/>
      <c r="R777" s="4" t="s">
        <v>2703</v>
      </c>
      <c r="S777" s="4" t="n">
        <v>431</v>
      </c>
    </row>
    <row r="778" customFormat="false" ht="15" hidden="false" customHeight="false" outlineLevel="0" collapsed="false">
      <c r="A778" s="4" t="s">
        <v>2704</v>
      </c>
      <c r="B778" s="8" t="s">
        <v>2705</v>
      </c>
      <c r="C778" s="8" t="s">
        <v>58</v>
      </c>
      <c r="D778" s="8" t="s">
        <v>67</v>
      </c>
      <c r="E778" s="8" t="s">
        <v>60</v>
      </c>
      <c r="F778" s="8"/>
      <c r="G778" s="8"/>
      <c r="H778" s="8"/>
      <c r="I778" s="8" t="s">
        <v>2706</v>
      </c>
      <c r="J778" s="8" t="s">
        <v>64</v>
      </c>
      <c r="K778" s="8" t="s">
        <v>2474</v>
      </c>
      <c r="L778" s="8"/>
      <c r="M778" s="8"/>
      <c r="N778" s="8" t="s">
        <v>62</v>
      </c>
      <c r="O778" s="8" t="s">
        <v>63</v>
      </c>
      <c r="P778" s="4" t="n">
        <v>35</v>
      </c>
      <c r="Q778" s="8"/>
      <c r="R778" s="4" t="s">
        <v>2707</v>
      </c>
      <c r="S778" s="4" t="n">
        <v>1412</v>
      </c>
    </row>
    <row r="779" customFormat="false" ht="15" hidden="false" customHeight="false" outlineLevel="0" collapsed="false">
      <c r="A779" s="4" t="s">
        <v>2708</v>
      </c>
      <c r="B779" s="8" t="s">
        <v>2709</v>
      </c>
      <c r="C779" s="8"/>
      <c r="D779" s="8"/>
      <c r="E779" s="8"/>
      <c r="F779" s="8"/>
      <c r="G779" s="8"/>
      <c r="H779" s="8"/>
      <c r="I779" s="8" t="s">
        <v>2710</v>
      </c>
      <c r="J779" s="8" t="s">
        <v>64</v>
      </c>
      <c r="K779" s="8" t="s">
        <v>2474</v>
      </c>
      <c r="L779" s="8"/>
      <c r="M779" s="8"/>
      <c r="N779" s="8" t="s">
        <v>62</v>
      </c>
      <c r="O779" s="8" t="s">
        <v>63</v>
      </c>
      <c r="P779" s="4" t="n">
        <v>35</v>
      </c>
      <c r="Q779" s="8"/>
      <c r="R779" s="4" t="s">
        <v>2709</v>
      </c>
      <c r="S779" s="4"/>
    </row>
    <row r="780" customFormat="false" ht="15" hidden="false" customHeight="false" outlineLevel="0" collapsed="false">
      <c r="A780" s="4" t="s">
        <v>2711</v>
      </c>
      <c r="B780" s="8" t="s">
        <v>2712</v>
      </c>
      <c r="C780" s="8"/>
      <c r="D780" s="8"/>
      <c r="E780" s="8"/>
      <c r="F780" s="8"/>
      <c r="G780" s="8"/>
      <c r="H780" s="8"/>
      <c r="I780" s="8" t="s">
        <v>2713</v>
      </c>
      <c r="J780" s="8" t="s">
        <v>64</v>
      </c>
      <c r="K780" s="8" t="s">
        <v>2474</v>
      </c>
      <c r="L780" s="8"/>
      <c r="M780" s="8"/>
      <c r="N780" s="8" t="s">
        <v>62</v>
      </c>
      <c r="O780" s="8" t="s">
        <v>63</v>
      </c>
      <c r="P780" s="4" t="n">
        <v>35</v>
      </c>
      <c r="Q780" s="8"/>
      <c r="R780" s="4" t="s">
        <v>2712</v>
      </c>
      <c r="S780" s="4"/>
    </row>
    <row r="781" customFormat="false" ht="15" hidden="false" customHeight="false" outlineLevel="0" collapsed="false">
      <c r="A781" s="4" t="s">
        <v>2714</v>
      </c>
      <c r="B781" s="8" t="s">
        <v>2715</v>
      </c>
      <c r="C781" s="8"/>
      <c r="D781" s="8"/>
      <c r="E781" s="8"/>
      <c r="F781" s="8"/>
      <c r="G781" s="8"/>
      <c r="H781" s="8"/>
      <c r="I781" s="8" t="s">
        <v>2716</v>
      </c>
      <c r="J781" s="8" t="s">
        <v>64</v>
      </c>
      <c r="K781" s="8" t="s">
        <v>2474</v>
      </c>
      <c r="L781" s="8"/>
      <c r="M781" s="8"/>
      <c r="N781" s="8" t="s">
        <v>62</v>
      </c>
      <c r="O781" s="8" t="s">
        <v>63</v>
      </c>
      <c r="P781" s="4" t="n">
        <v>36</v>
      </c>
      <c r="Q781" s="8"/>
      <c r="R781" s="4" t="s">
        <v>2715</v>
      </c>
      <c r="S781" s="4"/>
    </row>
    <row r="782" customFormat="false" ht="15" hidden="false" customHeight="false" outlineLevel="0" collapsed="false">
      <c r="A782" s="4" t="s">
        <v>2717</v>
      </c>
      <c r="B782" s="8" t="s">
        <v>2718</v>
      </c>
      <c r="C782" s="8"/>
      <c r="D782" s="8"/>
      <c r="E782" s="8"/>
      <c r="F782" s="8"/>
      <c r="G782" s="8"/>
      <c r="H782" s="8"/>
      <c r="I782" s="8" t="s">
        <v>2719</v>
      </c>
      <c r="J782" s="8" t="s">
        <v>64</v>
      </c>
      <c r="K782" s="8" t="s">
        <v>2474</v>
      </c>
      <c r="L782" s="8"/>
      <c r="M782" s="8"/>
      <c r="N782" s="8" t="s">
        <v>62</v>
      </c>
      <c r="O782" s="8" t="s">
        <v>63</v>
      </c>
      <c r="P782" s="4" t="n">
        <v>36</v>
      </c>
      <c r="Q782" s="8"/>
      <c r="R782" s="4" t="s">
        <v>2718</v>
      </c>
      <c r="S782" s="4"/>
    </row>
    <row r="783" customFormat="false" ht="15" hidden="false" customHeight="false" outlineLevel="0" collapsed="false">
      <c r="A783" s="4" t="s">
        <v>2720</v>
      </c>
      <c r="B783" s="8" t="s">
        <v>2721</v>
      </c>
      <c r="C783" s="8"/>
      <c r="D783" s="8"/>
      <c r="E783" s="8"/>
      <c r="F783" s="8"/>
      <c r="G783" s="8"/>
      <c r="H783" s="8"/>
      <c r="I783" s="8" t="s">
        <v>2722</v>
      </c>
      <c r="J783" s="8" t="s">
        <v>64</v>
      </c>
      <c r="K783" s="8" t="s">
        <v>2474</v>
      </c>
      <c r="L783" s="8"/>
      <c r="M783" s="8"/>
      <c r="N783" s="8" t="s">
        <v>62</v>
      </c>
      <c r="O783" s="8" t="s">
        <v>63</v>
      </c>
      <c r="P783" s="4" t="n">
        <v>36</v>
      </c>
      <c r="Q783" s="8"/>
      <c r="R783" s="4" t="s">
        <v>2721</v>
      </c>
      <c r="S783" s="4"/>
    </row>
    <row r="784" customFormat="false" ht="15" hidden="false" customHeight="false" outlineLevel="0" collapsed="false">
      <c r="A784" s="4" t="s">
        <v>2723</v>
      </c>
      <c r="B784" s="8" t="s">
        <v>2724</v>
      </c>
      <c r="C784" s="8" t="s">
        <v>58</v>
      </c>
      <c r="D784" s="8"/>
      <c r="E784" s="8" t="s">
        <v>60</v>
      </c>
      <c r="F784" s="8"/>
      <c r="G784" s="8"/>
      <c r="H784" s="8"/>
      <c r="I784" s="8" t="s">
        <v>2725</v>
      </c>
      <c r="J784" s="8" t="s">
        <v>64</v>
      </c>
      <c r="K784" s="8" t="s">
        <v>2474</v>
      </c>
      <c r="L784" s="8"/>
      <c r="M784" s="8"/>
      <c r="N784" s="8" t="s">
        <v>62</v>
      </c>
      <c r="O784" s="8" t="s">
        <v>63</v>
      </c>
      <c r="P784" s="4" t="n">
        <v>36</v>
      </c>
      <c r="Q784" s="8"/>
      <c r="R784" s="4" t="s">
        <v>2726</v>
      </c>
      <c r="S784" s="4"/>
    </row>
    <row r="785" customFormat="false" ht="15" hidden="false" customHeight="false" outlineLevel="0" collapsed="false">
      <c r="A785" s="4" t="s">
        <v>2727</v>
      </c>
      <c r="B785" s="8" t="s">
        <v>2728</v>
      </c>
      <c r="C785" s="8"/>
      <c r="D785" s="8"/>
      <c r="E785" s="8"/>
      <c r="F785" s="8"/>
      <c r="G785" s="8"/>
      <c r="H785" s="8"/>
      <c r="I785" s="8" t="s">
        <v>2729</v>
      </c>
      <c r="J785" s="8" t="s">
        <v>64</v>
      </c>
      <c r="K785" s="8" t="s">
        <v>2474</v>
      </c>
      <c r="L785" s="8"/>
      <c r="M785" s="8"/>
      <c r="N785" s="8" t="s">
        <v>62</v>
      </c>
      <c r="O785" s="8" t="s">
        <v>63</v>
      </c>
      <c r="P785" s="4" t="n">
        <v>36</v>
      </c>
      <c r="Q785" s="8"/>
      <c r="R785" s="4" t="s">
        <v>2728</v>
      </c>
      <c r="S785" s="4"/>
    </row>
    <row r="786" customFormat="false" ht="15" hidden="false" customHeight="false" outlineLevel="0" collapsed="false">
      <c r="A786" s="4" t="s">
        <v>2730</v>
      </c>
      <c r="B786" s="8" t="s">
        <v>2731</v>
      </c>
      <c r="C786" s="8" t="s">
        <v>58</v>
      </c>
      <c r="D786" s="8"/>
      <c r="E786" s="8" t="s">
        <v>60</v>
      </c>
      <c r="F786" s="8"/>
      <c r="G786" s="8"/>
      <c r="H786" s="8"/>
      <c r="I786" s="8" t="s">
        <v>2732</v>
      </c>
      <c r="J786" s="8" t="s">
        <v>64</v>
      </c>
      <c r="K786" s="8" t="s">
        <v>2474</v>
      </c>
      <c r="L786" s="8"/>
      <c r="M786" s="8"/>
      <c r="N786" s="8" t="s">
        <v>62</v>
      </c>
      <c r="O786" s="8" t="s">
        <v>63</v>
      </c>
      <c r="P786" s="4" t="n">
        <v>36</v>
      </c>
      <c r="Q786" s="8"/>
      <c r="R786" s="4" t="s">
        <v>2733</v>
      </c>
      <c r="S786" s="4"/>
    </row>
    <row r="787" customFormat="false" ht="15" hidden="false" customHeight="false" outlineLevel="0" collapsed="false">
      <c r="A787" s="4" t="s">
        <v>2734</v>
      </c>
      <c r="B787" s="8" t="s">
        <v>624</v>
      </c>
      <c r="C787" s="8"/>
      <c r="D787" s="8"/>
      <c r="E787" s="8"/>
      <c r="F787" s="8"/>
      <c r="G787" s="8"/>
      <c r="H787" s="8"/>
      <c r="I787" s="8" t="s">
        <v>625</v>
      </c>
      <c r="J787" s="8" t="s">
        <v>64</v>
      </c>
      <c r="K787" s="8" t="s">
        <v>2474</v>
      </c>
      <c r="L787" s="8"/>
      <c r="M787" s="8"/>
      <c r="N787" s="8" t="s">
        <v>62</v>
      </c>
      <c r="O787" s="8" t="s">
        <v>63</v>
      </c>
      <c r="P787" s="4" t="n">
        <v>36</v>
      </c>
      <c r="Q787" s="8"/>
      <c r="R787" s="4" t="s">
        <v>624</v>
      </c>
      <c r="S787" s="4"/>
    </row>
    <row r="788" customFormat="false" ht="15" hidden="false" customHeight="false" outlineLevel="0" collapsed="false">
      <c r="A788" s="4" t="s">
        <v>2735</v>
      </c>
      <c r="B788" s="8" t="s">
        <v>2736</v>
      </c>
      <c r="C788" s="8" t="s">
        <v>58</v>
      </c>
      <c r="D788" s="8"/>
      <c r="E788" s="8" t="s">
        <v>60</v>
      </c>
      <c r="F788" s="8"/>
      <c r="G788" s="8"/>
      <c r="H788" s="8"/>
      <c r="I788" s="8" t="s">
        <v>2737</v>
      </c>
      <c r="J788" s="8" t="s">
        <v>64</v>
      </c>
      <c r="K788" s="8" t="s">
        <v>2474</v>
      </c>
      <c r="L788" s="8"/>
      <c r="M788" s="8"/>
      <c r="N788" s="8" t="s">
        <v>62</v>
      </c>
      <c r="O788" s="8" t="s">
        <v>63</v>
      </c>
      <c r="P788" s="4" t="n">
        <v>36</v>
      </c>
      <c r="Q788" s="8"/>
      <c r="R788" s="4" t="s">
        <v>2738</v>
      </c>
      <c r="S788" s="4" t="n">
        <v>1720</v>
      </c>
    </row>
    <row r="789" customFormat="false" ht="15" hidden="false" customHeight="false" outlineLevel="0" collapsed="false">
      <c r="A789" s="4" t="s">
        <v>2739</v>
      </c>
      <c r="B789" s="8" t="s">
        <v>2740</v>
      </c>
      <c r="C789" s="8"/>
      <c r="D789" s="8"/>
      <c r="E789" s="8"/>
      <c r="F789" s="8"/>
      <c r="G789" s="8"/>
      <c r="H789" s="8"/>
      <c r="I789" s="8" t="s">
        <v>2741</v>
      </c>
      <c r="J789" s="8" t="s">
        <v>64</v>
      </c>
      <c r="K789" s="8" t="s">
        <v>2474</v>
      </c>
      <c r="L789" s="8"/>
      <c r="M789" s="8"/>
      <c r="N789" s="8" t="s">
        <v>62</v>
      </c>
      <c r="O789" s="8" t="s">
        <v>63</v>
      </c>
      <c r="P789" s="4" t="n">
        <v>36</v>
      </c>
      <c r="Q789" s="8"/>
      <c r="R789" s="4" t="s">
        <v>2740</v>
      </c>
      <c r="S789" s="4" t="n">
        <v>1156</v>
      </c>
    </row>
    <row r="790" customFormat="false" ht="15" hidden="false" customHeight="false" outlineLevel="0" collapsed="false">
      <c r="A790" s="4" t="s">
        <v>2742</v>
      </c>
      <c r="B790" s="8" t="s">
        <v>2743</v>
      </c>
      <c r="C790" s="8"/>
      <c r="D790" s="8"/>
      <c r="E790" s="8"/>
      <c r="F790" s="8"/>
      <c r="G790" s="8"/>
      <c r="H790" s="8"/>
      <c r="I790" s="8" t="s">
        <v>2744</v>
      </c>
      <c r="J790" s="8" t="s">
        <v>64</v>
      </c>
      <c r="K790" s="8" t="s">
        <v>2474</v>
      </c>
      <c r="L790" s="8"/>
      <c r="M790" s="8"/>
      <c r="N790" s="8" t="s">
        <v>62</v>
      </c>
      <c r="O790" s="8" t="s">
        <v>63</v>
      </c>
      <c r="P790" s="4" t="n">
        <v>36</v>
      </c>
      <c r="Q790" s="8"/>
      <c r="R790" s="4" t="s">
        <v>2743</v>
      </c>
      <c r="S790" s="4"/>
    </row>
    <row r="791" customFormat="false" ht="15" hidden="false" customHeight="false" outlineLevel="0" collapsed="false">
      <c r="A791" s="4" t="s">
        <v>2745</v>
      </c>
      <c r="B791" s="8" t="s">
        <v>2746</v>
      </c>
      <c r="C791" s="8" t="s">
        <v>58</v>
      </c>
      <c r="D791" s="8"/>
      <c r="E791" s="8" t="s">
        <v>60</v>
      </c>
      <c r="F791" s="8"/>
      <c r="G791" s="8"/>
      <c r="H791" s="8"/>
      <c r="I791" s="8" t="s">
        <v>2747</v>
      </c>
      <c r="J791" s="8" t="s">
        <v>64</v>
      </c>
      <c r="K791" s="8" t="s">
        <v>2474</v>
      </c>
      <c r="L791" s="8"/>
      <c r="M791" s="8"/>
      <c r="N791" s="8" t="s">
        <v>62</v>
      </c>
      <c r="O791" s="8" t="s">
        <v>63</v>
      </c>
      <c r="P791" s="4" t="n">
        <v>36</v>
      </c>
      <c r="Q791" s="8"/>
      <c r="R791" s="4" t="s">
        <v>2748</v>
      </c>
      <c r="S791" s="4"/>
    </row>
    <row r="792" customFormat="false" ht="15" hidden="false" customHeight="false" outlineLevel="0" collapsed="false">
      <c r="A792" s="4" t="s">
        <v>2749</v>
      </c>
      <c r="B792" s="8" t="s">
        <v>2042</v>
      </c>
      <c r="C792" s="8" t="s">
        <v>58</v>
      </c>
      <c r="D792" s="8"/>
      <c r="E792" s="8" t="s">
        <v>60</v>
      </c>
      <c r="F792" s="8"/>
      <c r="G792" s="8"/>
      <c r="H792" s="8"/>
      <c r="I792" s="8" t="s">
        <v>2043</v>
      </c>
      <c r="J792" s="8" t="s">
        <v>64</v>
      </c>
      <c r="K792" s="8" t="s">
        <v>2474</v>
      </c>
      <c r="L792" s="8"/>
      <c r="M792" s="8"/>
      <c r="N792" s="8" t="s">
        <v>62</v>
      </c>
      <c r="O792" s="8" t="s">
        <v>63</v>
      </c>
      <c r="P792" s="4" t="n">
        <v>36</v>
      </c>
      <c r="Q792" s="8"/>
      <c r="R792" s="4" t="s">
        <v>2044</v>
      </c>
      <c r="S792" s="4"/>
    </row>
    <row r="793" customFormat="false" ht="15" hidden="false" customHeight="false" outlineLevel="0" collapsed="false">
      <c r="A793" s="4" t="s">
        <v>2750</v>
      </c>
      <c r="B793" s="8" t="s">
        <v>2751</v>
      </c>
      <c r="C793" s="8" t="s">
        <v>58</v>
      </c>
      <c r="D793" s="8"/>
      <c r="E793" s="8" t="s">
        <v>60</v>
      </c>
      <c r="F793" s="8"/>
      <c r="G793" s="8"/>
      <c r="H793" s="8"/>
      <c r="I793" s="8" t="s">
        <v>2752</v>
      </c>
      <c r="J793" s="8" t="s">
        <v>64</v>
      </c>
      <c r="K793" s="8" t="s">
        <v>2474</v>
      </c>
      <c r="L793" s="8"/>
      <c r="M793" s="8"/>
      <c r="N793" s="8" t="s">
        <v>62</v>
      </c>
      <c r="O793" s="8" t="s">
        <v>63</v>
      </c>
      <c r="P793" s="4" t="n">
        <v>36</v>
      </c>
      <c r="Q793" s="8"/>
      <c r="R793" s="4" t="s">
        <v>2753</v>
      </c>
      <c r="S793" s="4"/>
    </row>
    <row r="794" customFormat="false" ht="15" hidden="false" customHeight="false" outlineLevel="0" collapsed="false">
      <c r="A794" s="4" t="s">
        <v>2754</v>
      </c>
      <c r="B794" s="8" t="s">
        <v>2755</v>
      </c>
      <c r="C794" s="8"/>
      <c r="D794" s="8"/>
      <c r="E794" s="8"/>
      <c r="F794" s="8"/>
      <c r="G794" s="8"/>
      <c r="H794" s="8"/>
      <c r="I794" s="8" t="s">
        <v>2756</v>
      </c>
      <c r="J794" s="8" t="s">
        <v>64</v>
      </c>
      <c r="K794" s="8" t="s">
        <v>2474</v>
      </c>
      <c r="L794" s="8"/>
      <c r="M794" s="8"/>
      <c r="N794" s="8" t="s">
        <v>62</v>
      </c>
      <c r="O794" s="8" t="s">
        <v>63</v>
      </c>
      <c r="P794" s="4" t="n">
        <v>36</v>
      </c>
      <c r="Q794" s="8"/>
      <c r="R794" s="4" t="s">
        <v>2755</v>
      </c>
      <c r="S794" s="4"/>
    </row>
    <row r="795" customFormat="false" ht="15" hidden="false" customHeight="false" outlineLevel="0" collapsed="false">
      <c r="A795" s="4" t="s">
        <v>2757</v>
      </c>
      <c r="B795" s="8" t="s">
        <v>2758</v>
      </c>
      <c r="C795" s="8" t="s">
        <v>58</v>
      </c>
      <c r="D795" s="8"/>
      <c r="E795" s="8" t="s">
        <v>60</v>
      </c>
      <c r="F795" s="8"/>
      <c r="G795" s="8"/>
      <c r="H795" s="8"/>
      <c r="I795" s="8" t="s">
        <v>2759</v>
      </c>
      <c r="J795" s="8" t="s">
        <v>64</v>
      </c>
      <c r="K795" s="8" t="s">
        <v>2474</v>
      </c>
      <c r="L795" s="8"/>
      <c r="M795" s="8"/>
      <c r="N795" s="8" t="s">
        <v>62</v>
      </c>
      <c r="O795" s="8" t="s">
        <v>63</v>
      </c>
      <c r="P795" s="4" t="n">
        <v>36</v>
      </c>
      <c r="Q795" s="8"/>
      <c r="R795" s="4" t="s">
        <v>2760</v>
      </c>
      <c r="S795" s="4" t="n">
        <v>1733</v>
      </c>
    </row>
    <row r="796" customFormat="false" ht="15" hidden="false" customHeight="false" outlineLevel="0" collapsed="false">
      <c r="A796" s="4" t="s">
        <v>2761</v>
      </c>
      <c r="B796" s="8" t="s">
        <v>2762</v>
      </c>
      <c r="C796" s="8"/>
      <c r="D796" s="8"/>
      <c r="E796" s="8"/>
      <c r="F796" s="8"/>
      <c r="G796" s="8"/>
      <c r="H796" s="8"/>
      <c r="I796" s="8" t="s">
        <v>2763</v>
      </c>
      <c r="J796" s="8" t="s">
        <v>64</v>
      </c>
      <c r="K796" s="8" t="s">
        <v>2474</v>
      </c>
      <c r="L796" s="8"/>
      <c r="M796" s="8"/>
      <c r="N796" s="8" t="s">
        <v>62</v>
      </c>
      <c r="O796" s="8" t="s">
        <v>63</v>
      </c>
      <c r="P796" s="4" t="n">
        <v>36</v>
      </c>
      <c r="Q796" s="8"/>
      <c r="R796" s="4" t="s">
        <v>2762</v>
      </c>
      <c r="S796" s="4"/>
    </row>
    <row r="797" customFormat="false" ht="15" hidden="false" customHeight="false" outlineLevel="0" collapsed="false">
      <c r="A797" s="4" t="s">
        <v>2764</v>
      </c>
      <c r="B797" s="8" t="s">
        <v>2765</v>
      </c>
      <c r="C797" s="8" t="s">
        <v>66</v>
      </c>
      <c r="D797" s="8" t="s">
        <v>67</v>
      </c>
      <c r="E797" s="8" t="s">
        <v>60</v>
      </c>
      <c r="F797" s="8"/>
      <c r="G797" s="8"/>
      <c r="H797" s="8"/>
      <c r="I797" s="8" t="s">
        <v>2766</v>
      </c>
      <c r="J797" s="8" t="s">
        <v>64</v>
      </c>
      <c r="K797" s="8" t="s">
        <v>2474</v>
      </c>
      <c r="L797" s="8"/>
      <c r="M797" s="8"/>
      <c r="N797" s="8" t="s">
        <v>62</v>
      </c>
      <c r="O797" s="8" t="s">
        <v>63</v>
      </c>
      <c r="P797" s="4" t="n">
        <v>36</v>
      </c>
      <c r="Q797" s="8"/>
      <c r="R797" s="4" t="s">
        <v>2767</v>
      </c>
      <c r="S797" s="4"/>
    </row>
    <row r="798" customFormat="false" ht="15" hidden="false" customHeight="false" outlineLevel="0" collapsed="false">
      <c r="A798" s="4" t="s">
        <v>2768</v>
      </c>
      <c r="B798" s="8" t="s">
        <v>2769</v>
      </c>
      <c r="C798" s="8" t="s">
        <v>58</v>
      </c>
      <c r="D798" s="8"/>
      <c r="E798" s="8" t="s">
        <v>60</v>
      </c>
      <c r="F798" s="8"/>
      <c r="G798" s="8"/>
      <c r="H798" s="8"/>
      <c r="I798" s="8" t="s">
        <v>2770</v>
      </c>
      <c r="J798" s="8" t="s">
        <v>64</v>
      </c>
      <c r="K798" s="8" t="s">
        <v>2474</v>
      </c>
      <c r="L798" s="8"/>
      <c r="M798" s="8"/>
      <c r="N798" s="8" t="s">
        <v>62</v>
      </c>
      <c r="O798" s="8" t="s">
        <v>63</v>
      </c>
      <c r="P798" s="4" t="n">
        <v>36</v>
      </c>
      <c r="Q798" s="8"/>
      <c r="R798" s="4" t="s">
        <v>2771</v>
      </c>
      <c r="S798" s="4"/>
    </row>
    <row r="799" customFormat="false" ht="15" hidden="false" customHeight="false" outlineLevel="0" collapsed="false">
      <c r="A799" s="4" t="s">
        <v>2772</v>
      </c>
      <c r="B799" s="8" t="s">
        <v>2773</v>
      </c>
      <c r="C799" s="8" t="s">
        <v>58</v>
      </c>
      <c r="D799" s="8"/>
      <c r="E799" s="8" t="s">
        <v>60</v>
      </c>
      <c r="F799" s="8"/>
      <c r="G799" s="8"/>
      <c r="H799" s="8"/>
      <c r="I799" s="8" t="s">
        <v>2604</v>
      </c>
      <c r="J799" s="8" t="s">
        <v>64</v>
      </c>
      <c r="K799" s="8" t="s">
        <v>2474</v>
      </c>
      <c r="L799" s="8"/>
      <c r="M799" s="8"/>
      <c r="N799" s="8" t="s">
        <v>62</v>
      </c>
      <c r="O799" s="8" t="s">
        <v>63</v>
      </c>
      <c r="P799" s="4" t="n">
        <v>36</v>
      </c>
      <c r="Q799" s="8"/>
      <c r="R799" s="4" t="s">
        <v>2774</v>
      </c>
      <c r="S799" s="4"/>
    </row>
    <row r="800" customFormat="false" ht="15" hidden="false" customHeight="false" outlineLevel="0" collapsed="false">
      <c r="A800" s="4" t="s">
        <v>2775</v>
      </c>
      <c r="B800" s="8" t="s">
        <v>2776</v>
      </c>
      <c r="C800" s="8" t="s">
        <v>58</v>
      </c>
      <c r="D800" s="8"/>
      <c r="E800" s="8" t="s">
        <v>60</v>
      </c>
      <c r="F800" s="8"/>
      <c r="G800" s="8"/>
      <c r="H800" s="8"/>
      <c r="I800" s="8" t="s">
        <v>2777</v>
      </c>
      <c r="J800" s="8" t="s">
        <v>64</v>
      </c>
      <c r="K800" s="8" t="s">
        <v>2474</v>
      </c>
      <c r="L800" s="8"/>
      <c r="M800" s="8"/>
      <c r="N800" s="8" t="s">
        <v>62</v>
      </c>
      <c r="O800" s="8" t="s">
        <v>63</v>
      </c>
      <c r="P800" s="4" t="n">
        <v>36</v>
      </c>
      <c r="Q800" s="8"/>
      <c r="R800" s="4" t="s">
        <v>2778</v>
      </c>
      <c r="S800" s="4"/>
    </row>
    <row r="801" customFormat="false" ht="15" hidden="false" customHeight="false" outlineLevel="0" collapsed="false">
      <c r="A801" s="4" t="s">
        <v>2779</v>
      </c>
      <c r="B801" s="8" t="s">
        <v>2780</v>
      </c>
      <c r="C801" s="8" t="s">
        <v>58</v>
      </c>
      <c r="D801" s="8"/>
      <c r="E801" s="8" t="s">
        <v>60</v>
      </c>
      <c r="F801" s="8"/>
      <c r="G801" s="8"/>
      <c r="H801" s="8"/>
      <c r="I801" s="8" t="s">
        <v>2781</v>
      </c>
      <c r="J801" s="8" t="s">
        <v>64</v>
      </c>
      <c r="K801" s="8" t="s">
        <v>2474</v>
      </c>
      <c r="L801" s="8"/>
      <c r="M801" s="8"/>
      <c r="N801" s="8" t="s">
        <v>62</v>
      </c>
      <c r="O801" s="8" t="s">
        <v>63</v>
      </c>
      <c r="P801" s="4" t="n">
        <v>36</v>
      </c>
      <c r="Q801" s="8"/>
      <c r="R801" s="4" t="s">
        <v>2782</v>
      </c>
      <c r="S801" s="4"/>
    </row>
    <row r="802" customFormat="false" ht="15" hidden="false" customHeight="false" outlineLevel="0" collapsed="false">
      <c r="A802" s="4" t="s">
        <v>2783</v>
      </c>
      <c r="B802" s="8" t="s">
        <v>2784</v>
      </c>
      <c r="C802" s="8"/>
      <c r="D802" s="8"/>
      <c r="E802" s="8"/>
      <c r="F802" s="8"/>
      <c r="G802" s="8"/>
      <c r="H802" s="8"/>
      <c r="I802" s="8" t="s">
        <v>2785</v>
      </c>
      <c r="J802" s="8" t="s">
        <v>64</v>
      </c>
      <c r="K802" s="8" t="s">
        <v>2474</v>
      </c>
      <c r="L802" s="8"/>
      <c r="M802" s="8"/>
      <c r="N802" s="8" t="s">
        <v>62</v>
      </c>
      <c r="O802" s="8" t="s">
        <v>63</v>
      </c>
      <c r="P802" s="4" t="n">
        <v>36</v>
      </c>
      <c r="Q802" s="8"/>
      <c r="R802" s="4" t="s">
        <v>2784</v>
      </c>
      <c r="S802" s="4"/>
    </row>
    <row r="803" customFormat="false" ht="15" hidden="false" customHeight="false" outlineLevel="0" collapsed="false">
      <c r="A803" s="4" t="s">
        <v>2786</v>
      </c>
      <c r="B803" s="8" t="s">
        <v>2079</v>
      </c>
      <c r="C803" s="8" t="s">
        <v>58</v>
      </c>
      <c r="D803" s="8"/>
      <c r="E803" s="8" t="s">
        <v>60</v>
      </c>
      <c r="F803" s="8"/>
      <c r="G803" s="8"/>
      <c r="H803" s="8"/>
      <c r="I803" s="8" t="s">
        <v>2080</v>
      </c>
      <c r="J803" s="8" t="s">
        <v>64</v>
      </c>
      <c r="K803" s="8" t="s">
        <v>2474</v>
      </c>
      <c r="L803" s="8"/>
      <c r="M803" s="8"/>
      <c r="N803" s="8" t="s">
        <v>62</v>
      </c>
      <c r="O803" s="8" t="s">
        <v>63</v>
      </c>
      <c r="P803" s="4" t="n">
        <v>36</v>
      </c>
      <c r="Q803" s="8"/>
      <c r="R803" s="4" t="s">
        <v>2081</v>
      </c>
      <c r="S803" s="4"/>
    </row>
    <row r="804" customFormat="false" ht="15" hidden="false" customHeight="false" outlineLevel="0" collapsed="false">
      <c r="A804" s="4" t="s">
        <v>2787</v>
      </c>
      <c r="B804" s="8" t="s">
        <v>2788</v>
      </c>
      <c r="C804" s="8"/>
      <c r="D804" s="8"/>
      <c r="E804" s="8"/>
      <c r="F804" s="8"/>
      <c r="G804" s="8"/>
      <c r="H804" s="8"/>
      <c r="I804" s="8" t="s">
        <v>2789</v>
      </c>
      <c r="J804" s="8" t="s">
        <v>64</v>
      </c>
      <c r="K804" s="8" t="s">
        <v>2474</v>
      </c>
      <c r="L804" s="8"/>
      <c r="M804" s="8"/>
      <c r="N804" s="8" t="s">
        <v>62</v>
      </c>
      <c r="O804" s="8" t="s">
        <v>63</v>
      </c>
      <c r="P804" s="4" t="n">
        <v>36</v>
      </c>
      <c r="Q804" s="8"/>
      <c r="R804" s="4" t="s">
        <v>2788</v>
      </c>
      <c r="S804" s="4"/>
    </row>
    <row r="805" customFormat="false" ht="15" hidden="false" customHeight="false" outlineLevel="0" collapsed="false">
      <c r="A805" s="4" t="s">
        <v>2790</v>
      </c>
      <c r="B805" s="8" t="s">
        <v>499</v>
      </c>
      <c r="C805" s="8" t="s">
        <v>58</v>
      </c>
      <c r="D805" s="8"/>
      <c r="E805" s="8" t="s">
        <v>60</v>
      </c>
      <c r="F805" s="8"/>
      <c r="G805" s="8"/>
      <c r="H805" s="8"/>
      <c r="I805" s="8" t="s">
        <v>500</v>
      </c>
      <c r="J805" s="8" t="s">
        <v>64</v>
      </c>
      <c r="K805" s="8" t="s">
        <v>2474</v>
      </c>
      <c r="L805" s="8"/>
      <c r="M805" s="8"/>
      <c r="N805" s="8" t="s">
        <v>62</v>
      </c>
      <c r="O805" s="8" t="s">
        <v>63</v>
      </c>
      <c r="P805" s="4" t="n">
        <v>36</v>
      </c>
      <c r="Q805" s="8"/>
      <c r="R805" s="4" t="s">
        <v>501</v>
      </c>
      <c r="S805" s="4" t="n">
        <v>4546</v>
      </c>
    </row>
    <row r="806" customFormat="false" ht="15" hidden="false" customHeight="false" outlineLevel="0" collapsed="false">
      <c r="A806" s="4" t="s">
        <v>2791</v>
      </c>
      <c r="B806" s="8" t="s">
        <v>2792</v>
      </c>
      <c r="C806" s="8"/>
      <c r="D806" s="8"/>
      <c r="E806" s="8"/>
      <c r="F806" s="8"/>
      <c r="G806" s="8"/>
      <c r="H806" s="8"/>
      <c r="I806" s="8" t="s">
        <v>2722</v>
      </c>
      <c r="J806" s="8" t="s">
        <v>64</v>
      </c>
      <c r="K806" s="8" t="s">
        <v>2474</v>
      </c>
      <c r="L806" s="8"/>
      <c r="M806" s="8"/>
      <c r="N806" s="8" t="s">
        <v>62</v>
      </c>
      <c r="O806" s="8" t="s">
        <v>63</v>
      </c>
      <c r="P806" s="4" t="n">
        <v>36</v>
      </c>
      <c r="Q806" s="8"/>
      <c r="R806" s="4" t="s">
        <v>2792</v>
      </c>
      <c r="S806" s="4"/>
    </row>
    <row r="807" customFormat="false" ht="15" hidden="false" customHeight="false" outlineLevel="0" collapsed="false">
      <c r="A807" s="4" t="s">
        <v>2793</v>
      </c>
      <c r="B807" s="8" t="s">
        <v>2794</v>
      </c>
      <c r="C807" s="8"/>
      <c r="D807" s="8"/>
      <c r="E807" s="8" t="s">
        <v>68</v>
      </c>
      <c r="F807" s="8" t="s">
        <v>2795</v>
      </c>
      <c r="G807" s="8" t="s">
        <v>2796</v>
      </c>
      <c r="H807" s="8"/>
      <c r="I807" s="8" t="s">
        <v>2797</v>
      </c>
      <c r="J807" s="8" t="s">
        <v>64</v>
      </c>
      <c r="K807" s="8" t="s">
        <v>2474</v>
      </c>
      <c r="L807" s="8" t="s">
        <v>688</v>
      </c>
      <c r="M807" s="8"/>
      <c r="N807" s="8" t="s">
        <v>62</v>
      </c>
      <c r="O807" s="8" t="s">
        <v>63</v>
      </c>
      <c r="P807" s="4" t="n">
        <v>36</v>
      </c>
      <c r="Q807" s="8"/>
      <c r="R807" s="4" t="s">
        <v>2794</v>
      </c>
      <c r="S807" s="4"/>
    </row>
    <row r="808" customFormat="false" ht="15" hidden="false" customHeight="false" outlineLevel="0" collapsed="false">
      <c r="A808" s="4" t="s">
        <v>2798</v>
      </c>
      <c r="B808" s="8" t="s">
        <v>2414</v>
      </c>
      <c r="C808" s="8"/>
      <c r="D808" s="8"/>
      <c r="E808" s="8" t="s">
        <v>68</v>
      </c>
      <c r="F808" s="8" t="s">
        <v>2415</v>
      </c>
      <c r="G808" s="8" t="s">
        <v>2416</v>
      </c>
      <c r="H808" s="8"/>
      <c r="I808" s="8" t="s">
        <v>2417</v>
      </c>
      <c r="J808" s="8" t="s">
        <v>64</v>
      </c>
      <c r="K808" s="8" t="s">
        <v>2474</v>
      </c>
      <c r="L808" s="8" t="s">
        <v>688</v>
      </c>
      <c r="M808" s="8"/>
      <c r="N808" s="8" t="s">
        <v>62</v>
      </c>
      <c r="O808" s="8" t="s">
        <v>63</v>
      </c>
      <c r="P808" s="4" t="n">
        <v>36</v>
      </c>
      <c r="Q808" s="8"/>
      <c r="R808" s="4" t="s">
        <v>2414</v>
      </c>
      <c r="S808" s="4"/>
    </row>
    <row r="809" customFormat="false" ht="15" hidden="false" customHeight="false" outlineLevel="0" collapsed="false">
      <c r="A809" s="4" t="s">
        <v>2799</v>
      </c>
      <c r="B809" s="8" t="s">
        <v>2800</v>
      </c>
      <c r="C809" s="8"/>
      <c r="D809" s="8"/>
      <c r="E809" s="8" t="s">
        <v>68</v>
      </c>
      <c r="F809" s="8" t="s">
        <v>2801</v>
      </c>
      <c r="G809" s="8" t="s">
        <v>2802</v>
      </c>
      <c r="H809" s="8"/>
      <c r="I809" s="8" t="s">
        <v>2803</v>
      </c>
      <c r="J809" s="8" t="s">
        <v>64</v>
      </c>
      <c r="K809" s="8" t="s">
        <v>2474</v>
      </c>
      <c r="L809" s="8" t="s">
        <v>688</v>
      </c>
      <c r="M809" s="8"/>
      <c r="N809" s="8" t="s">
        <v>62</v>
      </c>
      <c r="O809" s="8" t="s">
        <v>63</v>
      </c>
      <c r="P809" s="4" t="n">
        <v>36</v>
      </c>
      <c r="Q809" s="8"/>
      <c r="R809" s="4" t="s">
        <v>2800</v>
      </c>
      <c r="S809" s="4"/>
    </row>
    <row r="810" customFormat="false" ht="15" hidden="false" customHeight="false" outlineLevel="0" collapsed="false">
      <c r="A810" s="4" t="s">
        <v>2804</v>
      </c>
      <c r="B810" s="8" t="s">
        <v>2805</v>
      </c>
      <c r="C810" s="8"/>
      <c r="D810" s="8"/>
      <c r="E810" s="8" t="s">
        <v>68</v>
      </c>
      <c r="F810" s="8" t="s">
        <v>2806</v>
      </c>
      <c r="G810" s="8" t="s">
        <v>2807</v>
      </c>
      <c r="H810" s="8"/>
      <c r="I810" s="8" t="s">
        <v>2808</v>
      </c>
      <c r="J810" s="8" t="s">
        <v>64</v>
      </c>
      <c r="K810" s="8" t="s">
        <v>2474</v>
      </c>
      <c r="L810" s="8" t="s">
        <v>688</v>
      </c>
      <c r="M810" s="8"/>
      <c r="N810" s="8" t="s">
        <v>62</v>
      </c>
      <c r="O810" s="8" t="s">
        <v>63</v>
      </c>
      <c r="P810" s="4" t="n">
        <v>36</v>
      </c>
      <c r="Q810" s="8"/>
      <c r="R810" s="4" t="s">
        <v>2805</v>
      </c>
      <c r="S810" s="4"/>
    </row>
    <row r="811" customFormat="false" ht="15" hidden="false" customHeight="false" outlineLevel="0" collapsed="false">
      <c r="A811" s="4" t="s">
        <v>2809</v>
      </c>
      <c r="B811" s="8" t="s">
        <v>2810</v>
      </c>
      <c r="C811" s="8"/>
      <c r="D811" s="8"/>
      <c r="E811" s="8" t="s">
        <v>68</v>
      </c>
      <c r="F811" s="8" t="s">
        <v>2811</v>
      </c>
      <c r="G811" s="8" t="s">
        <v>2812</v>
      </c>
      <c r="H811" s="8"/>
      <c r="I811" s="8" t="s">
        <v>2813</v>
      </c>
      <c r="J811" s="8" t="s">
        <v>64</v>
      </c>
      <c r="K811" s="8" t="s">
        <v>2474</v>
      </c>
      <c r="L811" s="8" t="s">
        <v>688</v>
      </c>
      <c r="M811" s="8"/>
      <c r="N811" s="8" t="s">
        <v>62</v>
      </c>
      <c r="O811" s="8" t="s">
        <v>63</v>
      </c>
      <c r="P811" s="4" t="n">
        <v>36</v>
      </c>
      <c r="Q811" s="8"/>
      <c r="R811" s="4" t="s">
        <v>2810</v>
      </c>
      <c r="S811" s="4"/>
    </row>
    <row r="812" customFormat="false" ht="15" hidden="false" customHeight="false" outlineLevel="0" collapsed="false">
      <c r="A812" s="4" t="s">
        <v>2814</v>
      </c>
      <c r="B812" s="8" t="s">
        <v>732</v>
      </c>
      <c r="C812" s="8"/>
      <c r="D812" s="8"/>
      <c r="E812" s="8" t="s">
        <v>68</v>
      </c>
      <c r="F812" s="8" t="s">
        <v>733</v>
      </c>
      <c r="G812" s="8" t="s">
        <v>734</v>
      </c>
      <c r="H812" s="8"/>
      <c r="I812" s="8" t="s">
        <v>735</v>
      </c>
      <c r="J812" s="8" t="s">
        <v>64</v>
      </c>
      <c r="K812" s="8" t="s">
        <v>2474</v>
      </c>
      <c r="L812" s="8" t="s">
        <v>688</v>
      </c>
      <c r="M812" s="8"/>
      <c r="N812" s="8" t="s">
        <v>62</v>
      </c>
      <c r="O812" s="8" t="s">
        <v>63</v>
      </c>
      <c r="P812" s="4" t="n">
        <v>36</v>
      </c>
      <c r="Q812" s="8"/>
      <c r="R812" s="4" t="s">
        <v>732</v>
      </c>
      <c r="S812" s="4"/>
    </row>
    <row r="813" customFormat="false" ht="15" hidden="false" customHeight="false" outlineLevel="0" collapsed="false">
      <c r="A813" s="4" t="s">
        <v>2815</v>
      </c>
      <c r="B813" s="8" t="s">
        <v>2816</v>
      </c>
      <c r="C813" s="8"/>
      <c r="D813" s="8"/>
      <c r="E813" s="8"/>
      <c r="F813" s="8"/>
      <c r="G813" s="8"/>
      <c r="H813" s="8"/>
      <c r="I813" s="8" t="s">
        <v>2817</v>
      </c>
      <c r="J813" s="8" t="s">
        <v>64</v>
      </c>
      <c r="K813" s="8" t="s">
        <v>2474</v>
      </c>
      <c r="L813" s="8" t="s">
        <v>688</v>
      </c>
      <c r="M813" s="8"/>
      <c r="N813" s="8" t="s">
        <v>62</v>
      </c>
      <c r="O813" s="8" t="s">
        <v>63</v>
      </c>
      <c r="P813" s="4" t="n">
        <v>36</v>
      </c>
      <c r="Q813" s="8"/>
      <c r="R813" s="4" t="s">
        <v>2816</v>
      </c>
      <c r="S813" s="4"/>
    </row>
    <row r="814" customFormat="false" ht="15" hidden="false" customHeight="false" outlineLevel="0" collapsed="false">
      <c r="A814" s="4" t="s">
        <v>2818</v>
      </c>
      <c r="B814" s="8" t="s">
        <v>2819</v>
      </c>
      <c r="C814" s="8"/>
      <c r="D814" s="8"/>
      <c r="E814" s="8" t="s">
        <v>68</v>
      </c>
      <c r="F814" s="8" t="s">
        <v>2820</v>
      </c>
      <c r="G814" s="8" t="s">
        <v>2821</v>
      </c>
      <c r="H814" s="8"/>
      <c r="I814" s="8" t="s">
        <v>2822</v>
      </c>
      <c r="J814" s="8" t="s">
        <v>64</v>
      </c>
      <c r="K814" s="8" t="s">
        <v>2474</v>
      </c>
      <c r="L814" s="8" t="s">
        <v>688</v>
      </c>
      <c r="M814" s="8"/>
      <c r="N814" s="8" t="s">
        <v>62</v>
      </c>
      <c r="O814" s="8" t="s">
        <v>63</v>
      </c>
      <c r="P814" s="4" t="n">
        <v>36</v>
      </c>
      <c r="Q814" s="8"/>
      <c r="R814" s="4" t="s">
        <v>2819</v>
      </c>
      <c r="S814" s="4" t="n">
        <v>1129</v>
      </c>
    </row>
    <row r="815" customFormat="false" ht="26.85" hidden="false" customHeight="false" outlineLevel="0" collapsed="false">
      <c r="A815" s="4" t="s">
        <v>2823</v>
      </c>
      <c r="B815" s="8" t="s">
        <v>2824</v>
      </c>
      <c r="C815" s="8"/>
      <c r="D815" s="8"/>
      <c r="E815" s="8"/>
      <c r="F815" s="8"/>
      <c r="G815" s="8"/>
      <c r="H815" s="8"/>
      <c r="I815" s="8" t="s">
        <v>2825</v>
      </c>
      <c r="J815" s="8" t="s">
        <v>72</v>
      </c>
      <c r="K815" s="8" t="s">
        <v>2826</v>
      </c>
      <c r="L815" s="8" t="s">
        <v>2827</v>
      </c>
      <c r="M815" s="8"/>
      <c r="N815" s="8" t="s">
        <v>62</v>
      </c>
      <c r="O815" s="8" t="s">
        <v>63</v>
      </c>
      <c r="P815" s="4" t="n">
        <v>37</v>
      </c>
      <c r="Q815" s="8"/>
      <c r="R815" s="4" t="s">
        <v>2824</v>
      </c>
      <c r="S815" s="4"/>
    </row>
    <row r="816" customFormat="false" ht="26.85" hidden="false" customHeight="false" outlineLevel="0" collapsed="false">
      <c r="A816" s="4" t="s">
        <v>2828</v>
      </c>
      <c r="B816" s="8" t="s">
        <v>2829</v>
      </c>
      <c r="C816" s="8" t="s">
        <v>58</v>
      </c>
      <c r="D816" s="8"/>
      <c r="E816" s="8" t="s">
        <v>60</v>
      </c>
      <c r="F816" s="8"/>
      <c r="G816" s="8"/>
      <c r="H816" s="8"/>
      <c r="I816" s="8" t="s">
        <v>2830</v>
      </c>
      <c r="J816" s="8" t="s">
        <v>72</v>
      </c>
      <c r="K816" s="8" t="s">
        <v>2826</v>
      </c>
      <c r="L816" s="8" t="s">
        <v>2827</v>
      </c>
      <c r="M816" s="8"/>
      <c r="N816" s="8" t="s">
        <v>62</v>
      </c>
      <c r="O816" s="8" t="s">
        <v>63</v>
      </c>
      <c r="P816" s="4" t="n">
        <v>37</v>
      </c>
      <c r="Q816" s="8"/>
      <c r="R816" s="4" t="s">
        <v>2831</v>
      </c>
      <c r="S816" s="4"/>
    </row>
    <row r="817" customFormat="false" ht="26.85" hidden="false" customHeight="false" outlineLevel="0" collapsed="false">
      <c r="A817" s="4" t="s">
        <v>2832</v>
      </c>
      <c r="B817" s="8" t="s">
        <v>2833</v>
      </c>
      <c r="C817" s="8" t="s">
        <v>58</v>
      </c>
      <c r="D817" s="8"/>
      <c r="E817" s="8" t="s">
        <v>60</v>
      </c>
      <c r="F817" s="8"/>
      <c r="G817" s="8"/>
      <c r="H817" s="8"/>
      <c r="I817" s="8" t="s">
        <v>2834</v>
      </c>
      <c r="J817" s="8" t="s">
        <v>72</v>
      </c>
      <c r="K817" s="8" t="s">
        <v>2826</v>
      </c>
      <c r="L817" s="8" t="s">
        <v>2827</v>
      </c>
      <c r="M817" s="8"/>
      <c r="N817" s="8" t="s">
        <v>62</v>
      </c>
      <c r="O817" s="8" t="s">
        <v>63</v>
      </c>
      <c r="P817" s="4" t="n">
        <v>37</v>
      </c>
      <c r="Q817" s="8"/>
      <c r="R817" s="4" t="s">
        <v>2835</v>
      </c>
      <c r="S817" s="4"/>
    </row>
    <row r="818" customFormat="false" ht="26.85" hidden="false" customHeight="false" outlineLevel="0" collapsed="false">
      <c r="A818" s="4" t="s">
        <v>2836</v>
      </c>
      <c r="B818" s="8" t="s">
        <v>2837</v>
      </c>
      <c r="C818" s="8"/>
      <c r="D818" s="8"/>
      <c r="E818" s="8"/>
      <c r="F818" s="8"/>
      <c r="G818" s="8"/>
      <c r="H818" s="8"/>
      <c r="I818" s="8" t="s">
        <v>2838</v>
      </c>
      <c r="J818" s="8" t="s">
        <v>72</v>
      </c>
      <c r="K818" s="8" t="s">
        <v>2826</v>
      </c>
      <c r="L818" s="8" t="s">
        <v>2827</v>
      </c>
      <c r="M818" s="8"/>
      <c r="N818" s="8" t="s">
        <v>62</v>
      </c>
      <c r="O818" s="8" t="s">
        <v>63</v>
      </c>
      <c r="P818" s="4" t="n">
        <v>37</v>
      </c>
      <c r="Q818" s="8"/>
      <c r="R818" s="4" t="s">
        <v>2837</v>
      </c>
      <c r="S818" s="4"/>
    </row>
    <row r="819" customFormat="false" ht="26.85" hidden="false" customHeight="false" outlineLevel="0" collapsed="false">
      <c r="A819" s="4" t="s">
        <v>2839</v>
      </c>
      <c r="B819" s="8" t="s">
        <v>2840</v>
      </c>
      <c r="C819" s="8" t="s">
        <v>58</v>
      </c>
      <c r="D819" s="8"/>
      <c r="E819" s="8" t="s">
        <v>60</v>
      </c>
      <c r="F819" s="8"/>
      <c r="G819" s="8"/>
      <c r="H819" s="8"/>
      <c r="I819" s="8" t="s">
        <v>2841</v>
      </c>
      <c r="J819" s="8" t="s">
        <v>72</v>
      </c>
      <c r="K819" s="8" t="s">
        <v>2826</v>
      </c>
      <c r="L819" s="8" t="s">
        <v>2827</v>
      </c>
      <c r="M819" s="8"/>
      <c r="N819" s="8" t="s">
        <v>62</v>
      </c>
      <c r="O819" s="8" t="s">
        <v>63</v>
      </c>
      <c r="P819" s="4" t="n">
        <v>37</v>
      </c>
      <c r="Q819" s="8"/>
      <c r="R819" s="4" t="s">
        <v>2842</v>
      </c>
      <c r="S819" s="4"/>
    </row>
    <row r="820" customFormat="false" ht="26.85" hidden="false" customHeight="false" outlineLevel="0" collapsed="false">
      <c r="A820" s="4" t="s">
        <v>2843</v>
      </c>
      <c r="B820" s="8" t="s">
        <v>2844</v>
      </c>
      <c r="C820" s="8" t="s">
        <v>58</v>
      </c>
      <c r="D820" s="8"/>
      <c r="E820" s="8" t="s">
        <v>60</v>
      </c>
      <c r="F820" s="8"/>
      <c r="G820" s="8"/>
      <c r="H820" s="8"/>
      <c r="I820" s="8" t="s">
        <v>2845</v>
      </c>
      <c r="J820" s="8" t="s">
        <v>72</v>
      </c>
      <c r="K820" s="8" t="s">
        <v>2826</v>
      </c>
      <c r="L820" s="8" t="s">
        <v>2827</v>
      </c>
      <c r="M820" s="8"/>
      <c r="N820" s="8" t="s">
        <v>62</v>
      </c>
      <c r="O820" s="8" t="s">
        <v>63</v>
      </c>
      <c r="P820" s="4" t="n">
        <v>37</v>
      </c>
      <c r="Q820" s="8"/>
      <c r="R820" s="4" t="s">
        <v>2846</v>
      </c>
      <c r="S820" s="4"/>
    </row>
    <row r="821" customFormat="false" ht="26.85" hidden="false" customHeight="false" outlineLevel="0" collapsed="false">
      <c r="A821" s="4" t="s">
        <v>2847</v>
      </c>
      <c r="B821" s="8" t="s">
        <v>2848</v>
      </c>
      <c r="C821" s="8" t="s">
        <v>58</v>
      </c>
      <c r="D821" s="8"/>
      <c r="E821" s="8" t="s">
        <v>60</v>
      </c>
      <c r="F821" s="8"/>
      <c r="G821" s="8"/>
      <c r="H821" s="8"/>
      <c r="I821" s="8" t="s">
        <v>2849</v>
      </c>
      <c r="J821" s="8" t="s">
        <v>72</v>
      </c>
      <c r="K821" s="8" t="s">
        <v>2826</v>
      </c>
      <c r="L821" s="8" t="s">
        <v>2827</v>
      </c>
      <c r="M821" s="8"/>
      <c r="N821" s="8" t="s">
        <v>62</v>
      </c>
      <c r="O821" s="8" t="s">
        <v>63</v>
      </c>
      <c r="P821" s="4" t="n">
        <v>37</v>
      </c>
      <c r="Q821" s="8"/>
      <c r="R821" s="4" t="s">
        <v>2850</v>
      </c>
      <c r="S821" s="4"/>
    </row>
    <row r="822" customFormat="false" ht="26.85" hidden="false" customHeight="false" outlineLevel="0" collapsed="false">
      <c r="A822" s="4" t="s">
        <v>2851</v>
      </c>
      <c r="B822" s="8" t="s">
        <v>2852</v>
      </c>
      <c r="C822" s="8" t="s">
        <v>58</v>
      </c>
      <c r="D822" s="8"/>
      <c r="E822" s="8" t="s">
        <v>60</v>
      </c>
      <c r="F822" s="8"/>
      <c r="G822" s="8"/>
      <c r="H822" s="8"/>
      <c r="I822" s="8" t="s">
        <v>2853</v>
      </c>
      <c r="J822" s="8" t="s">
        <v>72</v>
      </c>
      <c r="K822" s="8" t="s">
        <v>2826</v>
      </c>
      <c r="L822" s="8" t="s">
        <v>2827</v>
      </c>
      <c r="M822" s="8"/>
      <c r="N822" s="8" t="s">
        <v>62</v>
      </c>
      <c r="O822" s="8" t="s">
        <v>63</v>
      </c>
      <c r="P822" s="4" t="n">
        <v>37</v>
      </c>
      <c r="Q822" s="8"/>
      <c r="R822" s="4" t="s">
        <v>2854</v>
      </c>
      <c r="S822" s="4"/>
    </row>
    <row r="823" customFormat="false" ht="26.85" hidden="false" customHeight="false" outlineLevel="0" collapsed="false">
      <c r="A823" s="4" t="s">
        <v>2855</v>
      </c>
      <c r="B823" s="8" t="s">
        <v>2856</v>
      </c>
      <c r="C823" s="8" t="s">
        <v>58</v>
      </c>
      <c r="D823" s="8"/>
      <c r="E823" s="8" t="s">
        <v>60</v>
      </c>
      <c r="F823" s="8"/>
      <c r="G823" s="8"/>
      <c r="H823" s="8"/>
      <c r="I823" s="8" t="s">
        <v>2857</v>
      </c>
      <c r="J823" s="8" t="s">
        <v>72</v>
      </c>
      <c r="K823" s="8" t="s">
        <v>2826</v>
      </c>
      <c r="L823" s="8" t="s">
        <v>2827</v>
      </c>
      <c r="M823" s="8"/>
      <c r="N823" s="8" t="s">
        <v>62</v>
      </c>
      <c r="O823" s="8" t="s">
        <v>63</v>
      </c>
      <c r="P823" s="4" t="n">
        <v>37</v>
      </c>
      <c r="Q823" s="8"/>
      <c r="R823" s="4" t="s">
        <v>2858</v>
      </c>
      <c r="S823" s="4"/>
    </row>
    <row r="824" customFormat="false" ht="26.85" hidden="false" customHeight="false" outlineLevel="0" collapsed="false">
      <c r="A824" s="4" t="s">
        <v>2859</v>
      </c>
      <c r="B824" s="8" t="s">
        <v>2860</v>
      </c>
      <c r="C824" s="8" t="s">
        <v>58</v>
      </c>
      <c r="D824" s="8"/>
      <c r="E824" s="8" t="s">
        <v>60</v>
      </c>
      <c r="F824" s="8"/>
      <c r="G824" s="8"/>
      <c r="H824" s="8"/>
      <c r="I824" s="8" t="s">
        <v>2861</v>
      </c>
      <c r="J824" s="8" t="s">
        <v>72</v>
      </c>
      <c r="K824" s="8" t="s">
        <v>2826</v>
      </c>
      <c r="L824" s="8" t="s">
        <v>2827</v>
      </c>
      <c r="M824" s="8"/>
      <c r="N824" s="8" t="s">
        <v>62</v>
      </c>
      <c r="O824" s="8" t="s">
        <v>63</v>
      </c>
      <c r="P824" s="4" t="n">
        <v>37</v>
      </c>
      <c r="Q824" s="8"/>
      <c r="R824" s="4" t="s">
        <v>2862</v>
      </c>
      <c r="S824" s="4" t="n">
        <v>6205</v>
      </c>
    </row>
    <row r="825" customFormat="false" ht="26.85" hidden="false" customHeight="false" outlineLevel="0" collapsed="false">
      <c r="A825" s="4" t="s">
        <v>2863</v>
      </c>
      <c r="B825" s="8" t="s">
        <v>2864</v>
      </c>
      <c r="C825" s="8" t="s">
        <v>58</v>
      </c>
      <c r="D825" s="8"/>
      <c r="E825" s="8" t="s">
        <v>60</v>
      </c>
      <c r="F825" s="8"/>
      <c r="G825" s="8"/>
      <c r="H825" s="8"/>
      <c r="I825" s="8" t="s">
        <v>2865</v>
      </c>
      <c r="J825" s="8" t="s">
        <v>72</v>
      </c>
      <c r="K825" s="8" t="s">
        <v>2826</v>
      </c>
      <c r="L825" s="8" t="s">
        <v>2827</v>
      </c>
      <c r="M825" s="8"/>
      <c r="N825" s="8" t="s">
        <v>62</v>
      </c>
      <c r="O825" s="8" t="s">
        <v>63</v>
      </c>
      <c r="P825" s="4" t="n">
        <v>37</v>
      </c>
      <c r="Q825" s="8"/>
      <c r="R825" s="4" t="s">
        <v>2866</v>
      </c>
      <c r="S825" s="4" t="n">
        <v>515</v>
      </c>
    </row>
    <row r="826" customFormat="false" ht="26.85" hidden="false" customHeight="false" outlineLevel="0" collapsed="false">
      <c r="A826" s="4" t="s">
        <v>2867</v>
      </c>
      <c r="B826" s="8" t="s">
        <v>2868</v>
      </c>
      <c r="C826" s="8" t="s">
        <v>58</v>
      </c>
      <c r="D826" s="8"/>
      <c r="E826" s="8" t="s">
        <v>60</v>
      </c>
      <c r="F826" s="8"/>
      <c r="G826" s="8"/>
      <c r="H826" s="8"/>
      <c r="I826" s="8" t="s">
        <v>2869</v>
      </c>
      <c r="J826" s="8" t="s">
        <v>72</v>
      </c>
      <c r="K826" s="8" t="s">
        <v>2826</v>
      </c>
      <c r="L826" s="8" t="s">
        <v>2827</v>
      </c>
      <c r="M826" s="8"/>
      <c r="N826" s="8" t="s">
        <v>62</v>
      </c>
      <c r="O826" s="8" t="s">
        <v>63</v>
      </c>
      <c r="P826" s="4" t="n">
        <v>37</v>
      </c>
      <c r="Q826" s="8"/>
      <c r="R826" s="4" t="s">
        <v>2870</v>
      </c>
      <c r="S826" s="4"/>
    </row>
    <row r="827" customFormat="false" ht="26.85" hidden="false" customHeight="false" outlineLevel="0" collapsed="false">
      <c r="A827" s="4" t="s">
        <v>2871</v>
      </c>
      <c r="B827" s="8" t="s">
        <v>2872</v>
      </c>
      <c r="C827" s="8" t="s">
        <v>58</v>
      </c>
      <c r="D827" s="8"/>
      <c r="E827" s="8" t="s">
        <v>60</v>
      </c>
      <c r="F827" s="8"/>
      <c r="G827" s="8"/>
      <c r="H827" s="8"/>
      <c r="I827" s="8" t="s">
        <v>2873</v>
      </c>
      <c r="J827" s="8" t="s">
        <v>72</v>
      </c>
      <c r="K827" s="8" t="s">
        <v>2826</v>
      </c>
      <c r="L827" s="8" t="s">
        <v>2827</v>
      </c>
      <c r="M827" s="8"/>
      <c r="N827" s="8" t="s">
        <v>62</v>
      </c>
      <c r="O827" s="8" t="s">
        <v>63</v>
      </c>
      <c r="P827" s="4" t="n">
        <v>37</v>
      </c>
      <c r="Q827" s="8"/>
      <c r="R827" s="4" t="s">
        <v>2874</v>
      </c>
      <c r="S827" s="4" t="n">
        <v>724</v>
      </c>
    </row>
    <row r="828" customFormat="false" ht="26.85" hidden="false" customHeight="false" outlineLevel="0" collapsed="false">
      <c r="A828" s="4" t="s">
        <v>2875</v>
      </c>
      <c r="B828" s="8" t="s">
        <v>2876</v>
      </c>
      <c r="C828" s="8" t="s">
        <v>58</v>
      </c>
      <c r="D828" s="8"/>
      <c r="E828" s="8" t="s">
        <v>60</v>
      </c>
      <c r="F828" s="8"/>
      <c r="G828" s="8"/>
      <c r="H828" s="8"/>
      <c r="I828" s="8" t="s">
        <v>2877</v>
      </c>
      <c r="J828" s="8" t="s">
        <v>72</v>
      </c>
      <c r="K828" s="8" t="s">
        <v>2826</v>
      </c>
      <c r="L828" s="8" t="s">
        <v>2827</v>
      </c>
      <c r="M828" s="8"/>
      <c r="N828" s="8" t="s">
        <v>62</v>
      </c>
      <c r="O828" s="8" t="s">
        <v>63</v>
      </c>
      <c r="P828" s="4" t="n">
        <v>37</v>
      </c>
      <c r="Q828" s="8"/>
      <c r="R828" s="4" t="s">
        <v>2878</v>
      </c>
      <c r="S828" s="4"/>
    </row>
    <row r="829" customFormat="false" ht="26.85" hidden="false" customHeight="false" outlineLevel="0" collapsed="false">
      <c r="A829" s="4" t="s">
        <v>2879</v>
      </c>
      <c r="B829" s="8" t="s">
        <v>2880</v>
      </c>
      <c r="C829" s="8" t="s">
        <v>58</v>
      </c>
      <c r="D829" s="8"/>
      <c r="E829" s="8" t="s">
        <v>60</v>
      </c>
      <c r="F829" s="8"/>
      <c r="G829" s="8"/>
      <c r="H829" s="8"/>
      <c r="I829" s="8" t="s">
        <v>2881</v>
      </c>
      <c r="J829" s="8" t="s">
        <v>72</v>
      </c>
      <c r="K829" s="8" t="s">
        <v>2826</v>
      </c>
      <c r="L829" s="8" t="s">
        <v>2827</v>
      </c>
      <c r="M829" s="8"/>
      <c r="N829" s="8" t="s">
        <v>62</v>
      </c>
      <c r="O829" s="8" t="s">
        <v>63</v>
      </c>
      <c r="P829" s="4" t="n">
        <v>37</v>
      </c>
      <c r="Q829" s="8"/>
      <c r="R829" s="4" t="s">
        <v>2882</v>
      </c>
      <c r="S829" s="4"/>
    </row>
    <row r="830" customFormat="false" ht="26.85" hidden="false" customHeight="false" outlineLevel="0" collapsed="false">
      <c r="A830" s="4" t="s">
        <v>2883</v>
      </c>
      <c r="B830" s="8" t="s">
        <v>2884</v>
      </c>
      <c r="C830" s="8" t="s">
        <v>58</v>
      </c>
      <c r="D830" s="8"/>
      <c r="E830" s="8" t="s">
        <v>60</v>
      </c>
      <c r="F830" s="8"/>
      <c r="G830" s="8"/>
      <c r="H830" s="8"/>
      <c r="I830" s="8" t="s">
        <v>2885</v>
      </c>
      <c r="J830" s="8" t="s">
        <v>72</v>
      </c>
      <c r="K830" s="8" t="s">
        <v>2826</v>
      </c>
      <c r="L830" s="8" t="s">
        <v>2827</v>
      </c>
      <c r="M830" s="8"/>
      <c r="N830" s="8" t="s">
        <v>62</v>
      </c>
      <c r="O830" s="8" t="s">
        <v>63</v>
      </c>
      <c r="P830" s="4" t="n">
        <v>37</v>
      </c>
      <c r="Q830" s="8"/>
      <c r="R830" s="4" t="s">
        <v>2886</v>
      </c>
      <c r="S830" s="4"/>
    </row>
    <row r="831" customFormat="false" ht="26.85" hidden="false" customHeight="false" outlineLevel="0" collapsed="false">
      <c r="A831" s="4" t="s">
        <v>2887</v>
      </c>
      <c r="B831" s="8" t="s">
        <v>2888</v>
      </c>
      <c r="C831" s="8" t="s">
        <v>58</v>
      </c>
      <c r="D831" s="8"/>
      <c r="E831" s="8" t="s">
        <v>60</v>
      </c>
      <c r="F831" s="8"/>
      <c r="G831" s="8"/>
      <c r="H831" s="8"/>
      <c r="I831" s="8" t="s">
        <v>2889</v>
      </c>
      <c r="J831" s="8" t="s">
        <v>72</v>
      </c>
      <c r="K831" s="8" t="s">
        <v>2826</v>
      </c>
      <c r="L831" s="8" t="s">
        <v>2827</v>
      </c>
      <c r="M831" s="8"/>
      <c r="N831" s="8" t="s">
        <v>62</v>
      </c>
      <c r="O831" s="8" t="s">
        <v>63</v>
      </c>
      <c r="P831" s="4" t="n">
        <v>37</v>
      </c>
      <c r="Q831" s="8"/>
      <c r="R831" s="4" t="s">
        <v>2890</v>
      </c>
      <c r="S831" s="4"/>
    </row>
    <row r="832" customFormat="false" ht="26.85" hidden="false" customHeight="false" outlineLevel="0" collapsed="false">
      <c r="A832" s="4" t="s">
        <v>2891</v>
      </c>
      <c r="B832" s="8" t="s">
        <v>2892</v>
      </c>
      <c r="C832" s="8" t="s">
        <v>58</v>
      </c>
      <c r="D832" s="8"/>
      <c r="E832" s="8" t="s">
        <v>60</v>
      </c>
      <c r="F832" s="8"/>
      <c r="G832" s="8"/>
      <c r="H832" s="8"/>
      <c r="I832" s="8" t="s">
        <v>2893</v>
      </c>
      <c r="J832" s="8" t="s">
        <v>72</v>
      </c>
      <c r="K832" s="8" t="s">
        <v>2826</v>
      </c>
      <c r="L832" s="8" t="s">
        <v>2827</v>
      </c>
      <c r="M832" s="8"/>
      <c r="N832" s="8" t="s">
        <v>62</v>
      </c>
      <c r="O832" s="8" t="s">
        <v>63</v>
      </c>
      <c r="P832" s="4" t="n">
        <v>37</v>
      </c>
      <c r="Q832" s="8"/>
      <c r="R832" s="4" t="s">
        <v>2894</v>
      </c>
      <c r="S832" s="4"/>
    </row>
    <row r="833" customFormat="false" ht="26.85" hidden="false" customHeight="false" outlineLevel="0" collapsed="false">
      <c r="A833" s="4" t="s">
        <v>2895</v>
      </c>
      <c r="B833" s="8" t="s">
        <v>2896</v>
      </c>
      <c r="C833" s="8" t="s">
        <v>58</v>
      </c>
      <c r="D833" s="8"/>
      <c r="E833" s="8" t="s">
        <v>60</v>
      </c>
      <c r="F833" s="8"/>
      <c r="G833" s="8"/>
      <c r="H833" s="8"/>
      <c r="I833" s="8" t="s">
        <v>2897</v>
      </c>
      <c r="J833" s="8" t="s">
        <v>72</v>
      </c>
      <c r="K833" s="8" t="s">
        <v>2826</v>
      </c>
      <c r="L833" s="8" t="s">
        <v>2827</v>
      </c>
      <c r="M833" s="8"/>
      <c r="N833" s="8" t="s">
        <v>62</v>
      </c>
      <c r="O833" s="8" t="s">
        <v>63</v>
      </c>
      <c r="P833" s="4" t="n">
        <v>37</v>
      </c>
      <c r="Q833" s="8"/>
      <c r="R833" s="4" t="s">
        <v>2898</v>
      </c>
      <c r="S833" s="4"/>
    </row>
    <row r="834" customFormat="false" ht="26.85" hidden="false" customHeight="false" outlineLevel="0" collapsed="false">
      <c r="A834" s="4" t="s">
        <v>2899</v>
      </c>
      <c r="B834" s="8" t="s">
        <v>2900</v>
      </c>
      <c r="C834" s="8" t="s">
        <v>58</v>
      </c>
      <c r="D834" s="8"/>
      <c r="E834" s="8" t="s">
        <v>60</v>
      </c>
      <c r="F834" s="8"/>
      <c r="G834" s="8"/>
      <c r="H834" s="8"/>
      <c r="I834" s="8" t="s">
        <v>2901</v>
      </c>
      <c r="J834" s="8" t="s">
        <v>72</v>
      </c>
      <c r="K834" s="8" t="s">
        <v>2826</v>
      </c>
      <c r="L834" s="8" t="s">
        <v>2827</v>
      </c>
      <c r="M834" s="8"/>
      <c r="N834" s="8" t="s">
        <v>62</v>
      </c>
      <c r="O834" s="8" t="s">
        <v>63</v>
      </c>
      <c r="P834" s="4" t="n">
        <v>37</v>
      </c>
      <c r="Q834" s="8"/>
      <c r="R834" s="4" t="s">
        <v>2902</v>
      </c>
      <c r="S834" s="4"/>
    </row>
    <row r="835" customFormat="false" ht="26.85" hidden="false" customHeight="false" outlineLevel="0" collapsed="false">
      <c r="A835" s="4" t="s">
        <v>2903</v>
      </c>
      <c r="B835" s="8" t="s">
        <v>2904</v>
      </c>
      <c r="C835" s="8"/>
      <c r="D835" s="8"/>
      <c r="E835" s="8"/>
      <c r="F835" s="8"/>
      <c r="G835" s="8"/>
      <c r="H835" s="8"/>
      <c r="I835" s="8" t="s">
        <v>2905</v>
      </c>
      <c r="J835" s="8" t="s">
        <v>72</v>
      </c>
      <c r="K835" s="8" t="s">
        <v>2826</v>
      </c>
      <c r="L835" s="8" t="s">
        <v>2827</v>
      </c>
      <c r="M835" s="8"/>
      <c r="N835" s="8" t="s">
        <v>62</v>
      </c>
      <c r="O835" s="8" t="s">
        <v>63</v>
      </c>
      <c r="P835" s="4" t="n">
        <v>37</v>
      </c>
      <c r="Q835" s="8"/>
      <c r="R835" s="4" t="s">
        <v>2904</v>
      </c>
      <c r="S835" s="4"/>
    </row>
    <row r="836" customFormat="false" ht="26.85" hidden="false" customHeight="false" outlineLevel="0" collapsed="false">
      <c r="A836" s="4" t="s">
        <v>2906</v>
      </c>
      <c r="B836" s="8" t="s">
        <v>2907</v>
      </c>
      <c r="C836" s="8"/>
      <c r="D836" s="8"/>
      <c r="E836" s="8"/>
      <c r="F836" s="8"/>
      <c r="G836" s="8"/>
      <c r="H836" s="8"/>
      <c r="I836" s="8" t="s">
        <v>2908</v>
      </c>
      <c r="J836" s="8" t="s">
        <v>72</v>
      </c>
      <c r="K836" s="8" t="s">
        <v>2826</v>
      </c>
      <c r="L836" s="8" t="s">
        <v>2827</v>
      </c>
      <c r="M836" s="8"/>
      <c r="N836" s="8" t="s">
        <v>62</v>
      </c>
      <c r="O836" s="8" t="s">
        <v>63</v>
      </c>
      <c r="P836" s="4" t="n">
        <v>37</v>
      </c>
      <c r="Q836" s="8"/>
      <c r="R836" s="4" t="s">
        <v>2907</v>
      </c>
      <c r="S836" s="4"/>
    </row>
    <row r="837" customFormat="false" ht="26.85" hidden="false" customHeight="false" outlineLevel="0" collapsed="false">
      <c r="A837" s="4" t="s">
        <v>2909</v>
      </c>
      <c r="B837" s="8" t="s">
        <v>2910</v>
      </c>
      <c r="C837" s="8" t="s">
        <v>58</v>
      </c>
      <c r="D837" s="8"/>
      <c r="E837" s="8" t="s">
        <v>60</v>
      </c>
      <c r="F837" s="8"/>
      <c r="G837" s="8"/>
      <c r="H837" s="8"/>
      <c r="I837" s="8" t="s">
        <v>2911</v>
      </c>
      <c r="J837" s="8" t="s">
        <v>72</v>
      </c>
      <c r="K837" s="8" t="s">
        <v>2826</v>
      </c>
      <c r="L837" s="8" t="s">
        <v>2827</v>
      </c>
      <c r="M837" s="8"/>
      <c r="N837" s="8" t="s">
        <v>62</v>
      </c>
      <c r="O837" s="8" t="s">
        <v>63</v>
      </c>
      <c r="P837" s="4" t="n">
        <v>37</v>
      </c>
      <c r="Q837" s="8"/>
      <c r="R837" s="4" t="s">
        <v>2912</v>
      </c>
      <c r="S837" s="4"/>
    </row>
    <row r="838" customFormat="false" ht="26.85" hidden="false" customHeight="false" outlineLevel="0" collapsed="false">
      <c r="A838" s="4" t="s">
        <v>2913</v>
      </c>
      <c r="B838" s="8" t="s">
        <v>2914</v>
      </c>
      <c r="C838" s="8" t="s">
        <v>58</v>
      </c>
      <c r="D838" s="8"/>
      <c r="E838" s="8" t="s">
        <v>60</v>
      </c>
      <c r="F838" s="8"/>
      <c r="G838" s="8"/>
      <c r="H838" s="8"/>
      <c r="I838" s="8" t="s">
        <v>2915</v>
      </c>
      <c r="J838" s="8" t="s">
        <v>72</v>
      </c>
      <c r="K838" s="8" t="s">
        <v>2826</v>
      </c>
      <c r="L838" s="8" t="s">
        <v>2916</v>
      </c>
      <c r="M838" s="8"/>
      <c r="N838" s="8" t="s">
        <v>62</v>
      </c>
      <c r="O838" s="8" t="s">
        <v>63</v>
      </c>
      <c r="P838" s="4" t="n">
        <v>37</v>
      </c>
      <c r="Q838" s="8"/>
      <c r="R838" s="4" t="s">
        <v>2917</v>
      </c>
      <c r="S838" s="4"/>
    </row>
    <row r="839" customFormat="false" ht="26.85" hidden="false" customHeight="false" outlineLevel="0" collapsed="false">
      <c r="A839" s="4" t="s">
        <v>2918</v>
      </c>
      <c r="B839" s="8" t="s">
        <v>2919</v>
      </c>
      <c r="C839" s="8" t="s">
        <v>58</v>
      </c>
      <c r="D839" s="8"/>
      <c r="E839" s="8" t="s">
        <v>60</v>
      </c>
      <c r="F839" s="8"/>
      <c r="G839" s="8"/>
      <c r="H839" s="8"/>
      <c r="I839" s="8" t="s">
        <v>2920</v>
      </c>
      <c r="J839" s="8" t="s">
        <v>72</v>
      </c>
      <c r="K839" s="8" t="s">
        <v>2826</v>
      </c>
      <c r="L839" s="8" t="s">
        <v>2916</v>
      </c>
      <c r="M839" s="8"/>
      <c r="N839" s="8" t="s">
        <v>62</v>
      </c>
      <c r="O839" s="8" t="s">
        <v>63</v>
      </c>
      <c r="P839" s="4" t="n">
        <v>37</v>
      </c>
      <c r="Q839" s="8"/>
      <c r="R839" s="4" t="s">
        <v>2921</v>
      </c>
      <c r="S839" s="4"/>
    </row>
    <row r="840" customFormat="false" ht="26.85" hidden="false" customHeight="false" outlineLevel="0" collapsed="false">
      <c r="A840" s="4" t="s">
        <v>2922</v>
      </c>
      <c r="B840" s="8" t="s">
        <v>2923</v>
      </c>
      <c r="C840" s="8" t="s">
        <v>58</v>
      </c>
      <c r="D840" s="8"/>
      <c r="E840" s="8" t="s">
        <v>60</v>
      </c>
      <c r="F840" s="8"/>
      <c r="G840" s="8"/>
      <c r="H840" s="8"/>
      <c r="I840" s="8" t="s">
        <v>2924</v>
      </c>
      <c r="J840" s="8" t="s">
        <v>72</v>
      </c>
      <c r="K840" s="8" t="s">
        <v>2826</v>
      </c>
      <c r="L840" s="8" t="s">
        <v>2916</v>
      </c>
      <c r="M840" s="8"/>
      <c r="N840" s="8" t="s">
        <v>62</v>
      </c>
      <c r="O840" s="8" t="s">
        <v>63</v>
      </c>
      <c r="P840" s="4" t="n">
        <v>37</v>
      </c>
      <c r="Q840" s="8"/>
      <c r="R840" s="4" t="s">
        <v>2925</v>
      </c>
      <c r="S840" s="4"/>
    </row>
    <row r="841" customFormat="false" ht="26.85" hidden="false" customHeight="false" outlineLevel="0" collapsed="false">
      <c r="A841" s="4" t="s">
        <v>2926</v>
      </c>
      <c r="B841" s="8" t="s">
        <v>2927</v>
      </c>
      <c r="C841" s="8" t="s">
        <v>58</v>
      </c>
      <c r="D841" s="8"/>
      <c r="E841" s="8" t="s">
        <v>60</v>
      </c>
      <c r="F841" s="8"/>
      <c r="G841" s="8"/>
      <c r="H841" s="8"/>
      <c r="I841" s="8" t="s">
        <v>2928</v>
      </c>
      <c r="J841" s="8" t="s">
        <v>72</v>
      </c>
      <c r="K841" s="8" t="s">
        <v>2826</v>
      </c>
      <c r="L841" s="8" t="s">
        <v>2916</v>
      </c>
      <c r="M841" s="8"/>
      <c r="N841" s="8" t="s">
        <v>62</v>
      </c>
      <c r="O841" s="8" t="s">
        <v>63</v>
      </c>
      <c r="P841" s="4" t="n">
        <v>37</v>
      </c>
      <c r="Q841" s="8"/>
      <c r="R841" s="4" t="s">
        <v>2929</v>
      </c>
      <c r="S841" s="4"/>
    </row>
    <row r="842" customFormat="false" ht="26.85" hidden="false" customHeight="false" outlineLevel="0" collapsed="false">
      <c r="A842" s="4" t="s">
        <v>2930</v>
      </c>
      <c r="B842" s="8" t="s">
        <v>2931</v>
      </c>
      <c r="C842" s="8" t="s">
        <v>58</v>
      </c>
      <c r="D842" s="8"/>
      <c r="E842" s="8" t="s">
        <v>60</v>
      </c>
      <c r="F842" s="8"/>
      <c r="G842" s="8"/>
      <c r="H842" s="8"/>
      <c r="I842" s="8" t="s">
        <v>2932</v>
      </c>
      <c r="J842" s="8" t="s">
        <v>72</v>
      </c>
      <c r="K842" s="8" t="s">
        <v>2826</v>
      </c>
      <c r="L842" s="8" t="s">
        <v>2916</v>
      </c>
      <c r="M842" s="8"/>
      <c r="N842" s="8" t="s">
        <v>62</v>
      </c>
      <c r="O842" s="8" t="s">
        <v>63</v>
      </c>
      <c r="P842" s="4" t="n">
        <v>37</v>
      </c>
      <c r="Q842" s="8"/>
      <c r="R842" s="4" t="s">
        <v>2933</v>
      </c>
      <c r="S842" s="4"/>
    </row>
    <row r="843" customFormat="false" ht="26.85" hidden="false" customHeight="false" outlineLevel="0" collapsed="false">
      <c r="A843" s="4" t="s">
        <v>2934</v>
      </c>
      <c r="B843" s="8" t="s">
        <v>2935</v>
      </c>
      <c r="C843" s="8" t="s">
        <v>58</v>
      </c>
      <c r="D843" s="8"/>
      <c r="E843" s="8" t="s">
        <v>60</v>
      </c>
      <c r="F843" s="8"/>
      <c r="G843" s="8"/>
      <c r="H843" s="8"/>
      <c r="I843" s="8" t="s">
        <v>2936</v>
      </c>
      <c r="J843" s="8" t="s">
        <v>72</v>
      </c>
      <c r="K843" s="8" t="s">
        <v>2826</v>
      </c>
      <c r="L843" s="8" t="s">
        <v>2916</v>
      </c>
      <c r="M843" s="8"/>
      <c r="N843" s="8" t="s">
        <v>62</v>
      </c>
      <c r="O843" s="8" t="s">
        <v>63</v>
      </c>
      <c r="P843" s="4" t="n">
        <v>37</v>
      </c>
      <c r="Q843" s="8"/>
      <c r="R843" s="4" t="s">
        <v>2937</v>
      </c>
      <c r="S843" s="4"/>
    </row>
    <row r="844" customFormat="false" ht="26.85" hidden="false" customHeight="false" outlineLevel="0" collapsed="false">
      <c r="A844" s="4" t="s">
        <v>2938</v>
      </c>
      <c r="B844" s="8" t="s">
        <v>2939</v>
      </c>
      <c r="C844" s="8"/>
      <c r="D844" s="8"/>
      <c r="E844" s="8"/>
      <c r="F844" s="8"/>
      <c r="G844" s="8"/>
      <c r="H844" s="8"/>
      <c r="I844" s="8" t="s">
        <v>2940</v>
      </c>
      <c r="J844" s="8" t="s">
        <v>72</v>
      </c>
      <c r="K844" s="8" t="s">
        <v>2826</v>
      </c>
      <c r="L844" s="8" t="s">
        <v>2916</v>
      </c>
      <c r="M844" s="8"/>
      <c r="N844" s="8" t="s">
        <v>62</v>
      </c>
      <c r="O844" s="8" t="s">
        <v>63</v>
      </c>
      <c r="P844" s="4" t="n">
        <v>37</v>
      </c>
      <c r="Q844" s="8"/>
      <c r="R844" s="4" t="s">
        <v>2939</v>
      </c>
      <c r="S844" s="4"/>
    </row>
    <row r="845" customFormat="false" ht="26.85" hidden="false" customHeight="false" outlineLevel="0" collapsed="false">
      <c r="A845" s="4" t="s">
        <v>2941</v>
      </c>
      <c r="B845" s="8" t="s">
        <v>2942</v>
      </c>
      <c r="C845" s="8" t="s">
        <v>58</v>
      </c>
      <c r="D845" s="8"/>
      <c r="E845" s="8" t="s">
        <v>60</v>
      </c>
      <c r="F845" s="8"/>
      <c r="G845" s="8"/>
      <c r="H845" s="8"/>
      <c r="I845" s="8" t="s">
        <v>2943</v>
      </c>
      <c r="J845" s="8" t="s">
        <v>72</v>
      </c>
      <c r="K845" s="8" t="s">
        <v>2826</v>
      </c>
      <c r="L845" s="8" t="s">
        <v>2916</v>
      </c>
      <c r="M845" s="8"/>
      <c r="N845" s="8" t="s">
        <v>62</v>
      </c>
      <c r="O845" s="8" t="s">
        <v>63</v>
      </c>
      <c r="P845" s="4" t="n">
        <v>37</v>
      </c>
      <c r="Q845" s="8"/>
      <c r="R845" s="4" t="s">
        <v>2944</v>
      </c>
      <c r="S845" s="4"/>
    </row>
    <row r="846" customFormat="false" ht="26.85" hidden="false" customHeight="false" outlineLevel="0" collapsed="false">
      <c r="A846" s="4" t="s">
        <v>2945</v>
      </c>
      <c r="B846" s="8" t="s">
        <v>2946</v>
      </c>
      <c r="C846" s="8" t="s">
        <v>58</v>
      </c>
      <c r="D846" s="8"/>
      <c r="E846" s="8" t="s">
        <v>60</v>
      </c>
      <c r="F846" s="8"/>
      <c r="G846" s="8"/>
      <c r="H846" s="8"/>
      <c r="I846" s="8" t="s">
        <v>2947</v>
      </c>
      <c r="J846" s="8" t="s">
        <v>72</v>
      </c>
      <c r="K846" s="8" t="s">
        <v>2826</v>
      </c>
      <c r="L846" s="8" t="s">
        <v>2916</v>
      </c>
      <c r="M846" s="8"/>
      <c r="N846" s="8" t="s">
        <v>62</v>
      </c>
      <c r="O846" s="8" t="s">
        <v>63</v>
      </c>
      <c r="P846" s="4" t="n">
        <v>37</v>
      </c>
      <c r="Q846" s="8"/>
      <c r="R846" s="4" t="s">
        <v>2948</v>
      </c>
      <c r="S846" s="4"/>
    </row>
    <row r="847" customFormat="false" ht="26.85" hidden="false" customHeight="false" outlineLevel="0" collapsed="false">
      <c r="A847" s="4" t="s">
        <v>2949</v>
      </c>
      <c r="B847" s="8" t="s">
        <v>2950</v>
      </c>
      <c r="C847" s="8"/>
      <c r="D847" s="8"/>
      <c r="E847" s="8"/>
      <c r="F847" s="8"/>
      <c r="G847" s="8"/>
      <c r="H847" s="8"/>
      <c r="I847" s="8" t="s">
        <v>2951</v>
      </c>
      <c r="J847" s="8" t="s">
        <v>72</v>
      </c>
      <c r="K847" s="8" t="s">
        <v>2826</v>
      </c>
      <c r="L847" s="8" t="s">
        <v>2916</v>
      </c>
      <c r="M847" s="8"/>
      <c r="N847" s="8" t="s">
        <v>62</v>
      </c>
      <c r="O847" s="8" t="s">
        <v>63</v>
      </c>
      <c r="P847" s="4" t="n">
        <v>37</v>
      </c>
      <c r="Q847" s="8"/>
      <c r="R847" s="4" t="s">
        <v>2950</v>
      </c>
      <c r="S847" s="4"/>
    </row>
    <row r="848" customFormat="false" ht="26.85" hidden="false" customHeight="false" outlineLevel="0" collapsed="false">
      <c r="A848" s="4" t="s">
        <v>2952</v>
      </c>
      <c r="B848" s="8" t="s">
        <v>2953</v>
      </c>
      <c r="C848" s="8" t="s">
        <v>58</v>
      </c>
      <c r="D848" s="8"/>
      <c r="E848" s="8" t="s">
        <v>60</v>
      </c>
      <c r="F848" s="8"/>
      <c r="G848" s="8"/>
      <c r="H848" s="8"/>
      <c r="I848" s="8" t="s">
        <v>2954</v>
      </c>
      <c r="J848" s="8" t="s">
        <v>72</v>
      </c>
      <c r="K848" s="8" t="s">
        <v>2826</v>
      </c>
      <c r="L848" s="8" t="s">
        <v>2916</v>
      </c>
      <c r="M848" s="8"/>
      <c r="N848" s="8" t="s">
        <v>62</v>
      </c>
      <c r="O848" s="8" t="s">
        <v>63</v>
      </c>
      <c r="P848" s="4" t="n">
        <v>37</v>
      </c>
      <c r="Q848" s="8"/>
      <c r="R848" s="4" t="s">
        <v>2955</v>
      </c>
      <c r="S848" s="4"/>
    </row>
    <row r="849" customFormat="false" ht="26.85" hidden="false" customHeight="false" outlineLevel="0" collapsed="false">
      <c r="A849" s="4" t="s">
        <v>2956</v>
      </c>
      <c r="B849" s="8" t="s">
        <v>2957</v>
      </c>
      <c r="C849" s="8" t="s">
        <v>58</v>
      </c>
      <c r="D849" s="8"/>
      <c r="E849" s="8" t="s">
        <v>60</v>
      </c>
      <c r="F849" s="8"/>
      <c r="G849" s="8"/>
      <c r="H849" s="8"/>
      <c r="I849" s="8" t="s">
        <v>2958</v>
      </c>
      <c r="J849" s="8" t="s">
        <v>72</v>
      </c>
      <c r="K849" s="8" t="s">
        <v>2826</v>
      </c>
      <c r="L849" s="8" t="s">
        <v>2916</v>
      </c>
      <c r="M849" s="8"/>
      <c r="N849" s="8" t="s">
        <v>62</v>
      </c>
      <c r="O849" s="8" t="s">
        <v>63</v>
      </c>
      <c r="P849" s="4" t="n">
        <v>37</v>
      </c>
      <c r="Q849" s="8"/>
      <c r="R849" s="4" t="s">
        <v>2959</v>
      </c>
      <c r="S849" s="4"/>
    </row>
    <row r="850" customFormat="false" ht="26.85" hidden="false" customHeight="false" outlineLevel="0" collapsed="false">
      <c r="A850" s="4" t="s">
        <v>2960</v>
      </c>
      <c r="B850" s="8" t="s">
        <v>2961</v>
      </c>
      <c r="C850" s="8" t="s">
        <v>58</v>
      </c>
      <c r="D850" s="8"/>
      <c r="E850" s="8" t="s">
        <v>60</v>
      </c>
      <c r="F850" s="8"/>
      <c r="G850" s="8"/>
      <c r="H850" s="8"/>
      <c r="I850" s="8" t="s">
        <v>2962</v>
      </c>
      <c r="J850" s="8" t="s">
        <v>72</v>
      </c>
      <c r="K850" s="8" t="s">
        <v>2826</v>
      </c>
      <c r="L850" s="8" t="s">
        <v>2916</v>
      </c>
      <c r="M850" s="8"/>
      <c r="N850" s="8" t="s">
        <v>62</v>
      </c>
      <c r="O850" s="8" t="s">
        <v>63</v>
      </c>
      <c r="P850" s="4" t="n">
        <v>37</v>
      </c>
      <c r="Q850" s="8"/>
      <c r="R850" s="4" t="s">
        <v>2963</v>
      </c>
      <c r="S850" s="4"/>
    </row>
    <row r="851" customFormat="false" ht="26.85" hidden="false" customHeight="false" outlineLevel="0" collapsed="false">
      <c r="A851" s="4" t="s">
        <v>2964</v>
      </c>
      <c r="B851" s="8" t="s">
        <v>2965</v>
      </c>
      <c r="C851" s="8" t="s">
        <v>58</v>
      </c>
      <c r="D851" s="8"/>
      <c r="E851" s="8" t="s">
        <v>60</v>
      </c>
      <c r="F851" s="8"/>
      <c r="G851" s="8"/>
      <c r="H851" s="8"/>
      <c r="I851" s="8" t="s">
        <v>2966</v>
      </c>
      <c r="J851" s="8" t="s">
        <v>72</v>
      </c>
      <c r="K851" s="8" t="s">
        <v>2826</v>
      </c>
      <c r="L851" s="8" t="s">
        <v>2916</v>
      </c>
      <c r="M851" s="8"/>
      <c r="N851" s="8" t="s">
        <v>62</v>
      </c>
      <c r="O851" s="8" t="s">
        <v>63</v>
      </c>
      <c r="P851" s="4" t="n">
        <v>37</v>
      </c>
      <c r="Q851" s="8"/>
      <c r="R851" s="4" t="s">
        <v>2967</v>
      </c>
      <c r="S851" s="4" t="n">
        <v>844</v>
      </c>
    </row>
    <row r="852" customFormat="false" ht="26.85" hidden="false" customHeight="false" outlineLevel="0" collapsed="false">
      <c r="A852" s="4" t="s">
        <v>2968</v>
      </c>
      <c r="B852" s="8" t="s">
        <v>2969</v>
      </c>
      <c r="C852" s="8"/>
      <c r="D852" s="8"/>
      <c r="E852" s="8"/>
      <c r="F852" s="8"/>
      <c r="G852" s="8"/>
      <c r="H852" s="8"/>
      <c r="I852" s="8" t="s">
        <v>2970</v>
      </c>
      <c r="J852" s="8" t="s">
        <v>72</v>
      </c>
      <c r="K852" s="8" t="s">
        <v>2826</v>
      </c>
      <c r="L852" s="8" t="s">
        <v>2916</v>
      </c>
      <c r="M852" s="8"/>
      <c r="N852" s="8" t="s">
        <v>62</v>
      </c>
      <c r="O852" s="8" t="s">
        <v>63</v>
      </c>
      <c r="P852" s="4" t="n">
        <v>37</v>
      </c>
      <c r="Q852" s="8"/>
      <c r="R852" s="4" t="s">
        <v>2969</v>
      </c>
      <c r="S852" s="4"/>
    </row>
    <row r="853" customFormat="false" ht="26.85" hidden="false" customHeight="false" outlineLevel="0" collapsed="false">
      <c r="A853" s="4" t="s">
        <v>2971</v>
      </c>
      <c r="B853" s="8" t="s">
        <v>2972</v>
      </c>
      <c r="C853" s="8" t="s">
        <v>58</v>
      </c>
      <c r="D853" s="8"/>
      <c r="E853" s="8" t="s">
        <v>60</v>
      </c>
      <c r="F853" s="8"/>
      <c r="G853" s="8"/>
      <c r="H853" s="8"/>
      <c r="I853" s="8" t="s">
        <v>2973</v>
      </c>
      <c r="J853" s="8" t="s">
        <v>72</v>
      </c>
      <c r="K853" s="8" t="s">
        <v>2826</v>
      </c>
      <c r="L853" s="8" t="s">
        <v>2916</v>
      </c>
      <c r="M853" s="8"/>
      <c r="N853" s="8" t="s">
        <v>62</v>
      </c>
      <c r="O853" s="8" t="s">
        <v>63</v>
      </c>
      <c r="P853" s="4" t="n">
        <v>37</v>
      </c>
      <c r="Q853" s="8"/>
      <c r="R853" s="4" t="s">
        <v>2974</v>
      </c>
      <c r="S853" s="4"/>
    </row>
    <row r="854" customFormat="false" ht="26.85" hidden="false" customHeight="false" outlineLevel="0" collapsed="false">
      <c r="A854" s="4" t="s">
        <v>2975</v>
      </c>
      <c r="B854" s="8" t="s">
        <v>2976</v>
      </c>
      <c r="C854" s="8" t="s">
        <v>58</v>
      </c>
      <c r="D854" s="8"/>
      <c r="E854" s="8" t="s">
        <v>60</v>
      </c>
      <c r="F854" s="8"/>
      <c r="G854" s="8"/>
      <c r="H854" s="8"/>
      <c r="I854" s="8" t="s">
        <v>2977</v>
      </c>
      <c r="J854" s="8" t="s">
        <v>72</v>
      </c>
      <c r="K854" s="8" t="s">
        <v>2826</v>
      </c>
      <c r="L854" s="8" t="s">
        <v>2916</v>
      </c>
      <c r="M854" s="8"/>
      <c r="N854" s="8" t="s">
        <v>62</v>
      </c>
      <c r="O854" s="8" t="s">
        <v>63</v>
      </c>
      <c r="P854" s="4" t="n">
        <v>37</v>
      </c>
      <c r="Q854" s="8"/>
      <c r="R854" s="4" t="s">
        <v>2978</v>
      </c>
      <c r="S854" s="4"/>
    </row>
    <row r="855" customFormat="false" ht="26.85" hidden="false" customHeight="false" outlineLevel="0" collapsed="false">
      <c r="A855" s="4" t="s">
        <v>2979</v>
      </c>
      <c r="B855" s="8" t="s">
        <v>2980</v>
      </c>
      <c r="C855" s="8"/>
      <c r="D855" s="8"/>
      <c r="E855" s="8"/>
      <c r="F855" s="8"/>
      <c r="G855" s="8"/>
      <c r="H855" s="8"/>
      <c r="I855" s="8" t="s">
        <v>2981</v>
      </c>
      <c r="J855" s="8" t="s">
        <v>72</v>
      </c>
      <c r="K855" s="8" t="s">
        <v>2826</v>
      </c>
      <c r="L855" s="8" t="s">
        <v>2916</v>
      </c>
      <c r="M855" s="8"/>
      <c r="N855" s="8" t="s">
        <v>62</v>
      </c>
      <c r="O855" s="8" t="s">
        <v>63</v>
      </c>
      <c r="P855" s="4" t="n">
        <v>38</v>
      </c>
      <c r="Q855" s="8"/>
      <c r="R855" s="4" t="s">
        <v>2980</v>
      </c>
      <c r="S855" s="4"/>
    </row>
    <row r="856" customFormat="false" ht="26.85" hidden="false" customHeight="false" outlineLevel="0" collapsed="false">
      <c r="A856" s="4" t="s">
        <v>2982</v>
      </c>
      <c r="B856" s="8" t="s">
        <v>2983</v>
      </c>
      <c r="C856" s="8"/>
      <c r="D856" s="8"/>
      <c r="E856" s="8"/>
      <c r="F856" s="8"/>
      <c r="G856" s="8"/>
      <c r="H856" s="8"/>
      <c r="I856" s="8" t="s">
        <v>2984</v>
      </c>
      <c r="J856" s="8" t="s">
        <v>72</v>
      </c>
      <c r="K856" s="8" t="s">
        <v>2826</v>
      </c>
      <c r="L856" s="8" t="s">
        <v>2916</v>
      </c>
      <c r="M856" s="8"/>
      <c r="N856" s="8" t="s">
        <v>62</v>
      </c>
      <c r="O856" s="8" t="s">
        <v>63</v>
      </c>
      <c r="P856" s="4" t="n">
        <v>38</v>
      </c>
      <c r="Q856" s="8"/>
      <c r="R856" s="4" t="s">
        <v>2983</v>
      </c>
      <c r="S856" s="4"/>
    </row>
    <row r="857" customFormat="false" ht="26.85" hidden="false" customHeight="false" outlineLevel="0" collapsed="false">
      <c r="A857" s="4" t="s">
        <v>2985</v>
      </c>
      <c r="B857" s="8" t="s">
        <v>2986</v>
      </c>
      <c r="C857" s="8" t="s">
        <v>58</v>
      </c>
      <c r="D857" s="8"/>
      <c r="E857" s="8" t="s">
        <v>60</v>
      </c>
      <c r="F857" s="8"/>
      <c r="G857" s="8"/>
      <c r="H857" s="8"/>
      <c r="I857" s="8" t="s">
        <v>1556</v>
      </c>
      <c r="J857" s="8" t="s">
        <v>72</v>
      </c>
      <c r="K857" s="8" t="s">
        <v>2826</v>
      </c>
      <c r="L857" s="8" t="s">
        <v>2916</v>
      </c>
      <c r="M857" s="8"/>
      <c r="N857" s="8" t="s">
        <v>62</v>
      </c>
      <c r="O857" s="8" t="s">
        <v>63</v>
      </c>
      <c r="P857" s="4" t="n">
        <v>38</v>
      </c>
      <c r="Q857" s="8"/>
      <c r="R857" s="4" t="s">
        <v>2987</v>
      </c>
      <c r="S857" s="4"/>
    </row>
    <row r="858" customFormat="false" ht="26.85" hidden="false" customHeight="false" outlineLevel="0" collapsed="false">
      <c r="A858" s="4" t="s">
        <v>2988</v>
      </c>
      <c r="B858" s="8" t="s">
        <v>2989</v>
      </c>
      <c r="C858" s="8"/>
      <c r="D858" s="8"/>
      <c r="E858" s="8"/>
      <c r="F858" s="8"/>
      <c r="G858" s="8"/>
      <c r="H858" s="8"/>
      <c r="I858" s="8" t="s">
        <v>2990</v>
      </c>
      <c r="J858" s="8" t="s">
        <v>72</v>
      </c>
      <c r="K858" s="8" t="s">
        <v>2826</v>
      </c>
      <c r="L858" s="8" t="s">
        <v>2916</v>
      </c>
      <c r="M858" s="8"/>
      <c r="N858" s="8" t="s">
        <v>62</v>
      </c>
      <c r="O858" s="8" t="s">
        <v>63</v>
      </c>
      <c r="P858" s="4" t="n">
        <v>38</v>
      </c>
      <c r="Q858" s="8"/>
      <c r="R858" s="4" t="s">
        <v>2989</v>
      </c>
      <c r="S858" s="4" t="n">
        <v>1394</v>
      </c>
    </row>
    <row r="859" customFormat="false" ht="26.85" hidden="false" customHeight="false" outlineLevel="0" collapsed="false">
      <c r="A859" s="4" t="s">
        <v>2991</v>
      </c>
      <c r="B859" s="8" t="s">
        <v>2992</v>
      </c>
      <c r="C859" s="8" t="s">
        <v>58</v>
      </c>
      <c r="D859" s="8"/>
      <c r="E859" s="8" t="s">
        <v>60</v>
      </c>
      <c r="F859" s="8"/>
      <c r="G859" s="8"/>
      <c r="H859" s="8"/>
      <c r="I859" s="8" t="s">
        <v>2993</v>
      </c>
      <c r="J859" s="8" t="s">
        <v>72</v>
      </c>
      <c r="K859" s="8" t="s">
        <v>2826</v>
      </c>
      <c r="L859" s="8" t="s">
        <v>2916</v>
      </c>
      <c r="M859" s="8"/>
      <c r="N859" s="8" t="s">
        <v>62</v>
      </c>
      <c r="O859" s="8" t="s">
        <v>63</v>
      </c>
      <c r="P859" s="4" t="n">
        <v>38</v>
      </c>
      <c r="Q859" s="8"/>
      <c r="R859" s="4" t="s">
        <v>2994</v>
      </c>
      <c r="S859" s="4"/>
    </row>
    <row r="860" customFormat="false" ht="26.85" hidden="false" customHeight="false" outlineLevel="0" collapsed="false">
      <c r="A860" s="4" t="s">
        <v>2995</v>
      </c>
      <c r="B860" s="8" t="s">
        <v>2996</v>
      </c>
      <c r="C860" s="8" t="s">
        <v>58</v>
      </c>
      <c r="D860" s="8"/>
      <c r="E860" s="8" t="s">
        <v>60</v>
      </c>
      <c r="F860" s="8"/>
      <c r="G860" s="8"/>
      <c r="H860" s="8"/>
      <c r="I860" s="8" t="s">
        <v>2997</v>
      </c>
      <c r="J860" s="8" t="s">
        <v>72</v>
      </c>
      <c r="K860" s="8" t="s">
        <v>2826</v>
      </c>
      <c r="L860" s="8" t="s">
        <v>2916</v>
      </c>
      <c r="M860" s="8"/>
      <c r="N860" s="8" t="s">
        <v>62</v>
      </c>
      <c r="O860" s="8" t="s">
        <v>63</v>
      </c>
      <c r="P860" s="4" t="n">
        <v>38</v>
      </c>
      <c r="Q860" s="8"/>
      <c r="R860" s="4" t="s">
        <v>2998</v>
      </c>
      <c r="S860" s="4"/>
    </row>
    <row r="861" customFormat="false" ht="26.85" hidden="false" customHeight="false" outlineLevel="0" collapsed="false">
      <c r="A861" s="4" t="s">
        <v>2999</v>
      </c>
      <c r="B861" s="8" t="s">
        <v>3000</v>
      </c>
      <c r="C861" s="8" t="s">
        <v>58</v>
      </c>
      <c r="D861" s="8"/>
      <c r="E861" s="8" t="s">
        <v>60</v>
      </c>
      <c r="F861" s="8"/>
      <c r="G861" s="8"/>
      <c r="H861" s="8"/>
      <c r="I861" s="8" t="s">
        <v>3001</v>
      </c>
      <c r="J861" s="8" t="s">
        <v>72</v>
      </c>
      <c r="K861" s="8" t="s">
        <v>2826</v>
      </c>
      <c r="L861" s="8" t="s">
        <v>2916</v>
      </c>
      <c r="M861" s="8"/>
      <c r="N861" s="8" t="s">
        <v>62</v>
      </c>
      <c r="O861" s="8" t="s">
        <v>63</v>
      </c>
      <c r="P861" s="4" t="n">
        <v>38</v>
      </c>
      <c r="Q861" s="8"/>
      <c r="R861" s="4" t="s">
        <v>3002</v>
      </c>
      <c r="S861" s="4"/>
    </row>
    <row r="862" customFormat="false" ht="26.85" hidden="false" customHeight="false" outlineLevel="0" collapsed="false">
      <c r="A862" s="4" t="s">
        <v>3003</v>
      </c>
      <c r="B862" s="8" t="s">
        <v>3004</v>
      </c>
      <c r="C862" s="8" t="s">
        <v>58</v>
      </c>
      <c r="D862" s="8"/>
      <c r="E862" s="8" t="s">
        <v>60</v>
      </c>
      <c r="F862" s="8"/>
      <c r="G862" s="8"/>
      <c r="H862" s="8"/>
      <c r="I862" s="8" t="s">
        <v>3005</v>
      </c>
      <c r="J862" s="8" t="s">
        <v>72</v>
      </c>
      <c r="K862" s="8" t="s">
        <v>2826</v>
      </c>
      <c r="L862" s="8" t="s">
        <v>2916</v>
      </c>
      <c r="M862" s="8"/>
      <c r="N862" s="8" t="s">
        <v>62</v>
      </c>
      <c r="O862" s="8" t="s">
        <v>63</v>
      </c>
      <c r="P862" s="4" t="n">
        <v>38</v>
      </c>
      <c r="Q862" s="8"/>
      <c r="R862" s="4" t="s">
        <v>3006</v>
      </c>
      <c r="S862" s="4"/>
    </row>
    <row r="863" customFormat="false" ht="26.85" hidden="false" customHeight="false" outlineLevel="0" collapsed="false">
      <c r="A863" s="4" t="s">
        <v>3007</v>
      </c>
      <c r="B863" s="8" t="s">
        <v>3008</v>
      </c>
      <c r="C863" s="8" t="s">
        <v>58</v>
      </c>
      <c r="D863" s="8"/>
      <c r="E863" s="8" t="s">
        <v>60</v>
      </c>
      <c r="F863" s="8"/>
      <c r="G863" s="8"/>
      <c r="H863" s="8"/>
      <c r="I863" s="8" t="s">
        <v>3009</v>
      </c>
      <c r="J863" s="8" t="s">
        <v>72</v>
      </c>
      <c r="K863" s="8" t="s">
        <v>2826</v>
      </c>
      <c r="L863" s="8" t="s">
        <v>2916</v>
      </c>
      <c r="M863" s="8"/>
      <c r="N863" s="8" t="s">
        <v>62</v>
      </c>
      <c r="O863" s="8" t="s">
        <v>63</v>
      </c>
      <c r="P863" s="4" t="n">
        <v>38</v>
      </c>
      <c r="Q863" s="8"/>
      <c r="R863" s="4" t="s">
        <v>3010</v>
      </c>
      <c r="S863" s="4"/>
    </row>
    <row r="864" customFormat="false" ht="26.85" hidden="false" customHeight="false" outlineLevel="0" collapsed="false">
      <c r="A864" s="4" t="s">
        <v>3011</v>
      </c>
      <c r="B864" s="8" t="s">
        <v>3012</v>
      </c>
      <c r="C864" s="8" t="s">
        <v>58</v>
      </c>
      <c r="D864" s="8"/>
      <c r="E864" s="8" t="s">
        <v>60</v>
      </c>
      <c r="F864" s="8"/>
      <c r="G864" s="8"/>
      <c r="H864" s="8"/>
      <c r="I864" s="8" t="s">
        <v>3013</v>
      </c>
      <c r="J864" s="8" t="s">
        <v>72</v>
      </c>
      <c r="K864" s="8" t="s">
        <v>2826</v>
      </c>
      <c r="L864" s="8" t="s">
        <v>2916</v>
      </c>
      <c r="M864" s="8"/>
      <c r="N864" s="8" t="s">
        <v>62</v>
      </c>
      <c r="O864" s="8" t="s">
        <v>63</v>
      </c>
      <c r="P864" s="4" t="n">
        <v>38</v>
      </c>
      <c r="Q864" s="8"/>
      <c r="R864" s="4" t="s">
        <v>3014</v>
      </c>
      <c r="S864" s="4"/>
    </row>
    <row r="865" customFormat="false" ht="26.85" hidden="false" customHeight="false" outlineLevel="0" collapsed="false">
      <c r="A865" s="4" t="s">
        <v>3015</v>
      </c>
      <c r="B865" s="8" t="s">
        <v>3016</v>
      </c>
      <c r="C865" s="8" t="s">
        <v>58</v>
      </c>
      <c r="D865" s="8"/>
      <c r="E865" s="8" t="s">
        <v>60</v>
      </c>
      <c r="F865" s="8"/>
      <c r="G865" s="8"/>
      <c r="H865" s="8"/>
      <c r="I865" s="8" t="s">
        <v>3017</v>
      </c>
      <c r="J865" s="8" t="s">
        <v>72</v>
      </c>
      <c r="K865" s="8" t="s">
        <v>2826</v>
      </c>
      <c r="L865" s="8" t="s">
        <v>2916</v>
      </c>
      <c r="M865" s="8"/>
      <c r="N865" s="8" t="s">
        <v>62</v>
      </c>
      <c r="O865" s="8" t="s">
        <v>63</v>
      </c>
      <c r="P865" s="4" t="n">
        <v>38</v>
      </c>
      <c r="Q865" s="8"/>
      <c r="R865" s="4" t="s">
        <v>3018</v>
      </c>
      <c r="S865" s="4"/>
    </row>
    <row r="866" customFormat="false" ht="26.85" hidden="false" customHeight="false" outlineLevel="0" collapsed="false">
      <c r="A866" s="4" t="s">
        <v>3019</v>
      </c>
      <c r="B866" s="8" t="s">
        <v>3020</v>
      </c>
      <c r="C866" s="8" t="s">
        <v>58</v>
      </c>
      <c r="D866" s="8"/>
      <c r="E866" s="8" t="s">
        <v>60</v>
      </c>
      <c r="F866" s="8"/>
      <c r="G866" s="8"/>
      <c r="H866" s="8"/>
      <c r="I866" s="8" t="s">
        <v>3021</v>
      </c>
      <c r="J866" s="8" t="s">
        <v>72</v>
      </c>
      <c r="K866" s="8" t="s">
        <v>2826</v>
      </c>
      <c r="L866" s="8" t="s">
        <v>2916</v>
      </c>
      <c r="M866" s="8"/>
      <c r="N866" s="8" t="s">
        <v>62</v>
      </c>
      <c r="O866" s="8" t="s">
        <v>63</v>
      </c>
      <c r="P866" s="4" t="n">
        <v>38</v>
      </c>
      <c r="Q866" s="8"/>
      <c r="R866" s="4" t="s">
        <v>3022</v>
      </c>
      <c r="S866" s="4"/>
    </row>
    <row r="867" customFormat="false" ht="26.85" hidden="false" customHeight="false" outlineLevel="0" collapsed="false">
      <c r="A867" s="4" t="s">
        <v>3023</v>
      </c>
      <c r="B867" s="8" t="s">
        <v>3024</v>
      </c>
      <c r="C867" s="8" t="s">
        <v>58</v>
      </c>
      <c r="D867" s="8"/>
      <c r="E867" s="8" t="s">
        <v>60</v>
      </c>
      <c r="F867" s="8"/>
      <c r="G867" s="8"/>
      <c r="H867" s="8"/>
      <c r="I867" s="8" t="s">
        <v>3025</v>
      </c>
      <c r="J867" s="8" t="s">
        <v>72</v>
      </c>
      <c r="K867" s="8" t="s">
        <v>2826</v>
      </c>
      <c r="L867" s="8" t="s">
        <v>2916</v>
      </c>
      <c r="M867" s="8"/>
      <c r="N867" s="8" t="s">
        <v>62</v>
      </c>
      <c r="O867" s="8" t="s">
        <v>63</v>
      </c>
      <c r="P867" s="4" t="n">
        <v>38</v>
      </c>
      <c r="Q867" s="8"/>
      <c r="R867" s="4" t="s">
        <v>3026</v>
      </c>
      <c r="S867" s="4"/>
    </row>
    <row r="868" customFormat="false" ht="26.85" hidden="false" customHeight="false" outlineLevel="0" collapsed="false">
      <c r="A868" s="4" t="s">
        <v>3027</v>
      </c>
      <c r="B868" s="8" t="s">
        <v>3028</v>
      </c>
      <c r="C868" s="8"/>
      <c r="D868" s="8"/>
      <c r="E868" s="8"/>
      <c r="F868" s="8"/>
      <c r="G868" s="8"/>
      <c r="H868" s="8"/>
      <c r="I868" s="8" t="s">
        <v>3029</v>
      </c>
      <c r="J868" s="8" t="s">
        <v>72</v>
      </c>
      <c r="K868" s="8" t="s">
        <v>2826</v>
      </c>
      <c r="L868" s="8" t="s">
        <v>2916</v>
      </c>
      <c r="M868" s="8"/>
      <c r="N868" s="8" t="s">
        <v>62</v>
      </c>
      <c r="O868" s="8" t="s">
        <v>63</v>
      </c>
      <c r="P868" s="4" t="n">
        <v>38</v>
      </c>
      <c r="Q868" s="8"/>
      <c r="R868" s="4" t="s">
        <v>3028</v>
      </c>
      <c r="S868" s="4"/>
    </row>
    <row r="869" customFormat="false" ht="26.85" hidden="false" customHeight="false" outlineLevel="0" collapsed="false">
      <c r="A869" s="4" t="s">
        <v>3030</v>
      </c>
      <c r="B869" s="8" t="s">
        <v>3031</v>
      </c>
      <c r="C869" s="8"/>
      <c r="D869" s="8"/>
      <c r="E869" s="8"/>
      <c r="F869" s="8"/>
      <c r="G869" s="8"/>
      <c r="H869" s="8"/>
      <c r="I869" s="8" t="s">
        <v>3032</v>
      </c>
      <c r="J869" s="8" t="s">
        <v>72</v>
      </c>
      <c r="K869" s="8" t="s">
        <v>2826</v>
      </c>
      <c r="L869" s="8" t="s">
        <v>2916</v>
      </c>
      <c r="M869" s="8"/>
      <c r="N869" s="8" t="s">
        <v>62</v>
      </c>
      <c r="O869" s="8" t="s">
        <v>63</v>
      </c>
      <c r="P869" s="4" t="n">
        <v>38</v>
      </c>
      <c r="Q869" s="8"/>
      <c r="R869" s="4" t="s">
        <v>3031</v>
      </c>
      <c r="S869" s="4"/>
    </row>
    <row r="870" customFormat="false" ht="26.85" hidden="false" customHeight="false" outlineLevel="0" collapsed="false">
      <c r="A870" s="4" t="s">
        <v>3033</v>
      </c>
      <c r="B870" s="8" t="s">
        <v>3034</v>
      </c>
      <c r="C870" s="8" t="s">
        <v>58</v>
      </c>
      <c r="D870" s="8"/>
      <c r="E870" s="8" t="s">
        <v>60</v>
      </c>
      <c r="F870" s="8"/>
      <c r="G870" s="8"/>
      <c r="H870" s="8"/>
      <c r="I870" s="8" t="s">
        <v>3035</v>
      </c>
      <c r="J870" s="8" t="s">
        <v>72</v>
      </c>
      <c r="K870" s="8" t="s">
        <v>2826</v>
      </c>
      <c r="L870" s="8" t="s">
        <v>2916</v>
      </c>
      <c r="M870" s="8"/>
      <c r="N870" s="8" t="s">
        <v>62</v>
      </c>
      <c r="O870" s="8" t="s">
        <v>63</v>
      </c>
      <c r="P870" s="4" t="n">
        <v>38</v>
      </c>
      <c r="Q870" s="8"/>
      <c r="R870" s="4" t="s">
        <v>3036</v>
      </c>
      <c r="S870" s="4"/>
    </row>
    <row r="871" customFormat="false" ht="26.85" hidden="false" customHeight="false" outlineLevel="0" collapsed="false">
      <c r="A871" s="4" t="s">
        <v>3037</v>
      </c>
      <c r="B871" s="8" t="s">
        <v>3038</v>
      </c>
      <c r="C871" s="8" t="s">
        <v>58</v>
      </c>
      <c r="D871" s="8"/>
      <c r="E871" s="8" t="s">
        <v>60</v>
      </c>
      <c r="F871" s="8"/>
      <c r="G871" s="8"/>
      <c r="H871" s="8"/>
      <c r="I871" s="8" t="s">
        <v>3039</v>
      </c>
      <c r="J871" s="8" t="s">
        <v>72</v>
      </c>
      <c r="K871" s="8" t="s">
        <v>2826</v>
      </c>
      <c r="L871" s="8" t="s">
        <v>2916</v>
      </c>
      <c r="M871" s="8"/>
      <c r="N871" s="8" t="s">
        <v>62</v>
      </c>
      <c r="O871" s="8" t="s">
        <v>63</v>
      </c>
      <c r="P871" s="4" t="n">
        <v>38</v>
      </c>
      <c r="Q871" s="8"/>
      <c r="R871" s="4" t="s">
        <v>3040</v>
      </c>
      <c r="S871" s="4" t="n">
        <v>169</v>
      </c>
    </row>
    <row r="872" customFormat="false" ht="26.85" hidden="false" customHeight="false" outlineLevel="0" collapsed="false">
      <c r="A872" s="4" t="s">
        <v>3041</v>
      </c>
      <c r="B872" s="8" t="s">
        <v>3042</v>
      </c>
      <c r="C872" s="8" t="s">
        <v>58</v>
      </c>
      <c r="D872" s="8"/>
      <c r="E872" s="8" t="s">
        <v>60</v>
      </c>
      <c r="F872" s="8"/>
      <c r="G872" s="8"/>
      <c r="H872" s="8"/>
      <c r="I872" s="8" t="s">
        <v>3043</v>
      </c>
      <c r="J872" s="8" t="s">
        <v>72</v>
      </c>
      <c r="K872" s="8" t="s">
        <v>2826</v>
      </c>
      <c r="L872" s="8" t="s">
        <v>2916</v>
      </c>
      <c r="M872" s="8"/>
      <c r="N872" s="8" t="s">
        <v>62</v>
      </c>
      <c r="O872" s="8" t="s">
        <v>63</v>
      </c>
      <c r="P872" s="4" t="n">
        <v>38</v>
      </c>
      <c r="Q872" s="8"/>
      <c r="R872" s="4" t="s">
        <v>3044</v>
      </c>
      <c r="S872" s="4"/>
    </row>
    <row r="873" customFormat="false" ht="26.85" hidden="false" customHeight="false" outlineLevel="0" collapsed="false">
      <c r="A873" s="4" t="s">
        <v>3045</v>
      </c>
      <c r="B873" s="8" t="s">
        <v>2900</v>
      </c>
      <c r="C873" s="8" t="s">
        <v>58</v>
      </c>
      <c r="D873" s="8"/>
      <c r="E873" s="8" t="s">
        <v>60</v>
      </c>
      <c r="F873" s="8"/>
      <c r="G873" s="8"/>
      <c r="H873" s="8"/>
      <c r="I873" s="8" t="s">
        <v>2901</v>
      </c>
      <c r="J873" s="8" t="s">
        <v>72</v>
      </c>
      <c r="K873" s="8" t="s">
        <v>2826</v>
      </c>
      <c r="L873" s="8" t="s">
        <v>2916</v>
      </c>
      <c r="M873" s="8"/>
      <c r="N873" s="8" t="s">
        <v>62</v>
      </c>
      <c r="O873" s="8" t="s">
        <v>63</v>
      </c>
      <c r="P873" s="4" t="n">
        <v>38</v>
      </c>
      <c r="Q873" s="8"/>
      <c r="R873" s="4" t="s">
        <v>3046</v>
      </c>
      <c r="S873" s="4"/>
    </row>
    <row r="874" customFormat="false" ht="26.85" hidden="false" customHeight="false" outlineLevel="0" collapsed="false">
      <c r="A874" s="4" t="s">
        <v>3047</v>
      </c>
      <c r="B874" s="8" t="s">
        <v>3048</v>
      </c>
      <c r="C874" s="8" t="s">
        <v>58</v>
      </c>
      <c r="D874" s="8"/>
      <c r="E874" s="8" t="s">
        <v>60</v>
      </c>
      <c r="F874" s="8"/>
      <c r="G874" s="8"/>
      <c r="H874" s="8"/>
      <c r="I874" s="8" t="s">
        <v>3049</v>
      </c>
      <c r="J874" s="8" t="s">
        <v>72</v>
      </c>
      <c r="K874" s="8" t="s">
        <v>2826</v>
      </c>
      <c r="L874" s="8" t="s">
        <v>2916</v>
      </c>
      <c r="M874" s="8"/>
      <c r="N874" s="8" t="s">
        <v>62</v>
      </c>
      <c r="O874" s="8" t="s">
        <v>63</v>
      </c>
      <c r="P874" s="4" t="n">
        <v>38</v>
      </c>
      <c r="Q874" s="8"/>
      <c r="R874" s="4" t="s">
        <v>3050</v>
      </c>
      <c r="S874" s="4" t="n">
        <v>260</v>
      </c>
    </row>
    <row r="875" customFormat="false" ht="26.85" hidden="false" customHeight="false" outlineLevel="0" collapsed="false">
      <c r="A875" s="4" t="s">
        <v>3051</v>
      </c>
      <c r="B875" s="8" t="s">
        <v>3052</v>
      </c>
      <c r="C875" s="8" t="s">
        <v>58</v>
      </c>
      <c r="D875" s="8"/>
      <c r="E875" s="8" t="s">
        <v>60</v>
      </c>
      <c r="F875" s="8"/>
      <c r="G875" s="8"/>
      <c r="H875" s="8"/>
      <c r="I875" s="8" t="s">
        <v>3053</v>
      </c>
      <c r="J875" s="8" t="s">
        <v>72</v>
      </c>
      <c r="K875" s="8" t="s">
        <v>2826</v>
      </c>
      <c r="L875" s="8" t="s">
        <v>2916</v>
      </c>
      <c r="M875" s="8"/>
      <c r="N875" s="8" t="s">
        <v>62</v>
      </c>
      <c r="O875" s="8" t="s">
        <v>63</v>
      </c>
      <c r="P875" s="4" t="n">
        <v>38</v>
      </c>
      <c r="Q875" s="8"/>
      <c r="R875" s="4" t="s">
        <v>3054</v>
      </c>
      <c r="S875" s="4"/>
    </row>
    <row r="876" customFormat="false" ht="26.85" hidden="false" customHeight="false" outlineLevel="0" collapsed="false">
      <c r="A876" s="4" t="s">
        <v>3055</v>
      </c>
      <c r="B876" s="8" t="s">
        <v>3056</v>
      </c>
      <c r="C876" s="8" t="s">
        <v>58</v>
      </c>
      <c r="D876" s="8"/>
      <c r="E876" s="8" t="s">
        <v>60</v>
      </c>
      <c r="F876" s="8"/>
      <c r="G876" s="8"/>
      <c r="H876" s="8"/>
      <c r="I876" s="8" t="s">
        <v>3057</v>
      </c>
      <c r="J876" s="8" t="s">
        <v>72</v>
      </c>
      <c r="K876" s="8" t="s">
        <v>2826</v>
      </c>
      <c r="L876" s="8" t="s">
        <v>2916</v>
      </c>
      <c r="M876" s="8"/>
      <c r="N876" s="8" t="s">
        <v>62</v>
      </c>
      <c r="O876" s="8" t="s">
        <v>63</v>
      </c>
      <c r="P876" s="4" t="n">
        <v>38</v>
      </c>
      <c r="Q876" s="8"/>
      <c r="R876" s="4" t="s">
        <v>3058</v>
      </c>
      <c r="S876" s="4"/>
    </row>
    <row r="877" customFormat="false" ht="26.85" hidden="false" customHeight="false" outlineLevel="0" collapsed="false">
      <c r="A877" s="4" t="s">
        <v>3059</v>
      </c>
      <c r="B877" s="8" t="s">
        <v>3060</v>
      </c>
      <c r="C877" s="8" t="s">
        <v>58</v>
      </c>
      <c r="D877" s="8"/>
      <c r="E877" s="8" t="s">
        <v>60</v>
      </c>
      <c r="F877" s="8"/>
      <c r="G877" s="8"/>
      <c r="H877" s="8"/>
      <c r="I877" s="8" t="s">
        <v>3061</v>
      </c>
      <c r="J877" s="8" t="s">
        <v>72</v>
      </c>
      <c r="K877" s="8" t="s">
        <v>2826</v>
      </c>
      <c r="L877" s="8" t="s">
        <v>2916</v>
      </c>
      <c r="M877" s="8"/>
      <c r="N877" s="8" t="s">
        <v>62</v>
      </c>
      <c r="O877" s="8" t="s">
        <v>63</v>
      </c>
      <c r="P877" s="4" t="n">
        <v>38</v>
      </c>
      <c r="Q877" s="8"/>
      <c r="R877" s="4" t="s">
        <v>3062</v>
      </c>
      <c r="S877" s="4"/>
    </row>
    <row r="878" customFormat="false" ht="26.85" hidden="false" customHeight="false" outlineLevel="0" collapsed="false">
      <c r="A878" s="4" t="s">
        <v>3063</v>
      </c>
      <c r="B878" s="8" t="s">
        <v>3064</v>
      </c>
      <c r="C878" s="8" t="s">
        <v>58</v>
      </c>
      <c r="D878" s="8"/>
      <c r="E878" s="8" t="s">
        <v>60</v>
      </c>
      <c r="F878" s="8"/>
      <c r="G878" s="8"/>
      <c r="H878" s="8"/>
      <c r="I878" s="8" t="s">
        <v>3065</v>
      </c>
      <c r="J878" s="8" t="s">
        <v>72</v>
      </c>
      <c r="K878" s="8" t="s">
        <v>2826</v>
      </c>
      <c r="L878" s="8" t="s">
        <v>2916</v>
      </c>
      <c r="M878" s="8"/>
      <c r="N878" s="8" t="s">
        <v>62</v>
      </c>
      <c r="O878" s="8" t="s">
        <v>63</v>
      </c>
      <c r="P878" s="4" t="n">
        <v>38</v>
      </c>
      <c r="Q878" s="8"/>
      <c r="R878" s="4" t="s">
        <v>3066</v>
      </c>
      <c r="S878" s="4"/>
    </row>
    <row r="879" customFormat="false" ht="26.85" hidden="false" customHeight="false" outlineLevel="0" collapsed="false">
      <c r="A879" s="4" t="s">
        <v>3067</v>
      </c>
      <c r="B879" s="8" t="s">
        <v>3068</v>
      </c>
      <c r="C879" s="8" t="s">
        <v>58</v>
      </c>
      <c r="D879" s="8"/>
      <c r="E879" s="8" t="s">
        <v>60</v>
      </c>
      <c r="F879" s="8"/>
      <c r="G879" s="8"/>
      <c r="H879" s="8"/>
      <c r="I879" s="8" t="s">
        <v>3069</v>
      </c>
      <c r="J879" s="8" t="s">
        <v>72</v>
      </c>
      <c r="K879" s="8" t="s">
        <v>2826</v>
      </c>
      <c r="L879" s="8" t="s">
        <v>2916</v>
      </c>
      <c r="M879" s="8"/>
      <c r="N879" s="8" t="s">
        <v>62</v>
      </c>
      <c r="O879" s="8" t="s">
        <v>63</v>
      </c>
      <c r="P879" s="4" t="n">
        <v>38</v>
      </c>
      <c r="Q879" s="8"/>
      <c r="R879" s="4" t="s">
        <v>3070</v>
      </c>
      <c r="S879" s="4"/>
    </row>
    <row r="880" customFormat="false" ht="26.85" hidden="false" customHeight="false" outlineLevel="0" collapsed="false">
      <c r="A880" s="4" t="s">
        <v>3071</v>
      </c>
      <c r="B880" s="8" t="s">
        <v>3072</v>
      </c>
      <c r="C880" s="8"/>
      <c r="D880" s="8"/>
      <c r="E880" s="8"/>
      <c r="F880" s="8"/>
      <c r="G880" s="8"/>
      <c r="H880" s="8"/>
      <c r="I880" s="8" t="s">
        <v>3073</v>
      </c>
      <c r="J880" s="8" t="s">
        <v>72</v>
      </c>
      <c r="K880" s="8" t="s">
        <v>2826</v>
      </c>
      <c r="L880" s="8" t="s">
        <v>3074</v>
      </c>
      <c r="M880" s="8"/>
      <c r="N880" s="8" t="s">
        <v>62</v>
      </c>
      <c r="O880" s="8" t="s">
        <v>63</v>
      </c>
      <c r="P880" s="4" t="n">
        <v>38</v>
      </c>
      <c r="Q880" s="8"/>
      <c r="R880" s="4" t="s">
        <v>3072</v>
      </c>
      <c r="S880" s="4"/>
    </row>
    <row r="881" customFormat="false" ht="26.85" hidden="false" customHeight="false" outlineLevel="0" collapsed="false">
      <c r="A881" s="4" t="s">
        <v>3075</v>
      </c>
      <c r="B881" s="8" t="s">
        <v>3076</v>
      </c>
      <c r="C881" s="8"/>
      <c r="D881" s="8"/>
      <c r="E881" s="8"/>
      <c r="F881" s="8"/>
      <c r="G881" s="8"/>
      <c r="H881" s="8"/>
      <c r="I881" s="8"/>
      <c r="J881" s="8" t="s">
        <v>72</v>
      </c>
      <c r="K881" s="8" t="s">
        <v>2826</v>
      </c>
      <c r="L881" s="8" t="s">
        <v>3074</v>
      </c>
      <c r="M881" s="8"/>
      <c r="N881" s="8" t="s">
        <v>62</v>
      </c>
      <c r="O881" s="8" t="s">
        <v>63</v>
      </c>
      <c r="P881" s="4" t="n">
        <v>38</v>
      </c>
      <c r="Q881" s="8" t="s">
        <v>1153</v>
      </c>
      <c r="R881" s="4" t="s">
        <v>3076</v>
      </c>
      <c r="S881" s="4"/>
    </row>
    <row r="882" customFormat="false" ht="26.85" hidden="false" customHeight="false" outlineLevel="0" collapsed="false">
      <c r="A882" s="4" t="s">
        <v>3077</v>
      </c>
      <c r="B882" s="8" t="s">
        <v>3078</v>
      </c>
      <c r="C882" s="8"/>
      <c r="D882" s="8"/>
      <c r="E882" s="8"/>
      <c r="F882" s="8"/>
      <c r="G882" s="8"/>
      <c r="H882" s="8"/>
      <c r="I882" s="8" t="s">
        <v>3079</v>
      </c>
      <c r="J882" s="8" t="s">
        <v>72</v>
      </c>
      <c r="K882" s="8" t="s">
        <v>2826</v>
      </c>
      <c r="L882" s="8" t="s">
        <v>3074</v>
      </c>
      <c r="M882" s="8"/>
      <c r="N882" s="8" t="s">
        <v>62</v>
      </c>
      <c r="O882" s="8" t="s">
        <v>63</v>
      </c>
      <c r="P882" s="4" t="n">
        <v>38</v>
      </c>
      <c r="Q882" s="8"/>
      <c r="R882" s="4" t="s">
        <v>3078</v>
      </c>
      <c r="S882" s="4"/>
    </row>
    <row r="883" customFormat="false" ht="26.85" hidden="false" customHeight="false" outlineLevel="0" collapsed="false">
      <c r="A883" s="4" t="s">
        <v>3080</v>
      </c>
      <c r="B883" s="8" t="s">
        <v>3081</v>
      </c>
      <c r="C883" s="8"/>
      <c r="D883" s="8"/>
      <c r="E883" s="8"/>
      <c r="F883" s="8"/>
      <c r="G883" s="8"/>
      <c r="H883" s="8"/>
      <c r="I883" s="8"/>
      <c r="J883" s="8" t="s">
        <v>72</v>
      </c>
      <c r="K883" s="8" t="s">
        <v>2826</v>
      </c>
      <c r="L883" s="8" t="s">
        <v>3074</v>
      </c>
      <c r="M883" s="8"/>
      <c r="N883" s="8" t="s">
        <v>62</v>
      </c>
      <c r="O883" s="8" t="s">
        <v>63</v>
      </c>
      <c r="P883" s="4" t="n">
        <v>38</v>
      </c>
      <c r="Q883" s="8" t="s">
        <v>1153</v>
      </c>
      <c r="R883" s="4" t="s">
        <v>3081</v>
      </c>
      <c r="S883" s="4"/>
    </row>
    <row r="884" customFormat="false" ht="26.85" hidden="false" customHeight="false" outlineLevel="0" collapsed="false">
      <c r="A884" s="4" t="s">
        <v>3082</v>
      </c>
      <c r="B884" s="8" t="s">
        <v>3083</v>
      </c>
      <c r="C884" s="8"/>
      <c r="D884" s="8"/>
      <c r="E884" s="8" t="s">
        <v>68</v>
      </c>
      <c r="F884" s="8" t="s">
        <v>3084</v>
      </c>
      <c r="G884" s="8" t="s">
        <v>3085</v>
      </c>
      <c r="H884" s="8"/>
      <c r="I884" s="8"/>
      <c r="J884" s="8" t="s">
        <v>72</v>
      </c>
      <c r="K884" s="8" t="s">
        <v>2826</v>
      </c>
      <c r="L884" s="8" t="s">
        <v>3074</v>
      </c>
      <c r="M884" s="8"/>
      <c r="N884" s="8" t="s">
        <v>62</v>
      </c>
      <c r="O884" s="8" t="s">
        <v>63</v>
      </c>
      <c r="P884" s="4" t="n">
        <v>38</v>
      </c>
      <c r="Q884" s="8" t="s">
        <v>1153</v>
      </c>
      <c r="R884" s="4" t="s">
        <v>3083</v>
      </c>
      <c r="S884" s="4"/>
    </row>
    <row r="885" customFormat="false" ht="26.85" hidden="false" customHeight="false" outlineLevel="0" collapsed="false">
      <c r="A885" s="4" t="s">
        <v>3086</v>
      </c>
      <c r="B885" s="8" t="s">
        <v>3087</v>
      </c>
      <c r="C885" s="8"/>
      <c r="D885" s="8"/>
      <c r="E885" s="8"/>
      <c r="F885" s="8"/>
      <c r="G885" s="8"/>
      <c r="H885" s="8"/>
      <c r="I885" s="8"/>
      <c r="J885" s="8" t="s">
        <v>72</v>
      </c>
      <c r="K885" s="8" t="s">
        <v>2826</v>
      </c>
      <c r="L885" s="8" t="s">
        <v>3074</v>
      </c>
      <c r="M885" s="8"/>
      <c r="N885" s="8" t="s">
        <v>62</v>
      </c>
      <c r="O885" s="8" t="s">
        <v>63</v>
      </c>
      <c r="P885" s="4" t="n">
        <v>38</v>
      </c>
      <c r="Q885" s="8" t="s">
        <v>1153</v>
      </c>
      <c r="R885" s="4" t="s">
        <v>3087</v>
      </c>
      <c r="S885" s="4"/>
    </row>
    <row r="886" customFormat="false" ht="26.85" hidden="false" customHeight="false" outlineLevel="0" collapsed="false">
      <c r="A886" s="4" t="s">
        <v>3088</v>
      </c>
      <c r="B886" s="8" t="s">
        <v>3089</v>
      </c>
      <c r="C886" s="8"/>
      <c r="D886" s="8"/>
      <c r="E886" s="8"/>
      <c r="F886" s="8"/>
      <c r="G886" s="8"/>
      <c r="H886" s="8"/>
      <c r="I886" s="8" t="s">
        <v>3090</v>
      </c>
      <c r="J886" s="8" t="s">
        <v>72</v>
      </c>
      <c r="K886" s="8" t="s">
        <v>2826</v>
      </c>
      <c r="L886" s="8" t="s">
        <v>3074</v>
      </c>
      <c r="M886" s="8"/>
      <c r="N886" s="8" t="s">
        <v>62</v>
      </c>
      <c r="O886" s="8" t="s">
        <v>63</v>
      </c>
      <c r="P886" s="4" t="n">
        <v>38</v>
      </c>
      <c r="Q886" s="8"/>
      <c r="R886" s="4" t="s">
        <v>3089</v>
      </c>
      <c r="S886" s="4"/>
    </row>
    <row r="887" customFormat="false" ht="26.85" hidden="false" customHeight="false" outlineLevel="0" collapsed="false">
      <c r="A887" s="4" t="s">
        <v>3091</v>
      </c>
      <c r="B887" s="8" t="s">
        <v>3092</v>
      </c>
      <c r="C887" s="8"/>
      <c r="D887" s="8"/>
      <c r="E887" s="8"/>
      <c r="F887" s="8"/>
      <c r="G887" s="8"/>
      <c r="H887" s="8"/>
      <c r="I887" s="8"/>
      <c r="J887" s="8" t="s">
        <v>72</v>
      </c>
      <c r="K887" s="8" t="s">
        <v>2826</v>
      </c>
      <c r="L887" s="8" t="s">
        <v>3074</v>
      </c>
      <c r="M887" s="8"/>
      <c r="N887" s="8" t="s">
        <v>62</v>
      </c>
      <c r="O887" s="8" t="s">
        <v>63</v>
      </c>
      <c r="P887" s="4" t="n">
        <v>38</v>
      </c>
      <c r="Q887" s="8" t="s">
        <v>1153</v>
      </c>
      <c r="R887" s="4" t="s">
        <v>3092</v>
      </c>
      <c r="S887" s="4"/>
    </row>
    <row r="888" customFormat="false" ht="26.85" hidden="false" customHeight="false" outlineLevel="0" collapsed="false">
      <c r="A888" s="4" t="s">
        <v>3093</v>
      </c>
      <c r="B888" s="8" t="s">
        <v>3094</v>
      </c>
      <c r="C888" s="8"/>
      <c r="D888" s="8"/>
      <c r="E888" s="8" t="s">
        <v>68</v>
      </c>
      <c r="F888" s="8" t="s">
        <v>3095</v>
      </c>
      <c r="G888" s="8" t="s">
        <v>3096</v>
      </c>
      <c r="H888" s="8"/>
      <c r="I888" s="8" t="s">
        <v>3097</v>
      </c>
      <c r="J888" s="8" t="s">
        <v>72</v>
      </c>
      <c r="K888" s="8" t="s">
        <v>2826</v>
      </c>
      <c r="L888" s="8" t="s">
        <v>3074</v>
      </c>
      <c r="M888" s="8"/>
      <c r="N888" s="8" t="s">
        <v>62</v>
      </c>
      <c r="O888" s="8" t="s">
        <v>63</v>
      </c>
      <c r="P888" s="4" t="n">
        <v>38</v>
      </c>
      <c r="Q888" s="8"/>
      <c r="R888" s="4" t="s">
        <v>3094</v>
      </c>
      <c r="S888" s="4"/>
    </row>
    <row r="889" customFormat="false" ht="26.85" hidden="false" customHeight="false" outlineLevel="0" collapsed="false">
      <c r="A889" s="4" t="s">
        <v>3098</v>
      </c>
      <c r="B889" s="8" t="s">
        <v>3099</v>
      </c>
      <c r="C889" s="8"/>
      <c r="D889" s="8"/>
      <c r="E889" s="8"/>
      <c r="F889" s="8"/>
      <c r="G889" s="8"/>
      <c r="H889" s="8"/>
      <c r="I889" s="8" t="s">
        <v>3100</v>
      </c>
      <c r="J889" s="8" t="s">
        <v>72</v>
      </c>
      <c r="K889" s="8" t="s">
        <v>2826</v>
      </c>
      <c r="L889" s="8" t="s">
        <v>3074</v>
      </c>
      <c r="M889" s="8"/>
      <c r="N889" s="8" t="s">
        <v>62</v>
      </c>
      <c r="O889" s="8" t="s">
        <v>63</v>
      </c>
      <c r="P889" s="4" t="n">
        <v>38</v>
      </c>
      <c r="Q889" s="8"/>
      <c r="R889" s="4" t="s">
        <v>3099</v>
      </c>
      <c r="S889" s="4"/>
    </row>
    <row r="890" customFormat="false" ht="26.85" hidden="false" customHeight="false" outlineLevel="0" collapsed="false">
      <c r="A890" s="4" t="s">
        <v>3101</v>
      </c>
      <c r="B890" s="8" t="s">
        <v>3102</v>
      </c>
      <c r="C890" s="8"/>
      <c r="D890" s="8"/>
      <c r="E890" s="8"/>
      <c r="F890" s="8"/>
      <c r="G890" s="8"/>
      <c r="H890" s="8"/>
      <c r="I890" s="8"/>
      <c r="J890" s="8" t="s">
        <v>72</v>
      </c>
      <c r="K890" s="8" t="s">
        <v>2826</v>
      </c>
      <c r="L890" s="8" t="s">
        <v>3074</v>
      </c>
      <c r="M890" s="8"/>
      <c r="N890" s="8" t="s">
        <v>62</v>
      </c>
      <c r="O890" s="8" t="s">
        <v>63</v>
      </c>
      <c r="P890" s="4" t="n">
        <v>38</v>
      </c>
      <c r="Q890" s="8" t="s">
        <v>1153</v>
      </c>
      <c r="R890" s="4" t="s">
        <v>3102</v>
      </c>
      <c r="S890" s="4"/>
    </row>
    <row r="891" customFormat="false" ht="26.85" hidden="false" customHeight="false" outlineLevel="0" collapsed="false">
      <c r="A891" s="4" t="s">
        <v>3103</v>
      </c>
      <c r="B891" s="8" t="s">
        <v>3104</v>
      </c>
      <c r="C891" s="8"/>
      <c r="D891" s="8"/>
      <c r="E891" s="8"/>
      <c r="F891" s="8"/>
      <c r="G891" s="8"/>
      <c r="H891" s="8"/>
      <c r="I891" s="8" t="s">
        <v>3105</v>
      </c>
      <c r="J891" s="8" t="s">
        <v>72</v>
      </c>
      <c r="K891" s="8" t="s">
        <v>2826</v>
      </c>
      <c r="L891" s="8" t="s">
        <v>3074</v>
      </c>
      <c r="M891" s="8"/>
      <c r="N891" s="8" t="s">
        <v>62</v>
      </c>
      <c r="O891" s="8" t="s">
        <v>63</v>
      </c>
      <c r="P891" s="4" t="n">
        <v>38</v>
      </c>
      <c r="Q891" s="8"/>
      <c r="R891" s="4" t="s">
        <v>3104</v>
      </c>
      <c r="S891" s="4"/>
    </row>
    <row r="892" customFormat="false" ht="26.85" hidden="false" customHeight="false" outlineLevel="0" collapsed="false">
      <c r="A892" s="4" t="s">
        <v>3106</v>
      </c>
      <c r="B892" s="8" t="s">
        <v>3107</v>
      </c>
      <c r="C892" s="8"/>
      <c r="D892" s="8"/>
      <c r="E892" s="8"/>
      <c r="F892" s="8"/>
      <c r="G892" s="8"/>
      <c r="H892" s="8"/>
      <c r="I892" s="8"/>
      <c r="J892" s="8" t="s">
        <v>72</v>
      </c>
      <c r="K892" s="8" t="s">
        <v>2826</v>
      </c>
      <c r="L892" s="8" t="s">
        <v>3074</v>
      </c>
      <c r="M892" s="8"/>
      <c r="N892" s="8" t="s">
        <v>62</v>
      </c>
      <c r="O892" s="8" t="s">
        <v>63</v>
      </c>
      <c r="P892" s="4" t="n">
        <v>38</v>
      </c>
      <c r="Q892" s="8" t="s">
        <v>1153</v>
      </c>
      <c r="R892" s="4" t="s">
        <v>3107</v>
      </c>
      <c r="S892" s="4"/>
    </row>
    <row r="893" customFormat="false" ht="26.85" hidden="false" customHeight="false" outlineLevel="0" collapsed="false">
      <c r="A893" s="4" t="s">
        <v>3108</v>
      </c>
      <c r="B893" s="8" t="s">
        <v>3109</v>
      </c>
      <c r="C893" s="8"/>
      <c r="D893" s="8"/>
      <c r="E893" s="8" t="s">
        <v>68</v>
      </c>
      <c r="F893" s="8" t="s">
        <v>3110</v>
      </c>
      <c r="G893" s="8" t="s">
        <v>3111</v>
      </c>
      <c r="H893" s="8"/>
      <c r="I893" s="8" t="s">
        <v>3112</v>
      </c>
      <c r="J893" s="8" t="s">
        <v>72</v>
      </c>
      <c r="K893" s="8" t="s">
        <v>2826</v>
      </c>
      <c r="L893" s="8" t="s">
        <v>3074</v>
      </c>
      <c r="M893" s="8"/>
      <c r="N893" s="8" t="s">
        <v>62</v>
      </c>
      <c r="O893" s="8" t="s">
        <v>63</v>
      </c>
      <c r="P893" s="4" t="n">
        <v>38</v>
      </c>
      <c r="Q893" s="8"/>
      <c r="R893" s="4" t="s">
        <v>3109</v>
      </c>
      <c r="S893" s="4"/>
    </row>
    <row r="894" customFormat="false" ht="26.85" hidden="false" customHeight="false" outlineLevel="0" collapsed="false">
      <c r="A894" s="4" t="s">
        <v>3113</v>
      </c>
      <c r="B894" s="8" t="s">
        <v>3114</v>
      </c>
      <c r="C894" s="8"/>
      <c r="D894" s="8"/>
      <c r="E894" s="8" t="s">
        <v>68</v>
      </c>
      <c r="F894" s="8" t="s">
        <v>3115</v>
      </c>
      <c r="G894" s="8" t="s">
        <v>3116</v>
      </c>
      <c r="H894" s="8"/>
      <c r="I894" s="8" t="s">
        <v>3117</v>
      </c>
      <c r="J894" s="8" t="s">
        <v>72</v>
      </c>
      <c r="K894" s="8" t="s">
        <v>2826</v>
      </c>
      <c r="L894" s="8" t="s">
        <v>3074</v>
      </c>
      <c r="M894" s="8"/>
      <c r="N894" s="8" t="s">
        <v>62</v>
      </c>
      <c r="O894" s="8" t="s">
        <v>63</v>
      </c>
      <c r="P894" s="4" t="n">
        <v>38</v>
      </c>
      <c r="Q894" s="8"/>
      <c r="R894" s="4" t="s">
        <v>3114</v>
      </c>
      <c r="S894" s="4"/>
    </row>
    <row r="895" customFormat="false" ht="26.85" hidden="false" customHeight="false" outlineLevel="0" collapsed="false">
      <c r="A895" s="4" t="s">
        <v>3118</v>
      </c>
      <c r="B895" s="8" t="s">
        <v>3119</v>
      </c>
      <c r="C895" s="8"/>
      <c r="D895" s="8"/>
      <c r="E895" s="8"/>
      <c r="F895" s="8"/>
      <c r="G895" s="8"/>
      <c r="H895" s="8"/>
      <c r="I895" s="8" t="s">
        <v>3120</v>
      </c>
      <c r="J895" s="8" t="s">
        <v>72</v>
      </c>
      <c r="K895" s="8" t="s">
        <v>2826</v>
      </c>
      <c r="L895" s="8" t="s">
        <v>3074</v>
      </c>
      <c r="M895" s="8"/>
      <c r="N895" s="8" t="s">
        <v>62</v>
      </c>
      <c r="O895" s="8" t="s">
        <v>63</v>
      </c>
      <c r="P895" s="4" t="n">
        <v>38</v>
      </c>
      <c r="Q895" s="8"/>
      <c r="R895" s="4" t="s">
        <v>3119</v>
      </c>
      <c r="S895" s="4"/>
    </row>
    <row r="896" customFormat="false" ht="26.85" hidden="false" customHeight="false" outlineLevel="0" collapsed="false">
      <c r="A896" s="4" t="s">
        <v>3121</v>
      </c>
      <c r="B896" s="8" t="s">
        <v>3122</v>
      </c>
      <c r="C896" s="8"/>
      <c r="D896" s="8"/>
      <c r="E896" s="8"/>
      <c r="F896" s="8"/>
      <c r="G896" s="8"/>
      <c r="H896" s="8"/>
      <c r="I896" s="8" t="s">
        <v>3123</v>
      </c>
      <c r="J896" s="8" t="s">
        <v>72</v>
      </c>
      <c r="K896" s="8" t="s">
        <v>2826</v>
      </c>
      <c r="L896" s="8" t="s">
        <v>3074</v>
      </c>
      <c r="M896" s="8"/>
      <c r="N896" s="8" t="s">
        <v>62</v>
      </c>
      <c r="O896" s="8" t="s">
        <v>63</v>
      </c>
      <c r="P896" s="4" t="n">
        <v>38</v>
      </c>
      <c r="Q896" s="8"/>
      <c r="R896" s="4" t="s">
        <v>3122</v>
      </c>
      <c r="S896" s="4"/>
    </row>
    <row r="897" customFormat="false" ht="26.85" hidden="false" customHeight="false" outlineLevel="0" collapsed="false">
      <c r="A897" s="4" t="s">
        <v>3124</v>
      </c>
      <c r="B897" s="8" t="s">
        <v>1521</v>
      </c>
      <c r="C897" s="8"/>
      <c r="D897" s="8"/>
      <c r="E897" s="8" t="s">
        <v>68</v>
      </c>
      <c r="F897" s="8" t="s">
        <v>1522</v>
      </c>
      <c r="G897" s="8" t="s">
        <v>1523</v>
      </c>
      <c r="H897" s="8"/>
      <c r="I897" s="8" t="s">
        <v>1524</v>
      </c>
      <c r="J897" s="8" t="s">
        <v>72</v>
      </c>
      <c r="K897" s="8" t="s">
        <v>2826</v>
      </c>
      <c r="L897" s="8" t="s">
        <v>3074</v>
      </c>
      <c r="M897" s="8"/>
      <c r="N897" s="8" t="s">
        <v>62</v>
      </c>
      <c r="O897" s="8" t="s">
        <v>63</v>
      </c>
      <c r="P897" s="4" t="n">
        <v>38</v>
      </c>
      <c r="Q897" s="8"/>
      <c r="R897" s="4" t="s">
        <v>1521</v>
      </c>
      <c r="S897" s="4" t="n">
        <v>1420</v>
      </c>
    </row>
    <row r="898" customFormat="false" ht="26.85" hidden="false" customHeight="false" outlineLevel="0" collapsed="false">
      <c r="A898" s="4" t="s">
        <v>3125</v>
      </c>
      <c r="B898" s="8" t="s">
        <v>3126</v>
      </c>
      <c r="C898" s="8"/>
      <c r="D898" s="8"/>
      <c r="E898" s="8" t="s">
        <v>68</v>
      </c>
      <c r="F898" s="8" t="s">
        <v>3127</v>
      </c>
      <c r="G898" s="8" t="s">
        <v>3128</v>
      </c>
      <c r="H898" s="8"/>
      <c r="I898" s="8" t="s">
        <v>3129</v>
      </c>
      <c r="J898" s="8" t="s">
        <v>72</v>
      </c>
      <c r="K898" s="8" t="s">
        <v>2826</v>
      </c>
      <c r="L898" s="8" t="s">
        <v>3074</v>
      </c>
      <c r="M898" s="8"/>
      <c r="N898" s="8" t="s">
        <v>62</v>
      </c>
      <c r="O898" s="8" t="s">
        <v>63</v>
      </c>
      <c r="P898" s="4" t="n">
        <v>38</v>
      </c>
      <c r="Q898" s="8"/>
      <c r="R898" s="4" t="s">
        <v>3126</v>
      </c>
      <c r="S898" s="4"/>
    </row>
    <row r="899" customFormat="false" ht="26.85" hidden="false" customHeight="false" outlineLevel="0" collapsed="false">
      <c r="A899" s="4" t="s">
        <v>3130</v>
      </c>
      <c r="B899" s="8" t="s">
        <v>3131</v>
      </c>
      <c r="C899" s="8"/>
      <c r="D899" s="8"/>
      <c r="E899" s="8"/>
      <c r="F899" s="8"/>
      <c r="G899" s="8"/>
      <c r="H899" s="8"/>
      <c r="I899" s="8" t="s">
        <v>3132</v>
      </c>
      <c r="J899" s="8" t="s">
        <v>72</v>
      </c>
      <c r="K899" s="8" t="s">
        <v>2826</v>
      </c>
      <c r="L899" s="8" t="s">
        <v>3074</v>
      </c>
      <c r="M899" s="8"/>
      <c r="N899" s="8" t="s">
        <v>62</v>
      </c>
      <c r="O899" s="8" t="s">
        <v>63</v>
      </c>
      <c r="P899" s="4" t="n">
        <v>39</v>
      </c>
      <c r="Q899" s="8"/>
      <c r="R899" s="4" t="s">
        <v>3131</v>
      </c>
      <c r="S899" s="4"/>
    </row>
    <row r="900" customFormat="false" ht="26.85" hidden="false" customHeight="false" outlineLevel="0" collapsed="false">
      <c r="A900" s="4" t="s">
        <v>3133</v>
      </c>
      <c r="B900" s="8" t="s">
        <v>3134</v>
      </c>
      <c r="C900" s="8"/>
      <c r="D900" s="8"/>
      <c r="E900" s="8"/>
      <c r="F900" s="8"/>
      <c r="G900" s="8"/>
      <c r="H900" s="8"/>
      <c r="I900" s="8"/>
      <c r="J900" s="8" t="s">
        <v>72</v>
      </c>
      <c r="K900" s="8" t="s">
        <v>2826</v>
      </c>
      <c r="L900" s="8" t="s">
        <v>3074</v>
      </c>
      <c r="M900" s="8"/>
      <c r="N900" s="8" t="s">
        <v>62</v>
      </c>
      <c r="O900" s="8" t="s">
        <v>63</v>
      </c>
      <c r="P900" s="4" t="n">
        <v>39</v>
      </c>
      <c r="Q900" s="8" t="s">
        <v>1153</v>
      </c>
      <c r="R900" s="4" t="s">
        <v>3134</v>
      </c>
      <c r="S900" s="4"/>
    </row>
    <row r="901" customFormat="false" ht="26.85" hidden="false" customHeight="false" outlineLevel="0" collapsed="false">
      <c r="A901" s="4" t="s">
        <v>3135</v>
      </c>
      <c r="B901" s="8" t="s">
        <v>3136</v>
      </c>
      <c r="C901" s="8"/>
      <c r="D901" s="8"/>
      <c r="E901" s="8" t="s">
        <v>68</v>
      </c>
      <c r="F901" s="8" t="s">
        <v>3137</v>
      </c>
      <c r="G901" s="8" t="s">
        <v>3138</v>
      </c>
      <c r="H901" s="8"/>
      <c r="I901" s="8" t="s">
        <v>3139</v>
      </c>
      <c r="J901" s="8" t="s">
        <v>72</v>
      </c>
      <c r="K901" s="8" t="s">
        <v>2826</v>
      </c>
      <c r="L901" s="8" t="s">
        <v>3074</v>
      </c>
      <c r="M901" s="8"/>
      <c r="N901" s="8" t="s">
        <v>62</v>
      </c>
      <c r="O901" s="8" t="s">
        <v>63</v>
      </c>
      <c r="P901" s="4" t="n">
        <v>39</v>
      </c>
      <c r="Q901" s="8"/>
      <c r="R901" s="4" t="s">
        <v>3136</v>
      </c>
      <c r="S901" s="4"/>
    </row>
    <row r="902" customFormat="false" ht="26.85" hidden="false" customHeight="false" outlineLevel="0" collapsed="false">
      <c r="A902" s="4" t="s">
        <v>3140</v>
      </c>
      <c r="B902" s="8" t="s">
        <v>3141</v>
      </c>
      <c r="C902" s="8"/>
      <c r="D902" s="8"/>
      <c r="E902" s="8"/>
      <c r="F902" s="8"/>
      <c r="G902" s="8"/>
      <c r="H902" s="8"/>
      <c r="I902" s="8" t="s">
        <v>3142</v>
      </c>
      <c r="J902" s="8" t="s">
        <v>72</v>
      </c>
      <c r="K902" s="8" t="s">
        <v>2826</v>
      </c>
      <c r="L902" s="8" t="s">
        <v>3074</v>
      </c>
      <c r="M902" s="8"/>
      <c r="N902" s="8" t="s">
        <v>62</v>
      </c>
      <c r="O902" s="8" t="s">
        <v>63</v>
      </c>
      <c r="P902" s="4" t="n">
        <v>39</v>
      </c>
      <c r="Q902" s="8"/>
      <c r="R902" s="4" t="s">
        <v>3141</v>
      </c>
      <c r="S902" s="4"/>
    </row>
    <row r="903" customFormat="false" ht="26.85" hidden="false" customHeight="false" outlineLevel="0" collapsed="false">
      <c r="A903" s="4" t="s">
        <v>3143</v>
      </c>
      <c r="B903" s="8" t="s">
        <v>3144</v>
      </c>
      <c r="C903" s="8"/>
      <c r="D903" s="8"/>
      <c r="E903" s="8" t="s">
        <v>68</v>
      </c>
      <c r="F903" s="8" t="s">
        <v>3145</v>
      </c>
      <c r="G903" s="8" t="s">
        <v>3146</v>
      </c>
      <c r="H903" s="8"/>
      <c r="I903" s="8" t="s">
        <v>3147</v>
      </c>
      <c r="J903" s="8" t="s">
        <v>72</v>
      </c>
      <c r="K903" s="8" t="s">
        <v>2826</v>
      </c>
      <c r="L903" s="8" t="s">
        <v>3074</v>
      </c>
      <c r="M903" s="8"/>
      <c r="N903" s="8" t="s">
        <v>62</v>
      </c>
      <c r="O903" s="8" t="s">
        <v>63</v>
      </c>
      <c r="P903" s="4" t="n">
        <v>39</v>
      </c>
      <c r="Q903" s="8"/>
      <c r="R903" s="4" t="s">
        <v>3144</v>
      </c>
      <c r="S903" s="4"/>
    </row>
    <row r="904" customFormat="false" ht="26.85" hidden="false" customHeight="false" outlineLevel="0" collapsed="false">
      <c r="A904" s="4" t="s">
        <v>3148</v>
      </c>
      <c r="B904" s="8" t="s">
        <v>3149</v>
      </c>
      <c r="C904" s="8"/>
      <c r="D904" s="8"/>
      <c r="E904" s="8"/>
      <c r="F904" s="8"/>
      <c r="G904" s="8"/>
      <c r="H904" s="8"/>
      <c r="I904" s="8" t="s">
        <v>3150</v>
      </c>
      <c r="J904" s="8" t="s">
        <v>72</v>
      </c>
      <c r="K904" s="8" t="s">
        <v>3151</v>
      </c>
      <c r="L904" s="8"/>
      <c r="M904" s="8"/>
      <c r="N904" s="8" t="s">
        <v>62</v>
      </c>
      <c r="O904" s="8" t="s">
        <v>63</v>
      </c>
      <c r="P904" s="4" t="n">
        <v>39</v>
      </c>
      <c r="Q904" s="8"/>
      <c r="R904" s="4" t="s">
        <v>3149</v>
      </c>
      <c r="S904" s="4"/>
    </row>
    <row r="905" customFormat="false" ht="26.85" hidden="false" customHeight="false" outlineLevel="0" collapsed="false">
      <c r="A905" s="4" t="s">
        <v>3152</v>
      </c>
      <c r="B905" s="8" t="s">
        <v>3153</v>
      </c>
      <c r="C905" s="8" t="s">
        <v>58</v>
      </c>
      <c r="D905" s="8" t="s">
        <v>67</v>
      </c>
      <c r="E905" s="8" t="s">
        <v>60</v>
      </c>
      <c r="F905" s="8"/>
      <c r="G905" s="8"/>
      <c r="H905" s="8"/>
      <c r="I905" s="8" t="s">
        <v>3154</v>
      </c>
      <c r="J905" s="8" t="s">
        <v>72</v>
      </c>
      <c r="K905" s="8" t="s">
        <v>3151</v>
      </c>
      <c r="L905" s="8"/>
      <c r="M905" s="8"/>
      <c r="N905" s="8" t="s">
        <v>62</v>
      </c>
      <c r="O905" s="8" t="s">
        <v>63</v>
      </c>
      <c r="P905" s="4" t="n">
        <v>39</v>
      </c>
      <c r="Q905" s="8"/>
      <c r="R905" s="4" t="s">
        <v>3155</v>
      </c>
      <c r="S905" s="4"/>
    </row>
    <row r="906" customFormat="false" ht="26.85" hidden="false" customHeight="false" outlineLevel="0" collapsed="false">
      <c r="A906" s="4" t="s">
        <v>3156</v>
      </c>
      <c r="B906" s="8" t="s">
        <v>3157</v>
      </c>
      <c r="C906" s="8"/>
      <c r="D906" s="8"/>
      <c r="E906" s="8"/>
      <c r="F906" s="8"/>
      <c r="G906" s="8"/>
      <c r="H906" s="8"/>
      <c r="I906" s="8" t="s">
        <v>3158</v>
      </c>
      <c r="J906" s="8" t="s">
        <v>72</v>
      </c>
      <c r="K906" s="8" t="s">
        <v>3151</v>
      </c>
      <c r="L906" s="8"/>
      <c r="M906" s="8"/>
      <c r="N906" s="8" t="s">
        <v>62</v>
      </c>
      <c r="O906" s="8" t="s">
        <v>63</v>
      </c>
      <c r="P906" s="4" t="n">
        <v>39</v>
      </c>
      <c r="Q906" s="8"/>
      <c r="R906" s="4" t="s">
        <v>3157</v>
      </c>
      <c r="S906" s="4"/>
    </row>
    <row r="907" customFormat="false" ht="26.85" hidden="false" customHeight="false" outlineLevel="0" collapsed="false">
      <c r="A907" s="4" t="s">
        <v>3159</v>
      </c>
      <c r="B907" s="8" t="s">
        <v>3160</v>
      </c>
      <c r="C907" s="8"/>
      <c r="D907" s="8"/>
      <c r="E907" s="8"/>
      <c r="F907" s="8"/>
      <c r="G907" s="8"/>
      <c r="H907" s="8"/>
      <c r="I907" s="8" t="s">
        <v>3161</v>
      </c>
      <c r="J907" s="8" t="s">
        <v>72</v>
      </c>
      <c r="K907" s="8" t="s">
        <v>3151</v>
      </c>
      <c r="L907" s="8"/>
      <c r="M907" s="8"/>
      <c r="N907" s="8" t="s">
        <v>62</v>
      </c>
      <c r="O907" s="8" t="s">
        <v>63</v>
      </c>
      <c r="P907" s="4" t="n">
        <v>39</v>
      </c>
      <c r="Q907" s="8"/>
      <c r="R907" s="4" t="s">
        <v>3160</v>
      </c>
      <c r="S907" s="4"/>
    </row>
    <row r="908" customFormat="false" ht="26.85" hidden="false" customHeight="false" outlineLevel="0" collapsed="false">
      <c r="A908" s="4" t="s">
        <v>3162</v>
      </c>
      <c r="B908" s="8" t="s">
        <v>3163</v>
      </c>
      <c r="C908" s="8" t="s">
        <v>58</v>
      </c>
      <c r="D908" s="8"/>
      <c r="E908" s="8" t="s">
        <v>60</v>
      </c>
      <c r="F908" s="8"/>
      <c r="G908" s="8"/>
      <c r="H908" s="8"/>
      <c r="I908" s="8" t="s">
        <v>3164</v>
      </c>
      <c r="J908" s="8" t="s">
        <v>72</v>
      </c>
      <c r="K908" s="8" t="s">
        <v>3151</v>
      </c>
      <c r="L908" s="8"/>
      <c r="M908" s="8"/>
      <c r="N908" s="8" t="s">
        <v>62</v>
      </c>
      <c r="O908" s="8" t="s">
        <v>63</v>
      </c>
      <c r="P908" s="4" t="n">
        <v>39</v>
      </c>
      <c r="Q908" s="8"/>
      <c r="R908" s="4" t="s">
        <v>3165</v>
      </c>
      <c r="S908" s="4"/>
    </row>
    <row r="909" customFormat="false" ht="26.85" hidden="false" customHeight="false" outlineLevel="0" collapsed="false">
      <c r="A909" s="4" t="s">
        <v>3166</v>
      </c>
      <c r="B909" s="8" t="s">
        <v>3167</v>
      </c>
      <c r="C909" s="8" t="s">
        <v>58</v>
      </c>
      <c r="D909" s="8"/>
      <c r="E909" s="8" t="s">
        <v>60</v>
      </c>
      <c r="F909" s="8"/>
      <c r="G909" s="8"/>
      <c r="H909" s="8"/>
      <c r="I909" s="8" t="s">
        <v>3168</v>
      </c>
      <c r="J909" s="8" t="s">
        <v>72</v>
      </c>
      <c r="K909" s="8" t="s">
        <v>3151</v>
      </c>
      <c r="L909" s="8"/>
      <c r="M909" s="8"/>
      <c r="N909" s="8" t="s">
        <v>62</v>
      </c>
      <c r="O909" s="8" t="s">
        <v>63</v>
      </c>
      <c r="P909" s="4" t="n">
        <v>39</v>
      </c>
      <c r="Q909" s="8"/>
      <c r="R909" s="4" t="s">
        <v>3169</v>
      </c>
      <c r="S909" s="4" t="n">
        <v>388</v>
      </c>
    </row>
    <row r="910" customFormat="false" ht="26.85" hidden="false" customHeight="false" outlineLevel="0" collapsed="false">
      <c r="A910" s="4" t="s">
        <v>3170</v>
      </c>
      <c r="B910" s="8" t="s">
        <v>3171</v>
      </c>
      <c r="C910" s="8" t="s">
        <v>58</v>
      </c>
      <c r="D910" s="8"/>
      <c r="E910" s="8" t="s">
        <v>60</v>
      </c>
      <c r="F910" s="8"/>
      <c r="G910" s="8"/>
      <c r="H910" s="8"/>
      <c r="I910" s="8" t="s">
        <v>3172</v>
      </c>
      <c r="J910" s="8" t="s">
        <v>72</v>
      </c>
      <c r="K910" s="8" t="s">
        <v>3151</v>
      </c>
      <c r="L910" s="8"/>
      <c r="M910" s="8"/>
      <c r="N910" s="8" t="s">
        <v>62</v>
      </c>
      <c r="O910" s="8" t="s">
        <v>63</v>
      </c>
      <c r="P910" s="4" t="n">
        <v>39</v>
      </c>
      <c r="Q910" s="8"/>
      <c r="R910" s="4" t="s">
        <v>3173</v>
      </c>
      <c r="S910" s="4"/>
    </row>
    <row r="911" customFormat="false" ht="26.85" hidden="false" customHeight="false" outlineLevel="0" collapsed="false">
      <c r="A911" s="4" t="s">
        <v>3174</v>
      </c>
      <c r="B911" s="8" t="s">
        <v>3175</v>
      </c>
      <c r="C911" s="8" t="s">
        <v>58</v>
      </c>
      <c r="D911" s="8"/>
      <c r="E911" s="8" t="s">
        <v>60</v>
      </c>
      <c r="F911" s="8"/>
      <c r="G911" s="8"/>
      <c r="H911" s="8"/>
      <c r="I911" s="8" t="s">
        <v>3176</v>
      </c>
      <c r="J911" s="8" t="s">
        <v>72</v>
      </c>
      <c r="K911" s="8" t="s">
        <v>3151</v>
      </c>
      <c r="L911" s="8"/>
      <c r="M911" s="8"/>
      <c r="N911" s="8" t="s">
        <v>62</v>
      </c>
      <c r="O911" s="8" t="s">
        <v>63</v>
      </c>
      <c r="P911" s="4" t="n">
        <v>39</v>
      </c>
      <c r="Q911" s="8"/>
      <c r="R911" s="4" t="s">
        <v>3177</v>
      </c>
      <c r="S911" s="4"/>
    </row>
    <row r="912" customFormat="false" ht="26.85" hidden="false" customHeight="false" outlineLevel="0" collapsed="false">
      <c r="A912" s="4" t="s">
        <v>3178</v>
      </c>
      <c r="B912" s="8" t="s">
        <v>3179</v>
      </c>
      <c r="C912" s="8" t="s">
        <v>58</v>
      </c>
      <c r="D912" s="8"/>
      <c r="E912" s="8" t="s">
        <v>60</v>
      </c>
      <c r="F912" s="8"/>
      <c r="G912" s="8"/>
      <c r="H912" s="8"/>
      <c r="I912" s="8" t="s">
        <v>3180</v>
      </c>
      <c r="J912" s="8" t="s">
        <v>72</v>
      </c>
      <c r="K912" s="8" t="s">
        <v>3151</v>
      </c>
      <c r="L912" s="8"/>
      <c r="M912" s="8"/>
      <c r="N912" s="8" t="s">
        <v>62</v>
      </c>
      <c r="O912" s="8" t="s">
        <v>63</v>
      </c>
      <c r="P912" s="4" t="n">
        <v>39</v>
      </c>
      <c r="Q912" s="8"/>
      <c r="R912" s="4" t="s">
        <v>3181</v>
      </c>
      <c r="S912" s="4"/>
    </row>
    <row r="913" customFormat="false" ht="26.85" hidden="false" customHeight="false" outlineLevel="0" collapsed="false">
      <c r="A913" s="4" t="s">
        <v>3182</v>
      </c>
      <c r="B913" s="8" t="s">
        <v>3183</v>
      </c>
      <c r="C913" s="8" t="s">
        <v>58</v>
      </c>
      <c r="D913" s="8"/>
      <c r="E913" s="8" t="s">
        <v>60</v>
      </c>
      <c r="F913" s="8"/>
      <c r="G913" s="8"/>
      <c r="H913" s="8"/>
      <c r="I913" s="8" t="s">
        <v>3184</v>
      </c>
      <c r="J913" s="8" t="s">
        <v>72</v>
      </c>
      <c r="K913" s="8" t="s">
        <v>3151</v>
      </c>
      <c r="L913" s="8"/>
      <c r="M913" s="8"/>
      <c r="N913" s="8" t="s">
        <v>62</v>
      </c>
      <c r="O913" s="8" t="s">
        <v>63</v>
      </c>
      <c r="P913" s="4" t="n">
        <v>39</v>
      </c>
      <c r="Q913" s="8"/>
      <c r="R913" s="4" t="s">
        <v>3185</v>
      </c>
      <c r="S913" s="4"/>
    </row>
    <row r="914" customFormat="false" ht="26.85" hidden="false" customHeight="false" outlineLevel="0" collapsed="false">
      <c r="A914" s="4" t="s">
        <v>3186</v>
      </c>
      <c r="B914" s="8" t="s">
        <v>2522</v>
      </c>
      <c r="C914" s="8" t="s">
        <v>58</v>
      </c>
      <c r="D914" s="8" t="s">
        <v>67</v>
      </c>
      <c r="E914" s="8" t="s">
        <v>60</v>
      </c>
      <c r="F914" s="8"/>
      <c r="G914" s="8"/>
      <c r="H914" s="8"/>
      <c r="I914" s="8" t="s">
        <v>2523</v>
      </c>
      <c r="J914" s="8" t="s">
        <v>72</v>
      </c>
      <c r="K914" s="8" t="s">
        <v>3151</v>
      </c>
      <c r="L914" s="8"/>
      <c r="M914" s="8"/>
      <c r="N914" s="8" t="s">
        <v>62</v>
      </c>
      <c r="O914" s="8" t="s">
        <v>63</v>
      </c>
      <c r="P914" s="4" t="n">
        <v>39</v>
      </c>
      <c r="Q914" s="8"/>
      <c r="R914" s="4" t="s">
        <v>2524</v>
      </c>
      <c r="S914" s="4"/>
    </row>
    <row r="915" customFormat="false" ht="26.85" hidden="false" customHeight="false" outlineLevel="0" collapsed="false">
      <c r="A915" s="4" t="s">
        <v>3187</v>
      </c>
      <c r="B915" s="8" t="s">
        <v>3188</v>
      </c>
      <c r="C915" s="8" t="s">
        <v>58</v>
      </c>
      <c r="D915" s="8"/>
      <c r="E915" s="8" t="s">
        <v>60</v>
      </c>
      <c r="F915" s="8"/>
      <c r="G915" s="8"/>
      <c r="H915" s="8"/>
      <c r="I915" s="8" t="s">
        <v>3189</v>
      </c>
      <c r="J915" s="8" t="s">
        <v>72</v>
      </c>
      <c r="K915" s="8" t="s">
        <v>3151</v>
      </c>
      <c r="L915" s="8"/>
      <c r="M915" s="8"/>
      <c r="N915" s="8" t="s">
        <v>62</v>
      </c>
      <c r="O915" s="8" t="s">
        <v>63</v>
      </c>
      <c r="P915" s="4" t="n">
        <v>39</v>
      </c>
      <c r="Q915" s="8"/>
      <c r="R915" s="4" t="s">
        <v>3190</v>
      </c>
      <c r="S915" s="4" t="n">
        <v>1418</v>
      </c>
    </row>
    <row r="916" customFormat="false" ht="26.85" hidden="false" customHeight="false" outlineLevel="0" collapsed="false">
      <c r="A916" s="4" t="s">
        <v>3191</v>
      </c>
      <c r="B916" s="8" t="s">
        <v>3192</v>
      </c>
      <c r="C916" s="8"/>
      <c r="D916" s="8"/>
      <c r="E916" s="8"/>
      <c r="F916" s="8"/>
      <c r="G916" s="8"/>
      <c r="H916" s="8"/>
      <c r="I916" s="8" t="s">
        <v>3193</v>
      </c>
      <c r="J916" s="8" t="s">
        <v>72</v>
      </c>
      <c r="K916" s="8" t="s">
        <v>3151</v>
      </c>
      <c r="L916" s="8"/>
      <c r="M916" s="8"/>
      <c r="N916" s="8" t="s">
        <v>62</v>
      </c>
      <c r="O916" s="8" t="s">
        <v>63</v>
      </c>
      <c r="P916" s="4" t="n">
        <v>39</v>
      </c>
      <c r="Q916" s="8"/>
      <c r="R916" s="4" t="s">
        <v>3192</v>
      </c>
      <c r="S916" s="4"/>
    </row>
    <row r="917" customFormat="false" ht="26.85" hidden="false" customHeight="false" outlineLevel="0" collapsed="false">
      <c r="A917" s="4" t="s">
        <v>3194</v>
      </c>
      <c r="B917" s="8" t="s">
        <v>3195</v>
      </c>
      <c r="C917" s="8" t="s">
        <v>58</v>
      </c>
      <c r="D917" s="8"/>
      <c r="E917" s="8" t="s">
        <v>60</v>
      </c>
      <c r="F917" s="8"/>
      <c r="G917" s="8"/>
      <c r="H917" s="8"/>
      <c r="I917" s="8" t="s">
        <v>3196</v>
      </c>
      <c r="J917" s="8" t="s">
        <v>72</v>
      </c>
      <c r="K917" s="8" t="s">
        <v>3151</v>
      </c>
      <c r="L917" s="8"/>
      <c r="M917" s="8"/>
      <c r="N917" s="8" t="s">
        <v>62</v>
      </c>
      <c r="O917" s="8" t="s">
        <v>63</v>
      </c>
      <c r="P917" s="4" t="n">
        <v>39</v>
      </c>
      <c r="Q917" s="8"/>
      <c r="R917" s="4" t="s">
        <v>3197</v>
      </c>
      <c r="S917" s="4"/>
    </row>
    <row r="918" customFormat="false" ht="26.85" hidden="false" customHeight="false" outlineLevel="0" collapsed="false">
      <c r="A918" s="4" t="s">
        <v>3198</v>
      </c>
      <c r="B918" s="8" t="s">
        <v>3199</v>
      </c>
      <c r="C918" s="8" t="s">
        <v>58</v>
      </c>
      <c r="D918" s="8"/>
      <c r="E918" s="8" t="s">
        <v>60</v>
      </c>
      <c r="F918" s="8"/>
      <c r="G918" s="8"/>
      <c r="H918" s="8"/>
      <c r="I918" s="8" t="s">
        <v>3200</v>
      </c>
      <c r="J918" s="8" t="s">
        <v>72</v>
      </c>
      <c r="K918" s="8" t="s">
        <v>3151</v>
      </c>
      <c r="L918" s="8"/>
      <c r="M918" s="8"/>
      <c r="N918" s="8" t="s">
        <v>62</v>
      </c>
      <c r="O918" s="8" t="s">
        <v>63</v>
      </c>
      <c r="P918" s="4" t="n">
        <v>39</v>
      </c>
      <c r="Q918" s="8"/>
      <c r="R918" s="4" t="s">
        <v>3201</v>
      </c>
      <c r="S918" s="4"/>
    </row>
    <row r="919" customFormat="false" ht="26.85" hidden="false" customHeight="false" outlineLevel="0" collapsed="false">
      <c r="A919" s="4" t="s">
        <v>3202</v>
      </c>
      <c r="B919" s="8" t="s">
        <v>3203</v>
      </c>
      <c r="C919" s="8" t="s">
        <v>58</v>
      </c>
      <c r="D919" s="8"/>
      <c r="E919" s="8" t="s">
        <v>60</v>
      </c>
      <c r="F919" s="8"/>
      <c r="G919" s="8"/>
      <c r="H919" s="8"/>
      <c r="I919" s="8" t="s">
        <v>3204</v>
      </c>
      <c r="J919" s="8" t="s">
        <v>72</v>
      </c>
      <c r="K919" s="8" t="s">
        <v>3151</v>
      </c>
      <c r="L919" s="8"/>
      <c r="M919" s="8"/>
      <c r="N919" s="8" t="s">
        <v>62</v>
      </c>
      <c r="O919" s="8" t="s">
        <v>63</v>
      </c>
      <c r="P919" s="4" t="n">
        <v>39</v>
      </c>
      <c r="Q919" s="8"/>
      <c r="R919" s="4" t="s">
        <v>3205</v>
      </c>
      <c r="S919" s="4"/>
    </row>
    <row r="920" customFormat="false" ht="26.85" hidden="false" customHeight="false" outlineLevel="0" collapsed="false">
      <c r="A920" s="4" t="s">
        <v>3206</v>
      </c>
      <c r="B920" s="8" t="s">
        <v>3207</v>
      </c>
      <c r="C920" s="8"/>
      <c r="D920" s="8"/>
      <c r="E920" s="8"/>
      <c r="F920" s="8"/>
      <c r="G920" s="8"/>
      <c r="H920" s="8"/>
      <c r="I920" s="8" t="s">
        <v>3208</v>
      </c>
      <c r="J920" s="8" t="s">
        <v>72</v>
      </c>
      <c r="K920" s="8" t="s">
        <v>3151</v>
      </c>
      <c r="L920" s="8"/>
      <c r="M920" s="8"/>
      <c r="N920" s="8" t="s">
        <v>62</v>
      </c>
      <c r="O920" s="8" t="s">
        <v>63</v>
      </c>
      <c r="P920" s="4" t="n">
        <v>39</v>
      </c>
      <c r="Q920" s="8"/>
      <c r="R920" s="4" t="s">
        <v>3207</v>
      </c>
      <c r="S920" s="4"/>
    </row>
    <row r="921" customFormat="false" ht="26.85" hidden="false" customHeight="false" outlineLevel="0" collapsed="false">
      <c r="A921" s="4" t="s">
        <v>3209</v>
      </c>
      <c r="B921" s="8" t="s">
        <v>3210</v>
      </c>
      <c r="C921" s="8" t="s">
        <v>58</v>
      </c>
      <c r="D921" s="8"/>
      <c r="E921" s="8" t="s">
        <v>60</v>
      </c>
      <c r="F921" s="8"/>
      <c r="G921" s="8"/>
      <c r="H921" s="8"/>
      <c r="I921" s="8" t="s">
        <v>3211</v>
      </c>
      <c r="J921" s="8" t="s">
        <v>72</v>
      </c>
      <c r="K921" s="8" t="s">
        <v>3151</v>
      </c>
      <c r="L921" s="8"/>
      <c r="M921" s="8"/>
      <c r="N921" s="8" t="s">
        <v>62</v>
      </c>
      <c r="O921" s="8" t="s">
        <v>63</v>
      </c>
      <c r="P921" s="4" t="n">
        <v>39</v>
      </c>
      <c r="Q921" s="8"/>
      <c r="R921" s="4" t="s">
        <v>3212</v>
      </c>
      <c r="S921" s="4"/>
    </row>
    <row r="922" customFormat="false" ht="26.85" hidden="false" customHeight="false" outlineLevel="0" collapsed="false">
      <c r="A922" s="4" t="s">
        <v>3213</v>
      </c>
      <c r="B922" s="8" t="s">
        <v>3214</v>
      </c>
      <c r="C922" s="8"/>
      <c r="D922" s="8"/>
      <c r="E922" s="8"/>
      <c r="F922" s="8"/>
      <c r="G922" s="8"/>
      <c r="H922" s="8"/>
      <c r="I922" s="8" t="s">
        <v>3215</v>
      </c>
      <c r="J922" s="8" t="s">
        <v>72</v>
      </c>
      <c r="K922" s="8" t="s">
        <v>3151</v>
      </c>
      <c r="L922" s="8"/>
      <c r="M922" s="8"/>
      <c r="N922" s="8" t="s">
        <v>62</v>
      </c>
      <c r="O922" s="8" t="s">
        <v>63</v>
      </c>
      <c r="P922" s="4" t="n">
        <v>39</v>
      </c>
      <c r="Q922" s="8"/>
      <c r="R922" s="4" t="s">
        <v>3214</v>
      </c>
      <c r="S922" s="4"/>
    </row>
    <row r="923" customFormat="false" ht="26.85" hidden="false" customHeight="false" outlineLevel="0" collapsed="false">
      <c r="A923" s="4" t="s">
        <v>3216</v>
      </c>
      <c r="B923" s="8" t="s">
        <v>3217</v>
      </c>
      <c r="C923" s="8" t="s">
        <v>58</v>
      </c>
      <c r="D923" s="8"/>
      <c r="E923" s="8" t="s">
        <v>60</v>
      </c>
      <c r="F923" s="8"/>
      <c r="G923" s="8"/>
      <c r="H923" s="8"/>
      <c r="I923" s="8" t="s">
        <v>3218</v>
      </c>
      <c r="J923" s="8" t="s">
        <v>72</v>
      </c>
      <c r="K923" s="8" t="s">
        <v>3151</v>
      </c>
      <c r="L923" s="8"/>
      <c r="M923" s="8"/>
      <c r="N923" s="8" t="s">
        <v>62</v>
      </c>
      <c r="O923" s="8" t="s">
        <v>63</v>
      </c>
      <c r="P923" s="4" t="n">
        <v>39</v>
      </c>
      <c r="Q923" s="8"/>
      <c r="R923" s="4" t="s">
        <v>3219</v>
      </c>
      <c r="S923" s="4"/>
    </row>
    <row r="924" customFormat="false" ht="26.85" hidden="false" customHeight="false" outlineLevel="0" collapsed="false">
      <c r="A924" s="4" t="s">
        <v>3220</v>
      </c>
      <c r="B924" s="8" t="s">
        <v>3221</v>
      </c>
      <c r="C924" s="8" t="s">
        <v>58</v>
      </c>
      <c r="D924" s="8"/>
      <c r="E924" s="8" t="s">
        <v>60</v>
      </c>
      <c r="F924" s="8"/>
      <c r="G924" s="8"/>
      <c r="H924" s="8"/>
      <c r="I924" s="8" t="s">
        <v>3222</v>
      </c>
      <c r="J924" s="8" t="s">
        <v>72</v>
      </c>
      <c r="K924" s="8" t="s">
        <v>3151</v>
      </c>
      <c r="L924" s="8"/>
      <c r="M924" s="8"/>
      <c r="N924" s="8" t="s">
        <v>62</v>
      </c>
      <c r="O924" s="8" t="s">
        <v>63</v>
      </c>
      <c r="P924" s="4" t="n">
        <v>39</v>
      </c>
      <c r="Q924" s="8"/>
      <c r="R924" s="4" t="s">
        <v>3223</v>
      </c>
      <c r="S924" s="4"/>
    </row>
    <row r="925" customFormat="false" ht="26.85" hidden="false" customHeight="false" outlineLevel="0" collapsed="false">
      <c r="A925" s="4" t="s">
        <v>3224</v>
      </c>
      <c r="B925" s="8" t="s">
        <v>3225</v>
      </c>
      <c r="C925" s="8"/>
      <c r="D925" s="8"/>
      <c r="E925" s="8"/>
      <c r="F925" s="8"/>
      <c r="G925" s="8"/>
      <c r="H925" s="8"/>
      <c r="I925" s="8" t="s">
        <v>3226</v>
      </c>
      <c r="J925" s="8" t="s">
        <v>72</v>
      </c>
      <c r="K925" s="8" t="s">
        <v>3151</v>
      </c>
      <c r="L925" s="8"/>
      <c r="M925" s="8"/>
      <c r="N925" s="8" t="s">
        <v>62</v>
      </c>
      <c r="O925" s="8" t="s">
        <v>63</v>
      </c>
      <c r="P925" s="4" t="n">
        <v>39</v>
      </c>
      <c r="Q925" s="8"/>
      <c r="R925" s="4" t="s">
        <v>3225</v>
      </c>
      <c r="S925" s="4"/>
    </row>
    <row r="926" customFormat="false" ht="26.85" hidden="false" customHeight="false" outlineLevel="0" collapsed="false">
      <c r="A926" s="4" t="s">
        <v>3227</v>
      </c>
      <c r="B926" s="8" t="s">
        <v>3228</v>
      </c>
      <c r="C926" s="8" t="s">
        <v>58</v>
      </c>
      <c r="D926" s="8"/>
      <c r="E926" s="8" t="s">
        <v>60</v>
      </c>
      <c r="F926" s="8"/>
      <c r="G926" s="8"/>
      <c r="H926" s="8"/>
      <c r="I926" s="8" t="s">
        <v>3229</v>
      </c>
      <c r="J926" s="8" t="s">
        <v>72</v>
      </c>
      <c r="K926" s="8" t="s">
        <v>3151</v>
      </c>
      <c r="L926" s="8"/>
      <c r="M926" s="8"/>
      <c r="N926" s="8" t="s">
        <v>62</v>
      </c>
      <c r="O926" s="8" t="s">
        <v>63</v>
      </c>
      <c r="P926" s="4" t="n">
        <v>39</v>
      </c>
      <c r="Q926" s="8"/>
      <c r="R926" s="4" t="s">
        <v>3230</v>
      </c>
      <c r="S926" s="4"/>
    </row>
    <row r="927" customFormat="false" ht="26.85" hidden="false" customHeight="false" outlineLevel="0" collapsed="false">
      <c r="A927" s="4" t="s">
        <v>3231</v>
      </c>
      <c r="B927" s="8" t="s">
        <v>3232</v>
      </c>
      <c r="C927" s="8" t="s">
        <v>58</v>
      </c>
      <c r="D927" s="8"/>
      <c r="E927" s="8" t="s">
        <v>60</v>
      </c>
      <c r="F927" s="8"/>
      <c r="G927" s="8"/>
      <c r="H927" s="8"/>
      <c r="I927" s="8" t="s">
        <v>3233</v>
      </c>
      <c r="J927" s="8" t="s">
        <v>72</v>
      </c>
      <c r="K927" s="8" t="s">
        <v>3151</v>
      </c>
      <c r="L927" s="8"/>
      <c r="M927" s="8"/>
      <c r="N927" s="8" t="s">
        <v>62</v>
      </c>
      <c r="O927" s="8" t="s">
        <v>63</v>
      </c>
      <c r="P927" s="4" t="n">
        <v>39</v>
      </c>
      <c r="Q927" s="8"/>
      <c r="R927" s="4" t="s">
        <v>3234</v>
      </c>
      <c r="S927" s="4" t="n">
        <v>2728</v>
      </c>
    </row>
    <row r="928" customFormat="false" ht="26.85" hidden="false" customHeight="false" outlineLevel="0" collapsed="false">
      <c r="A928" s="4" t="s">
        <v>3235</v>
      </c>
      <c r="B928" s="8" t="s">
        <v>3236</v>
      </c>
      <c r="C928" s="8" t="s">
        <v>58</v>
      </c>
      <c r="D928" s="8"/>
      <c r="E928" s="8" t="s">
        <v>60</v>
      </c>
      <c r="F928" s="8"/>
      <c r="G928" s="8"/>
      <c r="H928" s="8"/>
      <c r="I928" s="8" t="s">
        <v>3237</v>
      </c>
      <c r="J928" s="8" t="s">
        <v>72</v>
      </c>
      <c r="K928" s="8" t="s">
        <v>3151</v>
      </c>
      <c r="L928" s="8"/>
      <c r="M928" s="8"/>
      <c r="N928" s="8" t="s">
        <v>62</v>
      </c>
      <c r="O928" s="8" t="s">
        <v>63</v>
      </c>
      <c r="P928" s="4" t="n">
        <v>39</v>
      </c>
      <c r="Q928" s="8"/>
      <c r="R928" s="4" t="s">
        <v>3238</v>
      </c>
      <c r="S928" s="4" t="n">
        <v>1698</v>
      </c>
    </row>
    <row r="929" customFormat="false" ht="26.85" hidden="false" customHeight="false" outlineLevel="0" collapsed="false">
      <c r="A929" s="4" t="s">
        <v>3239</v>
      </c>
      <c r="B929" s="8" t="s">
        <v>3240</v>
      </c>
      <c r="C929" s="8" t="s">
        <v>58</v>
      </c>
      <c r="D929" s="8"/>
      <c r="E929" s="8" t="s">
        <v>60</v>
      </c>
      <c r="F929" s="8"/>
      <c r="G929" s="8"/>
      <c r="H929" s="8"/>
      <c r="I929" s="8" t="s">
        <v>3241</v>
      </c>
      <c r="J929" s="8" t="s">
        <v>72</v>
      </c>
      <c r="K929" s="8" t="s">
        <v>3151</v>
      </c>
      <c r="L929" s="8"/>
      <c r="M929" s="8"/>
      <c r="N929" s="8" t="s">
        <v>62</v>
      </c>
      <c r="O929" s="8" t="s">
        <v>63</v>
      </c>
      <c r="P929" s="4" t="n">
        <v>39</v>
      </c>
      <c r="Q929" s="8"/>
      <c r="R929" s="4" t="s">
        <v>3242</v>
      </c>
      <c r="S929" s="4"/>
    </row>
    <row r="930" customFormat="false" ht="26.85" hidden="false" customHeight="false" outlineLevel="0" collapsed="false">
      <c r="A930" s="4" t="s">
        <v>3243</v>
      </c>
      <c r="B930" s="8" t="s">
        <v>3244</v>
      </c>
      <c r="C930" s="8" t="s">
        <v>58</v>
      </c>
      <c r="D930" s="8"/>
      <c r="E930" s="8" t="s">
        <v>60</v>
      </c>
      <c r="F930" s="8"/>
      <c r="G930" s="8"/>
      <c r="H930" s="8"/>
      <c r="I930" s="8" t="s">
        <v>3245</v>
      </c>
      <c r="J930" s="8" t="s">
        <v>72</v>
      </c>
      <c r="K930" s="8" t="s">
        <v>3151</v>
      </c>
      <c r="L930" s="8"/>
      <c r="M930" s="8"/>
      <c r="N930" s="8" t="s">
        <v>62</v>
      </c>
      <c r="O930" s="8" t="s">
        <v>63</v>
      </c>
      <c r="P930" s="4" t="n">
        <v>39</v>
      </c>
      <c r="Q930" s="8"/>
      <c r="R930" s="4" t="s">
        <v>3246</v>
      </c>
      <c r="S930" s="4"/>
    </row>
    <row r="931" customFormat="false" ht="26.85" hidden="false" customHeight="false" outlineLevel="0" collapsed="false">
      <c r="A931" s="4" t="s">
        <v>3247</v>
      </c>
      <c r="B931" s="8" t="s">
        <v>3248</v>
      </c>
      <c r="C931" s="8"/>
      <c r="D931" s="8"/>
      <c r="E931" s="8"/>
      <c r="F931" s="8"/>
      <c r="G931" s="8"/>
      <c r="H931" s="8"/>
      <c r="I931" s="8" t="s">
        <v>3249</v>
      </c>
      <c r="J931" s="8" t="s">
        <v>72</v>
      </c>
      <c r="K931" s="8" t="s">
        <v>3151</v>
      </c>
      <c r="L931" s="8"/>
      <c r="M931" s="8"/>
      <c r="N931" s="8" t="s">
        <v>62</v>
      </c>
      <c r="O931" s="8" t="s">
        <v>63</v>
      </c>
      <c r="P931" s="4" t="n">
        <v>39</v>
      </c>
      <c r="Q931" s="8"/>
      <c r="R931" s="4" t="s">
        <v>3248</v>
      </c>
      <c r="S931" s="4"/>
    </row>
    <row r="932" customFormat="false" ht="26.85" hidden="false" customHeight="false" outlineLevel="0" collapsed="false">
      <c r="A932" s="4" t="s">
        <v>3250</v>
      </c>
      <c r="B932" s="8" t="s">
        <v>3251</v>
      </c>
      <c r="C932" s="8"/>
      <c r="D932" s="8"/>
      <c r="E932" s="8"/>
      <c r="F932" s="8"/>
      <c r="G932" s="8"/>
      <c r="H932" s="8"/>
      <c r="I932" s="8" t="s">
        <v>3252</v>
      </c>
      <c r="J932" s="8" t="s">
        <v>72</v>
      </c>
      <c r="K932" s="8" t="s">
        <v>3151</v>
      </c>
      <c r="L932" s="8"/>
      <c r="M932" s="8"/>
      <c r="N932" s="8" t="s">
        <v>62</v>
      </c>
      <c r="O932" s="8" t="s">
        <v>63</v>
      </c>
      <c r="P932" s="4" t="n">
        <v>39</v>
      </c>
      <c r="Q932" s="8"/>
      <c r="R932" s="4" t="s">
        <v>3251</v>
      </c>
      <c r="S932" s="4"/>
    </row>
    <row r="933" customFormat="false" ht="26.85" hidden="false" customHeight="false" outlineLevel="0" collapsed="false">
      <c r="A933" s="4" t="s">
        <v>3253</v>
      </c>
      <c r="B933" s="8" t="s">
        <v>3254</v>
      </c>
      <c r="C933" s="8" t="s">
        <v>58</v>
      </c>
      <c r="D933" s="8"/>
      <c r="E933" s="8" t="s">
        <v>60</v>
      </c>
      <c r="F933" s="8"/>
      <c r="G933" s="8"/>
      <c r="H933" s="8"/>
      <c r="I933" s="8" t="s">
        <v>3255</v>
      </c>
      <c r="J933" s="8" t="s">
        <v>72</v>
      </c>
      <c r="K933" s="8" t="s">
        <v>3151</v>
      </c>
      <c r="L933" s="8"/>
      <c r="M933" s="8"/>
      <c r="N933" s="8" t="s">
        <v>62</v>
      </c>
      <c r="O933" s="8" t="s">
        <v>63</v>
      </c>
      <c r="P933" s="4" t="n">
        <v>39</v>
      </c>
      <c r="Q933" s="8"/>
      <c r="R933" s="4" t="s">
        <v>3256</v>
      </c>
      <c r="S933" s="4"/>
    </row>
    <row r="934" customFormat="false" ht="26.85" hidden="false" customHeight="false" outlineLevel="0" collapsed="false">
      <c r="A934" s="4" t="s">
        <v>3257</v>
      </c>
      <c r="B934" s="8" t="s">
        <v>3258</v>
      </c>
      <c r="C934" s="8" t="s">
        <v>58</v>
      </c>
      <c r="D934" s="8"/>
      <c r="E934" s="8" t="s">
        <v>60</v>
      </c>
      <c r="F934" s="8"/>
      <c r="G934" s="8"/>
      <c r="H934" s="8"/>
      <c r="I934" s="8" t="s">
        <v>3259</v>
      </c>
      <c r="J934" s="8" t="s">
        <v>72</v>
      </c>
      <c r="K934" s="8" t="s">
        <v>3151</v>
      </c>
      <c r="L934" s="8"/>
      <c r="M934" s="8"/>
      <c r="N934" s="8" t="s">
        <v>62</v>
      </c>
      <c r="O934" s="8" t="s">
        <v>63</v>
      </c>
      <c r="P934" s="4" t="n">
        <v>39</v>
      </c>
      <c r="Q934" s="8"/>
      <c r="R934" s="4" t="s">
        <v>3260</v>
      </c>
      <c r="S934" s="4"/>
    </row>
    <row r="935" customFormat="false" ht="26.85" hidden="false" customHeight="false" outlineLevel="0" collapsed="false">
      <c r="A935" s="4" t="s">
        <v>3261</v>
      </c>
      <c r="B935" s="8" t="s">
        <v>3262</v>
      </c>
      <c r="C935" s="8"/>
      <c r="D935" s="8"/>
      <c r="E935" s="8"/>
      <c r="F935" s="8"/>
      <c r="G935" s="8"/>
      <c r="H935" s="8"/>
      <c r="I935" s="8" t="s">
        <v>3263</v>
      </c>
      <c r="J935" s="8" t="s">
        <v>72</v>
      </c>
      <c r="K935" s="8" t="s">
        <v>3151</v>
      </c>
      <c r="L935" s="8"/>
      <c r="M935" s="8"/>
      <c r="N935" s="8" t="s">
        <v>62</v>
      </c>
      <c r="O935" s="8" t="s">
        <v>63</v>
      </c>
      <c r="P935" s="4" t="n">
        <v>39</v>
      </c>
      <c r="Q935" s="8"/>
      <c r="R935" s="4" t="s">
        <v>3262</v>
      </c>
      <c r="S935" s="4"/>
    </row>
    <row r="936" customFormat="false" ht="26.85" hidden="false" customHeight="false" outlineLevel="0" collapsed="false">
      <c r="A936" s="4" t="s">
        <v>3264</v>
      </c>
      <c r="B936" s="8" t="s">
        <v>1996</v>
      </c>
      <c r="C936" s="8" t="s">
        <v>58</v>
      </c>
      <c r="D936" s="8"/>
      <c r="E936" s="8" t="s">
        <v>60</v>
      </c>
      <c r="F936" s="8"/>
      <c r="G936" s="8"/>
      <c r="H936" s="8"/>
      <c r="I936" s="8" t="s">
        <v>1997</v>
      </c>
      <c r="J936" s="8" t="s">
        <v>72</v>
      </c>
      <c r="K936" s="8" t="s">
        <v>3151</v>
      </c>
      <c r="L936" s="8"/>
      <c r="M936" s="8"/>
      <c r="N936" s="8" t="s">
        <v>62</v>
      </c>
      <c r="O936" s="8" t="s">
        <v>63</v>
      </c>
      <c r="P936" s="4" t="n">
        <v>39</v>
      </c>
      <c r="Q936" s="8"/>
      <c r="R936" s="4" t="s">
        <v>1998</v>
      </c>
      <c r="S936" s="4"/>
    </row>
    <row r="937" customFormat="false" ht="26.85" hidden="false" customHeight="false" outlineLevel="0" collapsed="false">
      <c r="A937" s="4" t="s">
        <v>3265</v>
      </c>
      <c r="B937" s="8" t="s">
        <v>3266</v>
      </c>
      <c r="C937" s="8"/>
      <c r="D937" s="8"/>
      <c r="E937" s="8"/>
      <c r="F937" s="8"/>
      <c r="G937" s="8"/>
      <c r="H937" s="8"/>
      <c r="I937" s="8" t="s">
        <v>3267</v>
      </c>
      <c r="J937" s="8" t="s">
        <v>72</v>
      </c>
      <c r="K937" s="8" t="s">
        <v>3151</v>
      </c>
      <c r="L937" s="8"/>
      <c r="M937" s="8"/>
      <c r="N937" s="8" t="s">
        <v>62</v>
      </c>
      <c r="O937" s="8" t="s">
        <v>63</v>
      </c>
      <c r="P937" s="4" t="n">
        <v>39</v>
      </c>
      <c r="Q937" s="8"/>
      <c r="R937" s="4" t="s">
        <v>3266</v>
      </c>
      <c r="S937" s="4"/>
    </row>
    <row r="938" customFormat="false" ht="26.85" hidden="false" customHeight="false" outlineLevel="0" collapsed="false">
      <c r="A938" s="4" t="s">
        <v>3268</v>
      </c>
      <c r="B938" s="8" t="s">
        <v>1585</v>
      </c>
      <c r="C938" s="8"/>
      <c r="D938" s="8"/>
      <c r="E938" s="8"/>
      <c r="F938" s="8"/>
      <c r="G938" s="8"/>
      <c r="H938" s="8"/>
      <c r="I938" s="8" t="s">
        <v>1586</v>
      </c>
      <c r="J938" s="8" t="s">
        <v>72</v>
      </c>
      <c r="K938" s="8" t="s">
        <v>3151</v>
      </c>
      <c r="L938" s="8"/>
      <c r="M938" s="8"/>
      <c r="N938" s="8" t="s">
        <v>62</v>
      </c>
      <c r="O938" s="8" t="s">
        <v>63</v>
      </c>
      <c r="P938" s="4" t="n">
        <v>39</v>
      </c>
      <c r="Q938" s="8"/>
      <c r="R938" s="4" t="s">
        <v>1585</v>
      </c>
      <c r="S938" s="4"/>
    </row>
    <row r="939" customFormat="false" ht="26.85" hidden="false" customHeight="false" outlineLevel="0" collapsed="false">
      <c r="A939" s="4" t="s">
        <v>3269</v>
      </c>
      <c r="B939" s="8" t="s">
        <v>3270</v>
      </c>
      <c r="C939" s="8"/>
      <c r="D939" s="8"/>
      <c r="E939" s="8"/>
      <c r="F939" s="8"/>
      <c r="G939" s="8"/>
      <c r="H939" s="8"/>
      <c r="I939" s="8" t="s">
        <v>1603</v>
      </c>
      <c r="J939" s="8" t="s">
        <v>72</v>
      </c>
      <c r="K939" s="8" t="s">
        <v>3151</v>
      </c>
      <c r="L939" s="8"/>
      <c r="M939" s="8"/>
      <c r="N939" s="8" t="s">
        <v>62</v>
      </c>
      <c r="O939" s="8" t="s">
        <v>63</v>
      </c>
      <c r="P939" s="4" t="n">
        <v>39</v>
      </c>
      <c r="Q939" s="8"/>
      <c r="R939" s="4" t="s">
        <v>3270</v>
      </c>
      <c r="S939" s="4"/>
    </row>
    <row r="940" customFormat="false" ht="26.85" hidden="false" customHeight="false" outlineLevel="0" collapsed="false">
      <c r="A940" s="4" t="s">
        <v>3271</v>
      </c>
      <c r="B940" s="8" t="s">
        <v>3272</v>
      </c>
      <c r="C940" s="8" t="s">
        <v>58</v>
      </c>
      <c r="D940" s="8"/>
      <c r="E940" s="8" t="s">
        <v>60</v>
      </c>
      <c r="F940" s="8"/>
      <c r="G940" s="8"/>
      <c r="H940" s="8"/>
      <c r="I940" s="8" t="s">
        <v>3273</v>
      </c>
      <c r="J940" s="8" t="s">
        <v>72</v>
      </c>
      <c r="K940" s="8" t="s">
        <v>3151</v>
      </c>
      <c r="L940" s="8"/>
      <c r="M940" s="8"/>
      <c r="N940" s="8" t="s">
        <v>62</v>
      </c>
      <c r="O940" s="8" t="s">
        <v>63</v>
      </c>
      <c r="P940" s="4" t="n">
        <v>39</v>
      </c>
      <c r="Q940" s="8"/>
      <c r="R940" s="4" t="s">
        <v>3274</v>
      </c>
      <c r="S940" s="4"/>
    </row>
    <row r="941" customFormat="false" ht="26.85" hidden="false" customHeight="false" outlineLevel="0" collapsed="false">
      <c r="A941" s="4" t="s">
        <v>3275</v>
      </c>
      <c r="B941" s="8" t="s">
        <v>3276</v>
      </c>
      <c r="C941" s="8"/>
      <c r="D941" s="8"/>
      <c r="E941" s="8"/>
      <c r="F941" s="8"/>
      <c r="G941" s="8"/>
      <c r="H941" s="8"/>
      <c r="I941" s="8" t="s">
        <v>3277</v>
      </c>
      <c r="J941" s="8" t="s">
        <v>72</v>
      </c>
      <c r="K941" s="8" t="s">
        <v>3151</v>
      </c>
      <c r="L941" s="8"/>
      <c r="M941" s="8"/>
      <c r="N941" s="8" t="s">
        <v>62</v>
      </c>
      <c r="O941" s="8" t="s">
        <v>63</v>
      </c>
      <c r="P941" s="4" t="n">
        <v>39</v>
      </c>
      <c r="Q941" s="8"/>
      <c r="R941" s="4" t="s">
        <v>3276</v>
      </c>
      <c r="S941" s="4"/>
    </row>
    <row r="942" customFormat="false" ht="26.85" hidden="false" customHeight="false" outlineLevel="0" collapsed="false">
      <c r="A942" s="4" t="s">
        <v>3278</v>
      </c>
      <c r="B942" s="8" t="s">
        <v>3279</v>
      </c>
      <c r="C942" s="8"/>
      <c r="D942" s="8"/>
      <c r="E942" s="8"/>
      <c r="F942" s="8"/>
      <c r="G942" s="8"/>
      <c r="H942" s="8"/>
      <c r="I942" s="8" t="s">
        <v>3280</v>
      </c>
      <c r="J942" s="8" t="s">
        <v>72</v>
      </c>
      <c r="K942" s="8" t="s">
        <v>3151</v>
      </c>
      <c r="L942" s="8"/>
      <c r="M942" s="8"/>
      <c r="N942" s="8" t="s">
        <v>62</v>
      </c>
      <c r="O942" s="8" t="s">
        <v>63</v>
      </c>
      <c r="P942" s="4" t="n">
        <v>40</v>
      </c>
      <c r="Q942" s="8"/>
      <c r="R942" s="4" t="s">
        <v>3279</v>
      </c>
      <c r="S942" s="4" t="n">
        <v>515</v>
      </c>
    </row>
    <row r="943" customFormat="false" ht="26.85" hidden="false" customHeight="false" outlineLevel="0" collapsed="false">
      <c r="A943" s="4" t="s">
        <v>3281</v>
      </c>
      <c r="B943" s="8" t="s">
        <v>3282</v>
      </c>
      <c r="C943" s="8" t="s">
        <v>58</v>
      </c>
      <c r="D943" s="8"/>
      <c r="E943" s="8" t="s">
        <v>60</v>
      </c>
      <c r="F943" s="8"/>
      <c r="G943" s="8"/>
      <c r="H943" s="8"/>
      <c r="I943" s="8" t="s">
        <v>3283</v>
      </c>
      <c r="J943" s="8" t="s">
        <v>72</v>
      </c>
      <c r="K943" s="8" t="s">
        <v>3151</v>
      </c>
      <c r="L943" s="8"/>
      <c r="M943" s="8"/>
      <c r="N943" s="8" t="s">
        <v>62</v>
      </c>
      <c r="O943" s="8" t="s">
        <v>63</v>
      </c>
      <c r="P943" s="4" t="n">
        <v>40</v>
      </c>
      <c r="Q943" s="8"/>
      <c r="R943" s="4" t="s">
        <v>3284</v>
      </c>
      <c r="S943" s="4" t="n">
        <v>12194</v>
      </c>
    </row>
    <row r="944" customFormat="false" ht="26.85" hidden="false" customHeight="false" outlineLevel="0" collapsed="false">
      <c r="A944" s="4" t="s">
        <v>3285</v>
      </c>
      <c r="B944" s="8" t="s">
        <v>3286</v>
      </c>
      <c r="C944" s="8"/>
      <c r="D944" s="8"/>
      <c r="E944" s="8"/>
      <c r="F944" s="8"/>
      <c r="G944" s="8"/>
      <c r="H944" s="8"/>
      <c r="I944" s="8" t="s">
        <v>3287</v>
      </c>
      <c r="J944" s="8" t="s">
        <v>72</v>
      </c>
      <c r="K944" s="8" t="s">
        <v>3151</v>
      </c>
      <c r="L944" s="8"/>
      <c r="M944" s="8"/>
      <c r="N944" s="8" t="s">
        <v>62</v>
      </c>
      <c r="O944" s="8" t="s">
        <v>63</v>
      </c>
      <c r="P944" s="4" t="n">
        <v>40</v>
      </c>
      <c r="Q944" s="8"/>
      <c r="R944" s="4" t="s">
        <v>3286</v>
      </c>
      <c r="S944" s="4"/>
    </row>
    <row r="945" customFormat="false" ht="26.85" hidden="false" customHeight="false" outlineLevel="0" collapsed="false">
      <c r="A945" s="4" t="s">
        <v>3288</v>
      </c>
      <c r="B945" s="8" t="s">
        <v>2746</v>
      </c>
      <c r="C945" s="8" t="s">
        <v>58</v>
      </c>
      <c r="D945" s="8"/>
      <c r="E945" s="8" t="s">
        <v>60</v>
      </c>
      <c r="F945" s="8"/>
      <c r="G945" s="8"/>
      <c r="H945" s="8"/>
      <c r="I945" s="8" t="s">
        <v>2747</v>
      </c>
      <c r="J945" s="8" t="s">
        <v>72</v>
      </c>
      <c r="K945" s="8" t="s">
        <v>3151</v>
      </c>
      <c r="L945" s="8"/>
      <c r="M945" s="8"/>
      <c r="N945" s="8" t="s">
        <v>62</v>
      </c>
      <c r="O945" s="8" t="s">
        <v>63</v>
      </c>
      <c r="P945" s="4" t="n">
        <v>40</v>
      </c>
      <c r="Q945" s="8"/>
      <c r="R945" s="4" t="s">
        <v>2748</v>
      </c>
      <c r="S945" s="4"/>
    </row>
    <row r="946" customFormat="false" ht="26.85" hidden="false" customHeight="false" outlineLevel="0" collapsed="false">
      <c r="A946" s="4" t="s">
        <v>3289</v>
      </c>
      <c r="B946" s="8" t="s">
        <v>3290</v>
      </c>
      <c r="C946" s="8" t="s">
        <v>66</v>
      </c>
      <c r="D946" s="8" t="s">
        <v>67</v>
      </c>
      <c r="E946" s="8" t="s">
        <v>60</v>
      </c>
      <c r="F946" s="8"/>
      <c r="G946" s="8"/>
      <c r="H946" s="8"/>
      <c r="I946" s="8" t="s">
        <v>3291</v>
      </c>
      <c r="J946" s="8" t="s">
        <v>72</v>
      </c>
      <c r="K946" s="8" t="s">
        <v>3151</v>
      </c>
      <c r="L946" s="8"/>
      <c r="M946" s="8"/>
      <c r="N946" s="8" t="s">
        <v>62</v>
      </c>
      <c r="O946" s="8" t="s">
        <v>63</v>
      </c>
      <c r="P946" s="4" t="n">
        <v>40</v>
      </c>
      <c r="Q946" s="8"/>
      <c r="R946" s="4" t="s">
        <v>3292</v>
      </c>
      <c r="S946" s="4"/>
    </row>
    <row r="947" customFormat="false" ht="26.85" hidden="false" customHeight="false" outlineLevel="0" collapsed="false">
      <c r="A947" s="4" t="s">
        <v>3293</v>
      </c>
      <c r="B947" s="8" t="s">
        <v>1713</v>
      </c>
      <c r="C947" s="8" t="s">
        <v>58</v>
      </c>
      <c r="D947" s="8"/>
      <c r="E947" s="8" t="s">
        <v>60</v>
      </c>
      <c r="F947" s="8"/>
      <c r="G947" s="8"/>
      <c r="H947" s="8"/>
      <c r="I947" s="8" t="s">
        <v>1714</v>
      </c>
      <c r="J947" s="8" t="s">
        <v>72</v>
      </c>
      <c r="K947" s="8" t="s">
        <v>3151</v>
      </c>
      <c r="L947" s="8"/>
      <c r="M947" s="8"/>
      <c r="N947" s="8" t="s">
        <v>62</v>
      </c>
      <c r="O947" s="8" t="s">
        <v>63</v>
      </c>
      <c r="P947" s="4" t="n">
        <v>40</v>
      </c>
      <c r="Q947" s="8"/>
      <c r="R947" s="4" t="s">
        <v>1715</v>
      </c>
      <c r="S947" s="4"/>
    </row>
    <row r="948" customFormat="false" ht="26.85" hidden="false" customHeight="false" outlineLevel="0" collapsed="false">
      <c r="A948" s="4" t="s">
        <v>3294</v>
      </c>
      <c r="B948" s="8" t="s">
        <v>3295</v>
      </c>
      <c r="C948" s="8" t="s">
        <v>58</v>
      </c>
      <c r="D948" s="8"/>
      <c r="E948" s="8" t="s">
        <v>60</v>
      </c>
      <c r="F948" s="8"/>
      <c r="G948" s="8"/>
      <c r="H948" s="8"/>
      <c r="I948" s="8" t="s">
        <v>3296</v>
      </c>
      <c r="J948" s="8" t="s">
        <v>72</v>
      </c>
      <c r="K948" s="8" t="s">
        <v>3151</v>
      </c>
      <c r="L948" s="8"/>
      <c r="M948" s="8"/>
      <c r="N948" s="8" t="s">
        <v>62</v>
      </c>
      <c r="O948" s="8" t="s">
        <v>63</v>
      </c>
      <c r="P948" s="4" t="n">
        <v>40</v>
      </c>
      <c r="Q948" s="8"/>
      <c r="R948" s="4" t="s">
        <v>3297</v>
      </c>
      <c r="S948" s="4"/>
    </row>
    <row r="949" customFormat="false" ht="26.85" hidden="false" customHeight="false" outlineLevel="0" collapsed="false">
      <c r="A949" s="4" t="s">
        <v>3298</v>
      </c>
      <c r="B949" s="8" t="s">
        <v>3299</v>
      </c>
      <c r="C949" s="8" t="s">
        <v>58</v>
      </c>
      <c r="D949" s="8"/>
      <c r="E949" s="8" t="s">
        <v>60</v>
      </c>
      <c r="F949" s="8"/>
      <c r="G949" s="8"/>
      <c r="H949" s="8"/>
      <c r="I949" s="8" t="s">
        <v>3300</v>
      </c>
      <c r="J949" s="8" t="s">
        <v>72</v>
      </c>
      <c r="K949" s="8" t="s">
        <v>3151</v>
      </c>
      <c r="L949" s="8"/>
      <c r="M949" s="8"/>
      <c r="N949" s="8" t="s">
        <v>62</v>
      </c>
      <c r="O949" s="8" t="s">
        <v>63</v>
      </c>
      <c r="P949" s="4" t="n">
        <v>40</v>
      </c>
      <c r="Q949" s="8"/>
      <c r="R949" s="4" t="s">
        <v>3301</v>
      </c>
      <c r="S949" s="4"/>
    </row>
    <row r="950" customFormat="false" ht="26.85" hidden="false" customHeight="false" outlineLevel="0" collapsed="false">
      <c r="A950" s="4" t="s">
        <v>3302</v>
      </c>
      <c r="B950" s="8" t="s">
        <v>3303</v>
      </c>
      <c r="C950" s="8" t="s">
        <v>58</v>
      </c>
      <c r="D950" s="8"/>
      <c r="E950" s="8" t="s">
        <v>60</v>
      </c>
      <c r="F950" s="8"/>
      <c r="G950" s="8"/>
      <c r="H950" s="8"/>
      <c r="I950" s="8" t="s">
        <v>3304</v>
      </c>
      <c r="J950" s="8" t="s">
        <v>72</v>
      </c>
      <c r="K950" s="8" t="s">
        <v>3151</v>
      </c>
      <c r="L950" s="8"/>
      <c r="M950" s="8"/>
      <c r="N950" s="8" t="s">
        <v>62</v>
      </c>
      <c r="O950" s="8" t="s">
        <v>63</v>
      </c>
      <c r="P950" s="4" t="n">
        <v>40</v>
      </c>
      <c r="Q950" s="8"/>
      <c r="R950" s="4" t="s">
        <v>3305</v>
      </c>
      <c r="S950" s="4"/>
    </row>
    <row r="951" customFormat="false" ht="26.85" hidden="false" customHeight="false" outlineLevel="0" collapsed="false">
      <c r="A951" s="4" t="s">
        <v>3306</v>
      </c>
      <c r="B951" s="8" t="s">
        <v>3307</v>
      </c>
      <c r="C951" s="8" t="s">
        <v>58</v>
      </c>
      <c r="D951" s="8"/>
      <c r="E951" s="8" t="s">
        <v>60</v>
      </c>
      <c r="F951" s="8"/>
      <c r="G951" s="8"/>
      <c r="H951" s="8"/>
      <c r="I951" s="8" t="s">
        <v>3308</v>
      </c>
      <c r="J951" s="8" t="s">
        <v>72</v>
      </c>
      <c r="K951" s="8" t="s">
        <v>3151</v>
      </c>
      <c r="L951" s="8"/>
      <c r="M951" s="8"/>
      <c r="N951" s="8" t="s">
        <v>62</v>
      </c>
      <c r="O951" s="8" t="s">
        <v>63</v>
      </c>
      <c r="P951" s="4" t="n">
        <v>40</v>
      </c>
      <c r="Q951" s="8"/>
      <c r="R951" s="4" t="s">
        <v>3309</v>
      </c>
      <c r="S951" s="4"/>
    </row>
    <row r="952" customFormat="false" ht="26.85" hidden="false" customHeight="false" outlineLevel="0" collapsed="false">
      <c r="A952" s="4" t="s">
        <v>3310</v>
      </c>
      <c r="B952" s="8" t="s">
        <v>3311</v>
      </c>
      <c r="C952" s="8" t="s">
        <v>58</v>
      </c>
      <c r="D952" s="8"/>
      <c r="E952" s="8" t="s">
        <v>60</v>
      </c>
      <c r="F952" s="8"/>
      <c r="G952" s="8"/>
      <c r="H952" s="8"/>
      <c r="I952" s="8" t="s">
        <v>3312</v>
      </c>
      <c r="J952" s="8" t="s">
        <v>72</v>
      </c>
      <c r="K952" s="8" t="s">
        <v>3151</v>
      </c>
      <c r="L952" s="8"/>
      <c r="M952" s="8"/>
      <c r="N952" s="8" t="s">
        <v>62</v>
      </c>
      <c r="O952" s="8" t="s">
        <v>63</v>
      </c>
      <c r="P952" s="4" t="n">
        <v>40</v>
      </c>
      <c r="Q952" s="8"/>
      <c r="R952" s="4" t="s">
        <v>3313</v>
      </c>
      <c r="S952" s="4"/>
    </row>
    <row r="953" customFormat="false" ht="26.85" hidden="false" customHeight="false" outlineLevel="0" collapsed="false">
      <c r="A953" s="4" t="s">
        <v>3314</v>
      </c>
      <c r="B953" s="8" t="s">
        <v>3315</v>
      </c>
      <c r="C953" s="8" t="s">
        <v>58</v>
      </c>
      <c r="D953" s="8" t="s">
        <v>67</v>
      </c>
      <c r="E953" s="8" t="s">
        <v>60</v>
      </c>
      <c r="F953" s="8"/>
      <c r="G953" s="8"/>
      <c r="H953" s="8"/>
      <c r="I953" s="8" t="s">
        <v>3316</v>
      </c>
      <c r="J953" s="8" t="s">
        <v>72</v>
      </c>
      <c r="K953" s="8" t="s">
        <v>3151</v>
      </c>
      <c r="L953" s="8"/>
      <c r="M953" s="8"/>
      <c r="N953" s="8" t="s">
        <v>62</v>
      </c>
      <c r="O953" s="8" t="s">
        <v>63</v>
      </c>
      <c r="P953" s="4" t="n">
        <v>40</v>
      </c>
      <c r="Q953" s="8"/>
      <c r="R953" s="4" t="s">
        <v>3317</v>
      </c>
      <c r="S953" s="4"/>
    </row>
    <row r="954" customFormat="false" ht="26.85" hidden="false" customHeight="false" outlineLevel="0" collapsed="false">
      <c r="A954" s="4" t="s">
        <v>3318</v>
      </c>
      <c r="B954" s="8" t="s">
        <v>3319</v>
      </c>
      <c r="C954" s="8" t="s">
        <v>58</v>
      </c>
      <c r="D954" s="8"/>
      <c r="E954" s="8" t="s">
        <v>60</v>
      </c>
      <c r="F954" s="8"/>
      <c r="G954" s="8"/>
      <c r="H954" s="8"/>
      <c r="I954" s="8" t="s">
        <v>3320</v>
      </c>
      <c r="J954" s="8" t="s">
        <v>72</v>
      </c>
      <c r="K954" s="8" t="s">
        <v>3151</v>
      </c>
      <c r="L954" s="8"/>
      <c r="M954" s="8"/>
      <c r="N954" s="8" t="s">
        <v>62</v>
      </c>
      <c r="O954" s="8" t="s">
        <v>63</v>
      </c>
      <c r="P954" s="4" t="n">
        <v>40</v>
      </c>
      <c r="Q954" s="8"/>
      <c r="R954" s="4" t="s">
        <v>3321</v>
      </c>
      <c r="S954" s="4"/>
    </row>
    <row r="955" customFormat="false" ht="26.85" hidden="false" customHeight="false" outlineLevel="0" collapsed="false">
      <c r="A955" s="4" t="s">
        <v>3322</v>
      </c>
      <c r="B955" s="8" t="s">
        <v>3323</v>
      </c>
      <c r="C955" s="8" t="s">
        <v>58</v>
      </c>
      <c r="D955" s="8" t="s">
        <v>67</v>
      </c>
      <c r="E955" s="8" t="s">
        <v>60</v>
      </c>
      <c r="F955" s="8"/>
      <c r="G955" s="8"/>
      <c r="H955" s="8"/>
      <c r="I955" s="8" t="s">
        <v>3324</v>
      </c>
      <c r="J955" s="8" t="s">
        <v>72</v>
      </c>
      <c r="K955" s="8" t="s">
        <v>3151</v>
      </c>
      <c r="L955" s="8"/>
      <c r="M955" s="8"/>
      <c r="N955" s="8" t="s">
        <v>62</v>
      </c>
      <c r="O955" s="8" t="s">
        <v>63</v>
      </c>
      <c r="P955" s="4" t="n">
        <v>40</v>
      </c>
      <c r="Q955" s="8"/>
      <c r="R955" s="4" t="s">
        <v>3325</v>
      </c>
      <c r="S955" s="4"/>
    </row>
    <row r="956" customFormat="false" ht="26.85" hidden="false" customHeight="false" outlineLevel="0" collapsed="false">
      <c r="A956" s="4" t="s">
        <v>3326</v>
      </c>
      <c r="B956" s="8" t="s">
        <v>3327</v>
      </c>
      <c r="C956" s="8"/>
      <c r="D956" s="8"/>
      <c r="E956" s="8"/>
      <c r="F956" s="8"/>
      <c r="G956" s="8"/>
      <c r="H956" s="8"/>
      <c r="I956" s="8" t="s">
        <v>3328</v>
      </c>
      <c r="J956" s="8" t="s">
        <v>72</v>
      </c>
      <c r="K956" s="8" t="s">
        <v>3151</v>
      </c>
      <c r="L956" s="8"/>
      <c r="M956" s="8"/>
      <c r="N956" s="8" t="s">
        <v>62</v>
      </c>
      <c r="O956" s="8" t="s">
        <v>63</v>
      </c>
      <c r="P956" s="4" t="n">
        <v>40</v>
      </c>
      <c r="Q956" s="8"/>
      <c r="R956" s="4" t="s">
        <v>3327</v>
      </c>
      <c r="S956" s="4"/>
    </row>
    <row r="957" customFormat="false" ht="26.85" hidden="false" customHeight="false" outlineLevel="0" collapsed="false">
      <c r="A957" s="4" t="s">
        <v>3329</v>
      </c>
      <c r="B957" s="8" t="s">
        <v>1736</v>
      </c>
      <c r="C957" s="8"/>
      <c r="D957" s="8"/>
      <c r="E957" s="8"/>
      <c r="F957" s="8"/>
      <c r="G957" s="8"/>
      <c r="H957" s="8"/>
      <c r="I957" s="8" t="s">
        <v>1737</v>
      </c>
      <c r="J957" s="8" t="s">
        <v>72</v>
      </c>
      <c r="K957" s="8" t="s">
        <v>3151</v>
      </c>
      <c r="L957" s="8"/>
      <c r="M957" s="8"/>
      <c r="N957" s="8" t="s">
        <v>62</v>
      </c>
      <c r="O957" s="8" t="s">
        <v>63</v>
      </c>
      <c r="P957" s="4" t="n">
        <v>40</v>
      </c>
      <c r="Q957" s="8"/>
      <c r="R957" s="4" t="s">
        <v>1736</v>
      </c>
      <c r="S957" s="4" t="n">
        <v>79410</v>
      </c>
    </row>
    <row r="958" customFormat="false" ht="26.85" hidden="false" customHeight="false" outlineLevel="0" collapsed="false">
      <c r="A958" s="4" t="s">
        <v>3330</v>
      </c>
      <c r="B958" s="8" t="s">
        <v>3331</v>
      </c>
      <c r="C958" s="8" t="s">
        <v>58</v>
      </c>
      <c r="D958" s="8" t="s">
        <v>67</v>
      </c>
      <c r="E958" s="8" t="s">
        <v>60</v>
      </c>
      <c r="F958" s="8"/>
      <c r="G958" s="8"/>
      <c r="H958" s="8"/>
      <c r="I958" s="8" t="s">
        <v>3332</v>
      </c>
      <c r="J958" s="8" t="s">
        <v>72</v>
      </c>
      <c r="K958" s="8" t="s">
        <v>3151</v>
      </c>
      <c r="L958" s="8"/>
      <c r="M958" s="8"/>
      <c r="N958" s="8" t="s">
        <v>62</v>
      </c>
      <c r="O958" s="8" t="s">
        <v>63</v>
      </c>
      <c r="P958" s="4" t="n">
        <v>40</v>
      </c>
      <c r="Q958" s="8"/>
      <c r="R958" s="4" t="s">
        <v>3333</v>
      </c>
      <c r="S958" s="4"/>
    </row>
    <row r="959" customFormat="false" ht="26.85" hidden="false" customHeight="false" outlineLevel="0" collapsed="false">
      <c r="A959" s="4" t="s">
        <v>3334</v>
      </c>
      <c r="B959" s="8" t="s">
        <v>3335</v>
      </c>
      <c r="C959" s="8"/>
      <c r="D959" s="8"/>
      <c r="E959" s="8"/>
      <c r="F959" s="8"/>
      <c r="G959" s="8"/>
      <c r="H959" s="8"/>
      <c r="I959" s="8" t="s">
        <v>3336</v>
      </c>
      <c r="J959" s="8" t="s">
        <v>72</v>
      </c>
      <c r="K959" s="8" t="s">
        <v>3151</v>
      </c>
      <c r="L959" s="8"/>
      <c r="M959" s="8"/>
      <c r="N959" s="8" t="s">
        <v>62</v>
      </c>
      <c r="O959" s="8" t="s">
        <v>63</v>
      </c>
      <c r="P959" s="4" t="n">
        <v>40</v>
      </c>
      <c r="Q959" s="8"/>
      <c r="R959" s="4" t="s">
        <v>3335</v>
      </c>
      <c r="S959" s="4" t="n">
        <v>1973</v>
      </c>
    </row>
    <row r="960" customFormat="false" ht="26.85" hidden="false" customHeight="false" outlineLevel="0" collapsed="false">
      <c r="A960" s="4" t="s">
        <v>3337</v>
      </c>
      <c r="B960" s="8" t="s">
        <v>3338</v>
      </c>
      <c r="C960" s="8" t="s">
        <v>58</v>
      </c>
      <c r="D960" s="8"/>
      <c r="E960" s="8" t="s">
        <v>60</v>
      </c>
      <c r="F960" s="8"/>
      <c r="G960" s="8"/>
      <c r="H960" s="8"/>
      <c r="I960" s="8" t="s">
        <v>3339</v>
      </c>
      <c r="J960" s="8" t="s">
        <v>72</v>
      </c>
      <c r="K960" s="8" t="s">
        <v>3151</v>
      </c>
      <c r="L960" s="8"/>
      <c r="M960" s="8"/>
      <c r="N960" s="8" t="s">
        <v>62</v>
      </c>
      <c r="O960" s="8" t="s">
        <v>63</v>
      </c>
      <c r="P960" s="4" t="n">
        <v>40</v>
      </c>
      <c r="Q960" s="8"/>
      <c r="R960" s="4" t="s">
        <v>3340</v>
      </c>
      <c r="S960" s="4" t="n">
        <v>4718</v>
      </c>
    </row>
    <row r="961" customFormat="false" ht="26.85" hidden="false" customHeight="false" outlineLevel="0" collapsed="false">
      <c r="A961" s="4" t="s">
        <v>3341</v>
      </c>
      <c r="B961" s="8" t="s">
        <v>3342</v>
      </c>
      <c r="C961" s="8" t="s">
        <v>58</v>
      </c>
      <c r="D961" s="8"/>
      <c r="E961" s="8" t="s">
        <v>60</v>
      </c>
      <c r="F961" s="8"/>
      <c r="G961" s="8"/>
      <c r="H961" s="8"/>
      <c r="I961" s="8" t="s">
        <v>3343</v>
      </c>
      <c r="J961" s="8" t="s">
        <v>72</v>
      </c>
      <c r="K961" s="8" t="s">
        <v>3151</v>
      </c>
      <c r="L961" s="8"/>
      <c r="M961" s="8"/>
      <c r="N961" s="8" t="s">
        <v>62</v>
      </c>
      <c r="O961" s="8" t="s">
        <v>63</v>
      </c>
      <c r="P961" s="4" t="n">
        <v>40</v>
      </c>
      <c r="Q961" s="8"/>
      <c r="R961" s="4" t="s">
        <v>3344</v>
      </c>
      <c r="S961" s="4"/>
    </row>
    <row r="962" customFormat="false" ht="26.85" hidden="false" customHeight="false" outlineLevel="0" collapsed="false">
      <c r="A962" s="4" t="s">
        <v>3345</v>
      </c>
      <c r="B962" s="8" t="s">
        <v>3346</v>
      </c>
      <c r="C962" s="8" t="s">
        <v>58</v>
      </c>
      <c r="D962" s="8"/>
      <c r="E962" s="8" t="s">
        <v>60</v>
      </c>
      <c r="F962" s="8"/>
      <c r="G962" s="8"/>
      <c r="H962" s="8"/>
      <c r="I962" s="8" t="s">
        <v>3347</v>
      </c>
      <c r="J962" s="8" t="s">
        <v>72</v>
      </c>
      <c r="K962" s="8" t="s">
        <v>3151</v>
      </c>
      <c r="L962" s="8"/>
      <c r="M962" s="8"/>
      <c r="N962" s="8" t="s">
        <v>62</v>
      </c>
      <c r="O962" s="8" t="s">
        <v>63</v>
      </c>
      <c r="P962" s="4" t="n">
        <v>40</v>
      </c>
      <c r="Q962" s="8"/>
      <c r="R962" s="4" t="s">
        <v>3348</v>
      </c>
      <c r="S962" s="4"/>
    </row>
    <row r="963" customFormat="false" ht="26.85" hidden="false" customHeight="false" outlineLevel="0" collapsed="false">
      <c r="A963" s="4" t="s">
        <v>3349</v>
      </c>
      <c r="B963" s="8" t="s">
        <v>3350</v>
      </c>
      <c r="C963" s="8" t="s">
        <v>58</v>
      </c>
      <c r="D963" s="8"/>
      <c r="E963" s="8" t="s">
        <v>60</v>
      </c>
      <c r="F963" s="8"/>
      <c r="G963" s="8"/>
      <c r="H963" s="8"/>
      <c r="I963" s="8" t="s">
        <v>3351</v>
      </c>
      <c r="J963" s="8" t="s">
        <v>72</v>
      </c>
      <c r="K963" s="8" t="s">
        <v>3151</v>
      </c>
      <c r="L963" s="8"/>
      <c r="M963" s="8"/>
      <c r="N963" s="8" t="s">
        <v>62</v>
      </c>
      <c r="O963" s="8" t="s">
        <v>63</v>
      </c>
      <c r="P963" s="4" t="n">
        <v>40</v>
      </c>
      <c r="Q963" s="8"/>
      <c r="R963" s="4" t="s">
        <v>3352</v>
      </c>
      <c r="S963" s="4"/>
    </row>
    <row r="964" customFormat="false" ht="26.85" hidden="false" customHeight="false" outlineLevel="0" collapsed="false">
      <c r="A964" s="4" t="s">
        <v>3353</v>
      </c>
      <c r="B964" s="8" t="s">
        <v>3354</v>
      </c>
      <c r="C964" s="8" t="s">
        <v>58</v>
      </c>
      <c r="D964" s="8"/>
      <c r="E964" s="8" t="s">
        <v>60</v>
      </c>
      <c r="F964" s="8"/>
      <c r="G964" s="8"/>
      <c r="H964" s="8"/>
      <c r="I964" s="8" t="s">
        <v>3355</v>
      </c>
      <c r="J964" s="8" t="s">
        <v>72</v>
      </c>
      <c r="K964" s="8" t="s">
        <v>3151</v>
      </c>
      <c r="L964" s="8"/>
      <c r="M964" s="8"/>
      <c r="N964" s="8" t="s">
        <v>62</v>
      </c>
      <c r="O964" s="8" t="s">
        <v>63</v>
      </c>
      <c r="P964" s="4" t="n">
        <v>40</v>
      </c>
      <c r="Q964" s="8"/>
      <c r="R964" s="4" t="s">
        <v>3356</v>
      </c>
      <c r="S964" s="4" t="n">
        <v>363</v>
      </c>
    </row>
    <row r="965" customFormat="false" ht="26.85" hidden="false" customHeight="false" outlineLevel="0" collapsed="false">
      <c r="A965" s="4" t="s">
        <v>3357</v>
      </c>
      <c r="B965" s="8" t="s">
        <v>3358</v>
      </c>
      <c r="C965" s="8" t="s">
        <v>58</v>
      </c>
      <c r="D965" s="8"/>
      <c r="E965" s="8" t="s">
        <v>60</v>
      </c>
      <c r="F965" s="8"/>
      <c r="G965" s="8"/>
      <c r="H965" s="8"/>
      <c r="I965" s="8" t="s">
        <v>3359</v>
      </c>
      <c r="J965" s="8" t="s">
        <v>72</v>
      </c>
      <c r="K965" s="8" t="s">
        <v>3151</v>
      </c>
      <c r="L965" s="8"/>
      <c r="M965" s="8"/>
      <c r="N965" s="8" t="s">
        <v>62</v>
      </c>
      <c r="O965" s="8" t="s">
        <v>63</v>
      </c>
      <c r="P965" s="4" t="n">
        <v>40</v>
      </c>
      <c r="Q965" s="8"/>
      <c r="R965" s="4" t="s">
        <v>3360</v>
      </c>
      <c r="S965" s="4"/>
    </row>
    <row r="966" customFormat="false" ht="26.85" hidden="false" customHeight="false" outlineLevel="0" collapsed="false">
      <c r="A966" s="4" t="s">
        <v>3361</v>
      </c>
      <c r="B966" s="8" t="s">
        <v>3362</v>
      </c>
      <c r="C966" s="8" t="s">
        <v>58</v>
      </c>
      <c r="D966" s="8"/>
      <c r="E966" s="8" t="s">
        <v>60</v>
      </c>
      <c r="F966" s="8"/>
      <c r="G966" s="8"/>
      <c r="H966" s="8"/>
      <c r="I966" s="8" t="s">
        <v>3363</v>
      </c>
      <c r="J966" s="8" t="s">
        <v>72</v>
      </c>
      <c r="K966" s="8" t="s">
        <v>3151</v>
      </c>
      <c r="L966" s="8"/>
      <c r="M966" s="8"/>
      <c r="N966" s="8" t="s">
        <v>62</v>
      </c>
      <c r="O966" s="8" t="s">
        <v>63</v>
      </c>
      <c r="P966" s="4" t="n">
        <v>40</v>
      </c>
      <c r="Q966" s="8"/>
      <c r="R966" s="4" t="s">
        <v>3364</v>
      </c>
      <c r="S966" s="4"/>
    </row>
    <row r="967" customFormat="false" ht="26.85" hidden="false" customHeight="false" outlineLevel="0" collapsed="false">
      <c r="A967" s="4" t="s">
        <v>3365</v>
      </c>
      <c r="B967" s="8" t="s">
        <v>3366</v>
      </c>
      <c r="C967" s="8" t="s">
        <v>58</v>
      </c>
      <c r="D967" s="8"/>
      <c r="E967" s="8" t="s">
        <v>60</v>
      </c>
      <c r="F967" s="8"/>
      <c r="G967" s="8"/>
      <c r="H967" s="8"/>
      <c r="I967" s="8" t="s">
        <v>3367</v>
      </c>
      <c r="J967" s="8" t="s">
        <v>72</v>
      </c>
      <c r="K967" s="8" t="s">
        <v>3151</v>
      </c>
      <c r="L967" s="8"/>
      <c r="M967" s="8"/>
      <c r="N967" s="8" t="s">
        <v>62</v>
      </c>
      <c r="O967" s="8" t="s">
        <v>63</v>
      </c>
      <c r="P967" s="4" t="n">
        <v>40</v>
      </c>
      <c r="Q967" s="8"/>
      <c r="R967" s="4" t="s">
        <v>3368</v>
      </c>
      <c r="S967" s="4"/>
    </row>
    <row r="968" customFormat="false" ht="26.85" hidden="false" customHeight="false" outlineLevel="0" collapsed="false">
      <c r="A968" s="4" t="s">
        <v>3369</v>
      </c>
      <c r="B968" s="8" t="s">
        <v>3370</v>
      </c>
      <c r="C968" s="8" t="s">
        <v>58</v>
      </c>
      <c r="D968" s="8"/>
      <c r="E968" s="8" t="s">
        <v>60</v>
      </c>
      <c r="F968" s="8"/>
      <c r="G968" s="8"/>
      <c r="H968" s="8"/>
      <c r="I968" s="8" t="s">
        <v>3371</v>
      </c>
      <c r="J968" s="8" t="s">
        <v>72</v>
      </c>
      <c r="K968" s="8" t="s">
        <v>3151</v>
      </c>
      <c r="L968" s="8"/>
      <c r="M968" s="8"/>
      <c r="N968" s="8" t="s">
        <v>62</v>
      </c>
      <c r="O968" s="8" t="s">
        <v>63</v>
      </c>
      <c r="P968" s="4" t="n">
        <v>40</v>
      </c>
      <c r="Q968" s="8"/>
      <c r="R968" s="4" t="s">
        <v>3372</v>
      </c>
      <c r="S968" s="4"/>
    </row>
    <row r="969" customFormat="false" ht="26.85" hidden="false" customHeight="false" outlineLevel="0" collapsed="false">
      <c r="A969" s="4" t="s">
        <v>3373</v>
      </c>
      <c r="B969" s="8" t="s">
        <v>3374</v>
      </c>
      <c r="C969" s="8"/>
      <c r="D969" s="8"/>
      <c r="E969" s="8"/>
      <c r="F969" s="8"/>
      <c r="G969" s="8"/>
      <c r="H969" s="8"/>
      <c r="I969" s="8" t="s">
        <v>3375</v>
      </c>
      <c r="J969" s="8" t="s">
        <v>72</v>
      </c>
      <c r="K969" s="8" t="s">
        <v>3151</v>
      </c>
      <c r="L969" s="8"/>
      <c r="M969" s="8"/>
      <c r="N969" s="8" t="s">
        <v>62</v>
      </c>
      <c r="O969" s="8" t="s">
        <v>63</v>
      </c>
      <c r="P969" s="4" t="n">
        <v>40</v>
      </c>
      <c r="Q969" s="8"/>
      <c r="R969" s="4" t="s">
        <v>3374</v>
      </c>
      <c r="S969" s="4" t="n">
        <v>2045</v>
      </c>
    </row>
    <row r="970" customFormat="false" ht="26.85" hidden="false" customHeight="false" outlineLevel="0" collapsed="false">
      <c r="A970" s="4" t="s">
        <v>3376</v>
      </c>
      <c r="B970" s="8" t="s">
        <v>3377</v>
      </c>
      <c r="C970" s="8" t="s">
        <v>58</v>
      </c>
      <c r="D970" s="8"/>
      <c r="E970" s="8" t="s">
        <v>60</v>
      </c>
      <c r="F970" s="8"/>
      <c r="G970" s="8"/>
      <c r="H970" s="8"/>
      <c r="I970" s="8" t="s">
        <v>3378</v>
      </c>
      <c r="J970" s="8" t="s">
        <v>72</v>
      </c>
      <c r="K970" s="8" t="s">
        <v>3151</v>
      </c>
      <c r="L970" s="8"/>
      <c r="M970" s="8"/>
      <c r="N970" s="8" t="s">
        <v>62</v>
      </c>
      <c r="O970" s="8" t="s">
        <v>63</v>
      </c>
      <c r="P970" s="4" t="n">
        <v>40</v>
      </c>
      <c r="Q970" s="8"/>
      <c r="R970" s="4" t="s">
        <v>3379</v>
      </c>
      <c r="S970" s="4"/>
    </row>
    <row r="971" customFormat="false" ht="26.85" hidden="false" customHeight="false" outlineLevel="0" collapsed="false">
      <c r="A971" s="4" t="s">
        <v>3380</v>
      </c>
      <c r="B971" s="8" t="s">
        <v>3381</v>
      </c>
      <c r="C971" s="8"/>
      <c r="D971" s="8"/>
      <c r="E971" s="8"/>
      <c r="F971" s="8"/>
      <c r="G971" s="8"/>
      <c r="H971" s="8"/>
      <c r="I971" s="8" t="s">
        <v>3382</v>
      </c>
      <c r="J971" s="8" t="s">
        <v>72</v>
      </c>
      <c r="K971" s="8" t="s">
        <v>3151</v>
      </c>
      <c r="L971" s="8"/>
      <c r="M971" s="8"/>
      <c r="N971" s="8" t="s">
        <v>62</v>
      </c>
      <c r="O971" s="8" t="s">
        <v>63</v>
      </c>
      <c r="P971" s="4" t="n">
        <v>40</v>
      </c>
      <c r="Q971" s="8"/>
      <c r="R971" s="4" t="s">
        <v>3381</v>
      </c>
      <c r="S971" s="4"/>
    </row>
    <row r="972" customFormat="false" ht="26.85" hidden="false" customHeight="false" outlineLevel="0" collapsed="false">
      <c r="A972" s="4" t="s">
        <v>3383</v>
      </c>
      <c r="B972" s="8" t="s">
        <v>3384</v>
      </c>
      <c r="C972" s="8"/>
      <c r="D972" s="8"/>
      <c r="E972" s="8"/>
      <c r="F972" s="8"/>
      <c r="G972" s="8"/>
      <c r="H972" s="8"/>
      <c r="I972" s="8" t="s">
        <v>3385</v>
      </c>
      <c r="J972" s="8" t="s">
        <v>72</v>
      </c>
      <c r="K972" s="8" t="s">
        <v>3151</v>
      </c>
      <c r="L972" s="8" t="s">
        <v>3386</v>
      </c>
      <c r="M972" s="8"/>
      <c r="N972" s="8" t="s">
        <v>62</v>
      </c>
      <c r="O972" s="8" t="s">
        <v>63</v>
      </c>
      <c r="P972" s="4" t="n">
        <v>40</v>
      </c>
      <c r="Q972" s="8"/>
      <c r="R972" s="4" t="s">
        <v>3384</v>
      </c>
      <c r="S972" s="4"/>
    </row>
    <row r="973" customFormat="false" ht="26.85" hidden="false" customHeight="false" outlineLevel="0" collapsed="false">
      <c r="A973" s="4" t="s">
        <v>3387</v>
      </c>
      <c r="B973" s="8" t="s">
        <v>1245</v>
      </c>
      <c r="C973" s="8"/>
      <c r="D973" s="8"/>
      <c r="E973" s="8"/>
      <c r="F973" s="8"/>
      <c r="G973" s="8"/>
      <c r="H973" s="8"/>
      <c r="I973" s="8" t="s">
        <v>3388</v>
      </c>
      <c r="J973" s="8" t="s">
        <v>72</v>
      </c>
      <c r="K973" s="8" t="s">
        <v>3151</v>
      </c>
      <c r="L973" s="8" t="s">
        <v>3386</v>
      </c>
      <c r="M973" s="8"/>
      <c r="N973" s="8" t="s">
        <v>62</v>
      </c>
      <c r="O973" s="8" t="s">
        <v>63</v>
      </c>
      <c r="P973" s="4" t="n">
        <v>40</v>
      </c>
      <c r="Q973" s="8"/>
      <c r="R973" s="4" t="s">
        <v>1245</v>
      </c>
      <c r="S973" s="4" t="n">
        <v>139</v>
      </c>
    </row>
    <row r="974" customFormat="false" ht="26.85" hidden="false" customHeight="false" outlineLevel="0" collapsed="false">
      <c r="A974" s="4" t="s">
        <v>3389</v>
      </c>
      <c r="B974" s="8" t="s">
        <v>3390</v>
      </c>
      <c r="C974" s="8"/>
      <c r="D974" s="8"/>
      <c r="E974" s="8"/>
      <c r="F974" s="8"/>
      <c r="G974" s="8"/>
      <c r="H974" s="8"/>
      <c r="I974" s="8" t="s">
        <v>3391</v>
      </c>
      <c r="J974" s="8" t="s">
        <v>72</v>
      </c>
      <c r="K974" s="8" t="s">
        <v>3151</v>
      </c>
      <c r="L974" s="8" t="s">
        <v>3386</v>
      </c>
      <c r="M974" s="8"/>
      <c r="N974" s="8" t="s">
        <v>62</v>
      </c>
      <c r="O974" s="8" t="s">
        <v>63</v>
      </c>
      <c r="P974" s="4" t="n">
        <v>40</v>
      </c>
      <c r="Q974" s="8"/>
      <c r="R974" s="4" t="s">
        <v>3390</v>
      </c>
      <c r="S974" s="4" t="n">
        <v>3043</v>
      </c>
    </row>
    <row r="975" customFormat="false" ht="26.85" hidden="false" customHeight="false" outlineLevel="0" collapsed="false">
      <c r="A975" s="4" t="s">
        <v>3392</v>
      </c>
      <c r="B975" s="8" t="s">
        <v>3393</v>
      </c>
      <c r="C975" s="8"/>
      <c r="D975" s="8"/>
      <c r="E975" s="8"/>
      <c r="F975" s="8"/>
      <c r="G975" s="8"/>
      <c r="H975" s="8"/>
      <c r="I975" s="8" t="s">
        <v>3394</v>
      </c>
      <c r="J975" s="8" t="s">
        <v>72</v>
      </c>
      <c r="K975" s="8" t="s">
        <v>3151</v>
      </c>
      <c r="L975" s="8" t="s">
        <v>3386</v>
      </c>
      <c r="M975" s="8"/>
      <c r="N975" s="8" t="s">
        <v>62</v>
      </c>
      <c r="O975" s="8" t="s">
        <v>63</v>
      </c>
      <c r="P975" s="4" t="n">
        <v>40</v>
      </c>
      <c r="Q975" s="8"/>
      <c r="R975" s="4" t="s">
        <v>3393</v>
      </c>
      <c r="S975" s="4" t="n">
        <v>2677</v>
      </c>
    </row>
    <row r="976" customFormat="false" ht="26.85" hidden="false" customHeight="false" outlineLevel="0" collapsed="false">
      <c r="A976" s="4" t="s">
        <v>3395</v>
      </c>
      <c r="B976" s="8" t="s">
        <v>3396</v>
      </c>
      <c r="C976" s="8" t="s">
        <v>58</v>
      </c>
      <c r="D976" s="8"/>
      <c r="E976" s="8" t="s">
        <v>60</v>
      </c>
      <c r="F976" s="8"/>
      <c r="G976" s="8"/>
      <c r="H976" s="8"/>
      <c r="I976" s="8" t="s">
        <v>3397</v>
      </c>
      <c r="J976" s="8" t="s">
        <v>72</v>
      </c>
      <c r="K976" s="8" t="s">
        <v>3151</v>
      </c>
      <c r="L976" s="8" t="s">
        <v>3386</v>
      </c>
      <c r="M976" s="8"/>
      <c r="N976" s="8" t="s">
        <v>62</v>
      </c>
      <c r="O976" s="8" t="s">
        <v>63</v>
      </c>
      <c r="P976" s="4" t="n">
        <v>40</v>
      </c>
      <c r="Q976" s="8"/>
      <c r="R976" s="4" t="s">
        <v>3398</v>
      </c>
      <c r="S976" s="4"/>
    </row>
    <row r="977" customFormat="false" ht="26.85" hidden="false" customHeight="false" outlineLevel="0" collapsed="false">
      <c r="A977" s="4" t="s">
        <v>3399</v>
      </c>
      <c r="B977" s="8" t="s">
        <v>3400</v>
      </c>
      <c r="C977" s="8"/>
      <c r="D977" s="8"/>
      <c r="E977" s="8"/>
      <c r="F977" s="8"/>
      <c r="G977" s="8"/>
      <c r="H977" s="8"/>
      <c r="I977" s="8" t="s">
        <v>3401</v>
      </c>
      <c r="J977" s="8" t="s">
        <v>72</v>
      </c>
      <c r="K977" s="8" t="s">
        <v>3151</v>
      </c>
      <c r="L977" s="8" t="s">
        <v>3386</v>
      </c>
      <c r="M977" s="8"/>
      <c r="N977" s="8" t="s">
        <v>62</v>
      </c>
      <c r="O977" s="8" t="s">
        <v>63</v>
      </c>
      <c r="P977" s="4" t="n">
        <v>40</v>
      </c>
      <c r="Q977" s="8"/>
      <c r="R977" s="4" t="s">
        <v>3400</v>
      </c>
      <c r="S977" s="4" t="n">
        <v>136</v>
      </c>
    </row>
    <row r="978" customFormat="false" ht="26.85" hidden="false" customHeight="false" outlineLevel="0" collapsed="false">
      <c r="A978" s="4" t="s">
        <v>3402</v>
      </c>
      <c r="B978" s="8" t="s">
        <v>3403</v>
      </c>
      <c r="C978" s="8"/>
      <c r="D978" s="8"/>
      <c r="E978" s="8"/>
      <c r="F978" s="8"/>
      <c r="G978" s="8"/>
      <c r="H978" s="8"/>
      <c r="I978" s="8" t="s">
        <v>3404</v>
      </c>
      <c r="J978" s="8" t="s">
        <v>72</v>
      </c>
      <c r="K978" s="8" t="s">
        <v>3151</v>
      </c>
      <c r="L978" s="8" t="s">
        <v>3386</v>
      </c>
      <c r="M978" s="8"/>
      <c r="N978" s="8" t="s">
        <v>62</v>
      </c>
      <c r="O978" s="8" t="s">
        <v>63</v>
      </c>
      <c r="P978" s="4" t="n">
        <v>40</v>
      </c>
      <c r="Q978" s="8"/>
      <c r="R978" s="4" t="s">
        <v>3403</v>
      </c>
      <c r="S978" s="4"/>
    </row>
    <row r="979" customFormat="false" ht="26.85" hidden="false" customHeight="false" outlineLevel="0" collapsed="false">
      <c r="A979" s="4" t="s">
        <v>3405</v>
      </c>
      <c r="B979" s="8" t="s">
        <v>3406</v>
      </c>
      <c r="C979" s="8" t="s">
        <v>58</v>
      </c>
      <c r="D979" s="8"/>
      <c r="E979" s="8" t="s">
        <v>60</v>
      </c>
      <c r="F979" s="8"/>
      <c r="G979" s="8"/>
      <c r="H979" s="8"/>
      <c r="I979" s="8" t="s">
        <v>3407</v>
      </c>
      <c r="J979" s="8" t="s">
        <v>72</v>
      </c>
      <c r="K979" s="8" t="s">
        <v>3151</v>
      </c>
      <c r="L979" s="8" t="s">
        <v>3386</v>
      </c>
      <c r="M979" s="8"/>
      <c r="N979" s="8" t="s">
        <v>62</v>
      </c>
      <c r="O979" s="8" t="s">
        <v>63</v>
      </c>
      <c r="P979" s="4" t="n">
        <v>40</v>
      </c>
      <c r="Q979" s="8"/>
      <c r="R979" s="4" t="s">
        <v>3408</v>
      </c>
      <c r="S979" s="4"/>
    </row>
    <row r="980" customFormat="false" ht="26.85" hidden="false" customHeight="false" outlineLevel="0" collapsed="false">
      <c r="A980" s="4" t="s">
        <v>3409</v>
      </c>
      <c r="B980" s="8" t="s">
        <v>3410</v>
      </c>
      <c r="C980" s="8"/>
      <c r="D980" s="8"/>
      <c r="E980" s="8"/>
      <c r="F980" s="8"/>
      <c r="G980" s="8"/>
      <c r="H980" s="8"/>
      <c r="I980" s="8" t="s">
        <v>3411</v>
      </c>
      <c r="J980" s="8" t="s">
        <v>72</v>
      </c>
      <c r="K980" s="8" t="s">
        <v>3151</v>
      </c>
      <c r="L980" s="8" t="s">
        <v>3386</v>
      </c>
      <c r="M980" s="8"/>
      <c r="N980" s="8" t="s">
        <v>62</v>
      </c>
      <c r="O980" s="8" t="s">
        <v>63</v>
      </c>
      <c r="P980" s="4" t="n">
        <v>40</v>
      </c>
      <c r="Q980" s="8"/>
      <c r="R980" s="4" t="s">
        <v>3410</v>
      </c>
      <c r="S980" s="4"/>
    </row>
    <row r="981" customFormat="false" ht="26.85" hidden="false" customHeight="false" outlineLevel="0" collapsed="false">
      <c r="A981" s="4" t="s">
        <v>3412</v>
      </c>
      <c r="B981" s="8" t="s">
        <v>3413</v>
      </c>
      <c r="C981" s="8"/>
      <c r="D981" s="8"/>
      <c r="E981" s="8"/>
      <c r="F981" s="8"/>
      <c r="G981" s="8"/>
      <c r="H981" s="8"/>
      <c r="I981" s="8" t="s">
        <v>3414</v>
      </c>
      <c r="J981" s="8" t="s">
        <v>72</v>
      </c>
      <c r="K981" s="8" t="s">
        <v>3151</v>
      </c>
      <c r="L981" s="8" t="s">
        <v>3386</v>
      </c>
      <c r="M981" s="8"/>
      <c r="N981" s="8" t="s">
        <v>62</v>
      </c>
      <c r="O981" s="8" t="s">
        <v>63</v>
      </c>
      <c r="P981" s="4" t="n">
        <v>40</v>
      </c>
      <c r="Q981" s="8"/>
      <c r="R981" s="4" t="s">
        <v>3413</v>
      </c>
      <c r="S981" s="4"/>
    </row>
    <row r="982" customFormat="false" ht="26.85" hidden="false" customHeight="false" outlineLevel="0" collapsed="false">
      <c r="A982" s="4" t="s">
        <v>3415</v>
      </c>
      <c r="B982" s="8" t="s">
        <v>3416</v>
      </c>
      <c r="C982" s="8" t="s">
        <v>58</v>
      </c>
      <c r="D982" s="8"/>
      <c r="E982" s="8" t="s">
        <v>60</v>
      </c>
      <c r="F982" s="8"/>
      <c r="G982" s="8"/>
      <c r="H982" s="8"/>
      <c r="I982" s="8" t="s">
        <v>3417</v>
      </c>
      <c r="J982" s="8" t="s">
        <v>72</v>
      </c>
      <c r="K982" s="8" t="s">
        <v>3151</v>
      </c>
      <c r="L982" s="8" t="s">
        <v>3386</v>
      </c>
      <c r="M982" s="8"/>
      <c r="N982" s="8" t="s">
        <v>62</v>
      </c>
      <c r="O982" s="8" t="s">
        <v>63</v>
      </c>
      <c r="P982" s="4" t="n">
        <v>40</v>
      </c>
      <c r="Q982" s="8"/>
      <c r="R982" s="4" t="s">
        <v>3418</v>
      </c>
      <c r="S982" s="4" t="n">
        <v>1823</v>
      </c>
    </row>
    <row r="983" customFormat="false" ht="26.85" hidden="false" customHeight="false" outlineLevel="0" collapsed="false">
      <c r="A983" s="4" t="s">
        <v>3419</v>
      </c>
      <c r="B983" s="8" t="s">
        <v>3420</v>
      </c>
      <c r="C983" s="8"/>
      <c r="D983" s="8"/>
      <c r="E983" s="8"/>
      <c r="F983" s="8"/>
      <c r="G983" s="8"/>
      <c r="H983" s="8"/>
      <c r="I983" s="8" t="s">
        <v>3421</v>
      </c>
      <c r="J983" s="8" t="s">
        <v>72</v>
      </c>
      <c r="K983" s="8" t="s">
        <v>3151</v>
      </c>
      <c r="L983" s="8" t="s">
        <v>3386</v>
      </c>
      <c r="M983" s="8"/>
      <c r="N983" s="8" t="s">
        <v>62</v>
      </c>
      <c r="O983" s="8" t="s">
        <v>63</v>
      </c>
      <c r="P983" s="4" t="n">
        <v>40</v>
      </c>
      <c r="Q983" s="8"/>
      <c r="R983" s="4" t="s">
        <v>3420</v>
      </c>
      <c r="S983" s="4"/>
    </row>
    <row r="984" customFormat="false" ht="26.85" hidden="false" customHeight="false" outlineLevel="0" collapsed="false">
      <c r="A984" s="4" t="s">
        <v>3422</v>
      </c>
      <c r="B984" s="8" t="s">
        <v>3423</v>
      </c>
      <c r="C984" s="8"/>
      <c r="D984" s="8"/>
      <c r="E984" s="8"/>
      <c r="F984" s="8"/>
      <c r="G984" s="8"/>
      <c r="H984" s="8"/>
      <c r="I984" s="8" t="s">
        <v>3424</v>
      </c>
      <c r="J984" s="8" t="s">
        <v>72</v>
      </c>
      <c r="K984" s="8" t="s">
        <v>3151</v>
      </c>
      <c r="L984" s="8" t="s">
        <v>3386</v>
      </c>
      <c r="M984" s="8"/>
      <c r="N984" s="8" t="s">
        <v>62</v>
      </c>
      <c r="O984" s="8" t="s">
        <v>63</v>
      </c>
      <c r="P984" s="4" t="n">
        <v>40</v>
      </c>
      <c r="Q984" s="8"/>
      <c r="R984" s="4" t="s">
        <v>3423</v>
      </c>
      <c r="S984" s="4" t="n">
        <v>833</v>
      </c>
    </row>
    <row r="985" customFormat="false" ht="26.85" hidden="false" customHeight="false" outlineLevel="0" collapsed="false">
      <c r="A985" s="4" t="s">
        <v>3425</v>
      </c>
      <c r="B985" s="8" t="s">
        <v>3426</v>
      </c>
      <c r="C985" s="8"/>
      <c r="D985" s="8"/>
      <c r="E985" s="8"/>
      <c r="F985" s="8"/>
      <c r="G985" s="8"/>
      <c r="H985" s="8"/>
      <c r="I985" s="8" t="s">
        <v>3427</v>
      </c>
      <c r="J985" s="8" t="s">
        <v>72</v>
      </c>
      <c r="K985" s="8" t="s">
        <v>3151</v>
      </c>
      <c r="L985" s="8" t="s">
        <v>3386</v>
      </c>
      <c r="M985" s="8"/>
      <c r="N985" s="8" t="s">
        <v>62</v>
      </c>
      <c r="O985" s="8" t="s">
        <v>63</v>
      </c>
      <c r="P985" s="4" t="n">
        <v>40</v>
      </c>
      <c r="Q985" s="8"/>
      <c r="R985" s="4" t="s">
        <v>3426</v>
      </c>
      <c r="S985" s="4"/>
    </row>
    <row r="986" customFormat="false" ht="26.85" hidden="false" customHeight="false" outlineLevel="0" collapsed="false">
      <c r="A986" s="4" t="s">
        <v>3428</v>
      </c>
      <c r="B986" s="8" t="s">
        <v>3429</v>
      </c>
      <c r="C986" s="8"/>
      <c r="D986" s="8"/>
      <c r="E986" s="8"/>
      <c r="F986" s="8"/>
      <c r="G986" s="8"/>
      <c r="H986" s="8"/>
      <c r="I986" s="8" t="s">
        <v>3430</v>
      </c>
      <c r="J986" s="8" t="s">
        <v>72</v>
      </c>
      <c r="K986" s="8" t="s">
        <v>3151</v>
      </c>
      <c r="L986" s="8" t="s">
        <v>3386</v>
      </c>
      <c r="M986" s="8"/>
      <c r="N986" s="8" t="s">
        <v>62</v>
      </c>
      <c r="O986" s="8" t="s">
        <v>63</v>
      </c>
      <c r="P986" s="4" t="n">
        <v>40</v>
      </c>
      <c r="Q986" s="8"/>
      <c r="R986" s="4" t="s">
        <v>3429</v>
      </c>
      <c r="S986" s="4"/>
    </row>
    <row r="987" customFormat="false" ht="26.85" hidden="false" customHeight="false" outlineLevel="0" collapsed="false">
      <c r="A987" s="4" t="s">
        <v>3431</v>
      </c>
      <c r="B987" s="8" t="s">
        <v>3432</v>
      </c>
      <c r="C987" s="8" t="s">
        <v>58</v>
      </c>
      <c r="D987" s="8"/>
      <c r="E987" s="8" t="s">
        <v>60</v>
      </c>
      <c r="F987" s="8"/>
      <c r="G987" s="8"/>
      <c r="H987" s="8"/>
      <c r="I987" s="8" t="s">
        <v>3433</v>
      </c>
      <c r="J987" s="8" t="s">
        <v>72</v>
      </c>
      <c r="K987" s="8" t="s">
        <v>3151</v>
      </c>
      <c r="L987" s="8" t="s">
        <v>3386</v>
      </c>
      <c r="M987" s="8"/>
      <c r="N987" s="8" t="s">
        <v>62</v>
      </c>
      <c r="O987" s="8" t="s">
        <v>63</v>
      </c>
      <c r="P987" s="4" t="n">
        <v>41</v>
      </c>
      <c r="Q987" s="8"/>
      <c r="R987" s="4" t="s">
        <v>3434</v>
      </c>
      <c r="S987" s="4"/>
    </row>
    <row r="988" customFormat="false" ht="26.85" hidden="false" customHeight="false" outlineLevel="0" collapsed="false">
      <c r="A988" s="4" t="s">
        <v>3435</v>
      </c>
      <c r="B988" s="8" t="s">
        <v>3436</v>
      </c>
      <c r="C988" s="8"/>
      <c r="D988" s="8"/>
      <c r="E988" s="8"/>
      <c r="F988" s="8"/>
      <c r="G988" s="8"/>
      <c r="H988" s="8"/>
      <c r="I988" s="8" t="s">
        <v>3437</v>
      </c>
      <c r="J988" s="8" t="s">
        <v>72</v>
      </c>
      <c r="K988" s="8" t="s">
        <v>3151</v>
      </c>
      <c r="L988" s="8" t="s">
        <v>3386</v>
      </c>
      <c r="M988" s="8"/>
      <c r="N988" s="8" t="s">
        <v>62</v>
      </c>
      <c r="O988" s="8" t="s">
        <v>63</v>
      </c>
      <c r="P988" s="4" t="n">
        <v>41</v>
      </c>
      <c r="Q988" s="8"/>
      <c r="R988" s="4" t="s">
        <v>3436</v>
      </c>
      <c r="S988" s="4"/>
    </row>
    <row r="989" customFormat="false" ht="26.85" hidden="false" customHeight="false" outlineLevel="0" collapsed="false">
      <c r="A989" s="4" t="s">
        <v>3438</v>
      </c>
      <c r="B989" s="8" t="s">
        <v>3439</v>
      </c>
      <c r="C989" s="8"/>
      <c r="D989" s="8"/>
      <c r="E989" s="8"/>
      <c r="F989" s="8"/>
      <c r="G989" s="8"/>
      <c r="H989" s="8"/>
      <c r="I989" s="8" t="s">
        <v>3440</v>
      </c>
      <c r="J989" s="8" t="s">
        <v>72</v>
      </c>
      <c r="K989" s="8" t="s">
        <v>3151</v>
      </c>
      <c r="L989" s="8" t="s">
        <v>3386</v>
      </c>
      <c r="M989" s="8"/>
      <c r="N989" s="8" t="s">
        <v>62</v>
      </c>
      <c r="O989" s="8" t="s">
        <v>63</v>
      </c>
      <c r="P989" s="4" t="n">
        <v>41</v>
      </c>
      <c r="Q989" s="8"/>
      <c r="R989" s="4" t="s">
        <v>3439</v>
      </c>
      <c r="S989" s="4" t="n">
        <v>632</v>
      </c>
    </row>
    <row r="990" customFormat="false" ht="26.85" hidden="false" customHeight="false" outlineLevel="0" collapsed="false">
      <c r="A990" s="4" t="s">
        <v>3441</v>
      </c>
      <c r="B990" s="8" t="s">
        <v>3442</v>
      </c>
      <c r="C990" s="8"/>
      <c r="D990" s="8"/>
      <c r="E990" s="8"/>
      <c r="F990" s="8"/>
      <c r="G990" s="8"/>
      <c r="H990" s="8"/>
      <c r="I990" s="8" t="s">
        <v>3443</v>
      </c>
      <c r="J990" s="8" t="s">
        <v>72</v>
      </c>
      <c r="K990" s="8" t="s">
        <v>3151</v>
      </c>
      <c r="L990" s="8" t="s">
        <v>3386</v>
      </c>
      <c r="M990" s="8"/>
      <c r="N990" s="8" t="s">
        <v>62</v>
      </c>
      <c r="O990" s="8" t="s">
        <v>63</v>
      </c>
      <c r="P990" s="4" t="n">
        <v>41</v>
      </c>
      <c r="Q990" s="8"/>
      <c r="R990" s="4" t="s">
        <v>3442</v>
      </c>
      <c r="S990" s="4"/>
    </row>
    <row r="991" customFormat="false" ht="26.85" hidden="false" customHeight="false" outlineLevel="0" collapsed="false">
      <c r="A991" s="4" t="s">
        <v>3444</v>
      </c>
      <c r="B991" s="8" t="s">
        <v>3445</v>
      </c>
      <c r="C991" s="8"/>
      <c r="D991" s="8"/>
      <c r="E991" s="8"/>
      <c r="F991" s="8"/>
      <c r="G991" s="8"/>
      <c r="H991" s="8"/>
      <c r="I991" s="8" t="s">
        <v>3446</v>
      </c>
      <c r="J991" s="8" t="s">
        <v>72</v>
      </c>
      <c r="K991" s="8" t="s">
        <v>3151</v>
      </c>
      <c r="L991" s="8" t="s">
        <v>3386</v>
      </c>
      <c r="M991" s="8"/>
      <c r="N991" s="8" t="s">
        <v>62</v>
      </c>
      <c r="O991" s="8" t="s">
        <v>63</v>
      </c>
      <c r="P991" s="4" t="n">
        <v>41</v>
      </c>
      <c r="Q991" s="8"/>
      <c r="R991" s="4" t="s">
        <v>3445</v>
      </c>
      <c r="S991" s="4"/>
    </row>
    <row r="992" customFormat="false" ht="26.85" hidden="false" customHeight="false" outlineLevel="0" collapsed="false">
      <c r="A992" s="4" t="s">
        <v>3447</v>
      </c>
      <c r="B992" s="8" t="s">
        <v>3448</v>
      </c>
      <c r="C992" s="8" t="s">
        <v>58</v>
      </c>
      <c r="D992" s="8"/>
      <c r="E992" s="8" t="s">
        <v>60</v>
      </c>
      <c r="F992" s="8"/>
      <c r="G992" s="8"/>
      <c r="H992" s="8"/>
      <c r="I992" s="8" t="s">
        <v>3449</v>
      </c>
      <c r="J992" s="8" t="s">
        <v>72</v>
      </c>
      <c r="K992" s="8" t="s">
        <v>3151</v>
      </c>
      <c r="L992" s="8" t="s">
        <v>3386</v>
      </c>
      <c r="M992" s="8"/>
      <c r="N992" s="8" t="s">
        <v>62</v>
      </c>
      <c r="O992" s="8" t="s">
        <v>63</v>
      </c>
      <c r="P992" s="4" t="n">
        <v>41</v>
      </c>
      <c r="Q992" s="8"/>
      <c r="R992" s="4" t="s">
        <v>3450</v>
      </c>
      <c r="S992" s="4" t="n">
        <v>1544</v>
      </c>
    </row>
    <row r="993" customFormat="false" ht="26.85" hidden="false" customHeight="false" outlineLevel="0" collapsed="false">
      <c r="A993" s="4" t="s">
        <v>3451</v>
      </c>
      <c r="B993" s="8" t="s">
        <v>3452</v>
      </c>
      <c r="C993" s="8" t="s">
        <v>58</v>
      </c>
      <c r="D993" s="8"/>
      <c r="E993" s="8" t="s">
        <v>60</v>
      </c>
      <c r="F993" s="8"/>
      <c r="G993" s="8"/>
      <c r="H993" s="8"/>
      <c r="I993" s="8" t="s">
        <v>3453</v>
      </c>
      <c r="J993" s="8" t="s">
        <v>72</v>
      </c>
      <c r="K993" s="8" t="s">
        <v>3151</v>
      </c>
      <c r="L993" s="8" t="s">
        <v>3454</v>
      </c>
      <c r="M993" s="8"/>
      <c r="N993" s="8" t="s">
        <v>62</v>
      </c>
      <c r="O993" s="8" t="s">
        <v>63</v>
      </c>
      <c r="P993" s="4" t="n">
        <v>41</v>
      </c>
      <c r="Q993" s="8"/>
      <c r="R993" s="4" t="s">
        <v>3455</v>
      </c>
      <c r="S993" s="4"/>
    </row>
    <row r="994" customFormat="false" ht="26.85" hidden="false" customHeight="false" outlineLevel="0" collapsed="false">
      <c r="A994" s="4" t="s">
        <v>3456</v>
      </c>
      <c r="B994" s="8" t="s">
        <v>3457</v>
      </c>
      <c r="C994" s="8"/>
      <c r="D994" s="8"/>
      <c r="E994" s="8"/>
      <c r="F994" s="8"/>
      <c r="G994" s="8"/>
      <c r="H994" s="8"/>
      <c r="I994" s="8" t="s">
        <v>3458</v>
      </c>
      <c r="J994" s="8" t="s">
        <v>72</v>
      </c>
      <c r="K994" s="8" t="s">
        <v>3151</v>
      </c>
      <c r="L994" s="8" t="s">
        <v>3454</v>
      </c>
      <c r="M994" s="8"/>
      <c r="N994" s="8" t="s">
        <v>62</v>
      </c>
      <c r="O994" s="8" t="s">
        <v>63</v>
      </c>
      <c r="P994" s="4" t="n">
        <v>41</v>
      </c>
      <c r="Q994" s="8"/>
      <c r="R994" s="4" t="s">
        <v>3457</v>
      </c>
      <c r="S994" s="4"/>
    </row>
    <row r="995" customFormat="false" ht="26.85" hidden="false" customHeight="false" outlineLevel="0" collapsed="false">
      <c r="A995" s="4" t="s">
        <v>3459</v>
      </c>
      <c r="B995" s="8" t="s">
        <v>3460</v>
      </c>
      <c r="C995" s="8" t="s">
        <v>58</v>
      </c>
      <c r="D995" s="8"/>
      <c r="E995" s="8" t="s">
        <v>60</v>
      </c>
      <c r="F995" s="8"/>
      <c r="G995" s="8"/>
      <c r="H995" s="8"/>
      <c r="I995" s="8" t="s">
        <v>3461</v>
      </c>
      <c r="J995" s="8" t="s">
        <v>72</v>
      </c>
      <c r="K995" s="8" t="s">
        <v>3151</v>
      </c>
      <c r="L995" s="8" t="s">
        <v>3454</v>
      </c>
      <c r="M995" s="8"/>
      <c r="N995" s="8" t="s">
        <v>62</v>
      </c>
      <c r="O995" s="8" t="s">
        <v>63</v>
      </c>
      <c r="P995" s="4" t="n">
        <v>41</v>
      </c>
      <c r="Q995" s="8"/>
      <c r="R995" s="4" t="s">
        <v>3462</v>
      </c>
      <c r="S995" s="4" t="n">
        <v>1857</v>
      </c>
    </row>
    <row r="996" customFormat="false" ht="26.85" hidden="false" customHeight="false" outlineLevel="0" collapsed="false">
      <c r="A996" s="4" t="s">
        <v>3463</v>
      </c>
      <c r="B996" s="8" t="s">
        <v>3464</v>
      </c>
      <c r="C996" s="8" t="s">
        <v>58</v>
      </c>
      <c r="D996" s="8"/>
      <c r="E996" s="8" t="s">
        <v>60</v>
      </c>
      <c r="F996" s="8"/>
      <c r="G996" s="8"/>
      <c r="H996" s="8"/>
      <c r="I996" s="8" t="s">
        <v>3464</v>
      </c>
      <c r="J996" s="8" t="s">
        <v>72</v>
      </c>
      <c r="K996" s="8" t="s">
        <v>3151</v>
      </c>
      <c r="L996" s="8" t="s">
        <v>3454</v>
      </c>
      <c r="M996" s="8"/>
      <c r="N996" s="8" t="s">
        <v>62</v>
      </c>
      <c r="O996" s="8" t="s">
        <v>63</v>
      </c>
      <c r="P996" s="4" t="n">
        <v>41</v>
      </c>
      <c r="Q996" s="8"/>
      <c r="R996" s="4" t="s">
        <v>3465</v>
      </c>
      <c r="S996" s="4" t="n">
        <v>2805</v>
      </c>
    </row>
    <row r="997" customFormat="false" ht="26.85" hidden="false" customHeight="false" outlineLevel="0" collapsed="false">
      <c r="A997" s="4" t="s">
        <v>3466</v>
      </c>
      <c r="B997" s="8" t="s">
        <v>3467</v>
      </c>
      <c r="C997" s="8" t="s">
        <v>58</v>
      </c>
      <c r="D997" s="8"/>
      <c r="E997" s="8" t="s">
        <v>60</v>
      </c>
      <c r="F997" s="8"/>
      <c r="G997" s="8"/>
      <c r="H997" s="8"/>
      <c r="I997" s="8" t="s">
        <v>3468</v>
      </c>
      <c r="J997" s="8" t="s">
        <v>72</v>
      </c>
      <c r="K997" s="8" t="s">
        <v>3151</v>
      </c>
      <c r="L997" s="8" t="s">
        <v>3454</v>
      </c>
      <c r="M997" s="8"/>
      <c r="N997" s="8" t="s">
        <v>62</v>
      </c>
      <c r="O997" s="8" t="s">
        <v>63</v>
      </c>
      <c r="P997" s="4" t="n">
        <v>41</v>
      </c>
      <c r="Q997" s="8"/>
      <c r="R997" s="4" t="s">
        <v>3469</v>
      </c>
      <c r="S997" s="4" t="n">
        <v>2805</v>
      </c>
    </row>
    <row r="998" customFormat="false" ht="26.85" hidden="false" customHeight="false" outlineLevel="0" collapsed="false">
      <c r="A998" s="4" t="s">
        <v>3470</v>
      </c>
      <c r="B998" s="8" t="s">
        <v>3471</v>
      </c>
      <c r="C998" s="8" t="s">
        <v>58</v>
      </c>
      <c r="D998" s="8"/>
      <c r="E998" s="8" t="s">
        <v>60</v>
      </c>
      <c r="F998" s="8"/>
      <c r="G998" s="8"/>
      <c r="H998" s="8"/>
      <c r="I998" s="8" t="s">
        <v>3472</v>
      </c>
      <c r="J998" s="8" t="s">
        <v>72</v>
      </c>
      <c r="K998" s="8" t="s">
        <v>3151</v>
      </c>
      <c r="L998" s="8" t="s">
        <v>3454</v>
      </c>
      <c r="M998" s="8"/>
      <c r="N998" s="8" t="s">
        <v>62</v>
      </c>
      <c r="O998" s="8" t="s">
        <v>63</v>
      </c>
      <c r="P998" s="4" t="n">
        <v>41</v>
      </c>
      <c r="Q998" s="8"/>
      <c r="R998" s="4" t="s">
        <v>3473</v>
      </c>
      <c r="S998" s="4"/>
    </row>
    <row r="999" customFormat="false" ht="26.85" hidden="false" customHeight="false" outlineLevel="0" collapsed="false">
      <c r="A999" s="4" t="s">
        <v>3474</v>
      </c>
      <c r="B999" s="8" t="s">
        <v>3475</v>
      </c>
      <c r="C999" s="8" t="s">
        <v>58</v>
      </c>
      <c r="D999" s="8"/>
      <c r="E999" s="8" t="s">
        <v>60</v>
      </c>
      <c r="F999" s="8"/>
      <c r="G999" s="8"/>
      <c r="H999" s="8"/>
      <c r="I999" s="8" t="s">
        <v>3476</v>
      </c>
      <c r="J999" s="8" t="s">
        <v>72</v>
      </c>
      <c r="K999" s="8" t="s">
        <v>3151</v>
      </c>
      <c r="L999" s="8" t="s">
        <v>3454</v>
      </c>
      <c r="M999" s="8"/>
      <c r="N999" s="8" t="s">
        <v>62</v>
      </c>
      <c r="O999" s="8" t="s">
        <v>63</v>
      </c>
      <c r="P999" s="4" t="n">
        <v>41</v>
      </c>
      <c r="Q999" s="8"/>
      <c r="R999" s="4" t="s">
        <v>3477</v>
      </c>
      <c r="S999" s="4" t="n">
        <v>2120</v>
      </c>
    </row>
    <row r="1000" customFormat="false" ht="26.85" hidden="false" customHeight="false" outlineLevel="0" collapsed="false">
      <c r="A1000" s="4" t="s">
        <v>3478</v>
      </c>
      <c r="B1000" s="8" t="s">
        <v>3479</v>
      </c>
      <c r="C1000" s="8" t="s">
        <v>58</v>
      </c>
      <c r="D1000" s="8"/>
      <c r="E1000" s="8" t="s">
        <v>60</v>
      </c>
      <c r="F1000" s="8"/>
      <c r="G1000" s="8"/>
      <c r="H1000" s="8"/>
      <c r="I1000" s="8" t="s">
        <v>3480</v>
      </c>
      <c r="J1000" s="8" t="s">
        <v>72</v>
      </c>
      <c r="K1000" s="8" t="s">
        <v>3151</v>
      </c>
      <c r="L1000" s="8" t="s">
        <v>3454</v>
      </c>
      <c r="M1000" s="8"/>
      <c r="N1000" s="8" t="s">
        <v>62</v>
      </c>
      <c r="O1000" s="8" t="s">
        <v>63</v>
      </c>
      <c r="P1000" s="4" t="n">
        <v>41</v>
      </c>
      <c r="Q1000" s="8"/>
      <c r="R1000" s="4" t="s">
        <v>3481</v>
      </c>
      <c r="S1000" s="4"/>
    </row>
    <row r="1001" customFormat="false" ht="26.85" hidden="false" customHeight="false" outlineLevel="0" collapsed="false">
      <c r="A1001" s="4" t="s">
        <v>3482</v>
      </c>
      <c r="B1001" s="8" t="s">
        <v>3483</v>
      </c>
      <c r="C1001" s="8" t="s">
        <v>58</v>
      </c>
      <c r="D1001" s="8"/>
      <c r="E1001" s="8" t="s">
        <v>60</v>
      </c>
      <c r="F1001" s="8"/>
      <c r="G1001" s="8"/>
      <c r="H1001" s="8"/>
      <c r="I1001" s="8" t="s">
        <v>3484</v>
      </c>
      <c r="J1001" s="8" t="s">
        <v>72</v>
      </c>
      <c r="K1001" s="8" t="s">
        <v>3151</v>
      </c>
      <c r="L1001" s="8" t="s">
        <v>3454</v>
      </c>
      <c r="M1001" s="8"/>
      <c r="N1001" s="8" t="s">
        <v>62</v>
      </c>
      <c r="O1001" s="8" t="s">
        <v>63</v>
      </c>
      <c r="P1001" s="4" t="n">
        <v>41</v>
      </c>
      <c r="Q1001" s="8"/>
      <c r="R1001" s="4" t="s">
        <v>3485</v>
      </c>
      <c r="S1001" s="4"/>
    </row>
    <row r="1002" customFormat="false" ht="26.85" hidden="false" customHeight="false" outlineLevel="0" collapsed="false">
      <c r="A1002" s="4" t="s">
        <v>3486</v>
      </c>
      <c r="B1002" s="8" t="s">
        <v>3487</v>
      </c>
      <c r="C1002" s="8"/>
      <c r="D1002" s="8"/>
      <c r="E1002" s="8"/>
      <c r="F1002" s="8"/>
      <c r="G1002" s="8"/>
      <c r="H1002" s="8"/>
      <c r="I1002" s="8" t="s">
        <v>3488</v>
      </c>
      <c r="J1002" s="8" t="s">
        <v>72</v>
      </c>
      <c r="K1002" s="8" t="s">
        <v>3151</v>
      </c>
      <c r="L1002" s="8" t="s">
        <v>3454</v>
      </c>
      <c r="M1002" s="8"/>
      <c r="N1002" s="8" t="s">
        <v>62</v>
      </c>
      <c r="O1002" s="8" t="s">
        <v>63</v>
      </c>
      <c r="P1002" s="4" t="n">
        <v>41</v>
      </c>
      <c r="Q1002" s="8"/>
      <c r="R1002" s="4" t="s">
        <v>3487</v>
      </c>
      <c r="S1002" s="4"/>
    </row>
    <row r="1003" customFormat="false" ht="26.85" hidden="false" customHeight="false" outlineLevel="0" collapsed="false">
      <c r="A1003" s="4" t="s">
        <v>3489</v>
      </c>
      <c r="B1003" s="8" t="s">
        <v>3490</v>
      </c>
      <c r="C1003" s="8"/>
      <c r="D1003" s="8"/>
      <c r="E1003" s="8"/>
      <c r="F1003" s="8"/>
      <c r="G1003" s="8"/>
      <c r="H1003" s="8"/>
      <c r="I1003" s="8" t="s">
        <v>3491</v>
      </c>
      <c r="J1003" s="8" t="s">
        <v>72</v>
      </c>
      <c r="K1003" s="8" t="s">
        <v>3151</v>
      </c>
      <c r="L1003" s="8" t="s">
        <v>3454</v>
      </c>
      <c r="M1003" s="8"/>
      <c r="N1003" s="8" t="s">
        <v>62</v>
      </c>
      <c r="O1003" s="8" t="s">
        <v>63</v>
      </c>
      <c r="P1003" s="4" t="n">
        <v>41</v>
      </c>
      <c r="Q1003" s="8"/>
      <c r="R1003" s="4" t="s">
        <v>3490</v>
      </c>
      <c r="S1003" s="4"/>
    </row>
    <row r="1004" customFormat="false" ht="26.85" hidden="false" customHeight="false" outlineLevel="0" collapsed="false">
      <c r="A1004" s="4" t="s">
        <v>3492</v>
      </c>
      <c r="B1004" s="8" t="s">
        <v>3493</v>
      </c>
      <c r="C1004" s="8"/>
      <c r="D1004" s="8"/>
      <c r="E1004" s="8"/>
      <c r="F1004" s="8"/>
      <c r="G1004" s="8"/>
      <c r="H1004" s="8"/>
      <c r="I1004" s="8" t="s">
        <v>3494</v>
      </c>
      <c r="J1004" s="8" t="s">
        <v>72</v>
      </c>
      <c r="K1004" s="8" t="s">
        <v>3151</v>
      </c>
      <c r="L1004" s="8" t="s">
        <v>3454</v>
      </c>
      <c r="M1004" s="8"/>
      <c r="N1004" s="8" t="s">
        <v>62</v>
      </c>
      <c r="O1004" s="8" t="s">
        <v>63</v>
      </c>
      <c r="P1004" s="4" t="n">
        <v>41</v>
      </c>
      <c r="Q1004" s="8"/>
      <c r="R1004" s="4" t="s">
        <v>3493</v>
      </c>
      <c r="S1004" s="4"/>
    </row>
    <row r="1005" customFormat="false" ht="26.85" hidden="false" customHeight="false" outlineLevel="0" collapsed="false">
      <c r="A1005" s="4" t="s">
        <v>3495</v>
      </c>
      <c r="B1005" s="8" t="s">
        <v>3496</v>
      </c>
      <c r="C1005" s="8" t="s">
        <v>58</v>
      </c>
      <c r="D1005" s="8"/>
      <c r="E1005" s="8" t="s">
        <v>60</v>
      </c>
      <c r="F1005" s="8"/>
      <c r="G1005" s="8"/>
      <c r="H1005" s="8"/>
      <c r="I1005" s="8" t="s">
        <v>3497</v>
      </c>
      <c r="J1005" s="8" t="s">
        <v>72</v>
      </c>
      <c r="K1005" s="8" t="s">
        <v>3151</v>
      </c>
      <c r="L1005" s="8" t="s">
        <v>3454</v>
      </c>
      <c r="M1005" s="8"/>
      <c r="N1005" s="8" t="s">
        <v>62</v>
      </c>
      <c r="O1005" s="8" t="s">
        <v>63</v>
      </c>
      <c r="P1005" s="4" t="n">
        <v>41</v>
      </c>
      <c r="Q1005" s="8"/>
      <c r="R1005" s="4" t="s">
        <v>3498</v>
      </c>
      <c r="S1005" s="4"/>
    </row>
    <row r="1006" customFormat="false" ht="26.85" hidden="false" customHeight="false" outlineLevel="0" collapsed="false">
      <c r="A1006" s="4" t="s">
        <v>3499</v>
      </c>
      <c r="B1006" s="8" t="s">
        <v>3500</v>
      </c>
      <c r="C1006" s="8" t="s">
        <v>58</v>
      </c>
      <c r="D1006" s="8"/>
      <c r="E1006" s="8" t="s">
        <v>60</v>
      </c>
      <c r="F1006" s="8"/>
      <c r="G1006" s="8"/>
      <c r="H1006" s="8"/>
      <c r="I1006" s="8" t="s">
        <v>3501</v>
      </c>
      <c r="J1006" s="8" t="s">
        <v>72</v>
      </c>
      <c r="K1006" s="8" t="s">
        <v>3151</v>
      </c>
      <c r="L1006" s="8" t="s">
        <v>3454</v>
      </c>
      <c r="M1006" s="8"/>
      <c r="N1006" s="8" t="s">
        <v>62</v>
      </c>
      <c r="O1006" s="8" t="s">
        <v>63</v>
      </c>
      <c r="P1006" s="4" t="n">
        <v>41</v>
      </c>
      <c r="Q1006" s="8"/>
      <c r="R1006" s="4" t="s">
        <v>3502</v>
      </c>
      <c r="S1006" s="4"/>
    </row>
    <row r="1007" customFormat="false" ht="26.85" hidden="false" customHeight="false" outlineLevel="0" collapsed="false">
      <c r="A1007" s="4" t="s">
        <v>3503</v>
      </c>
      <c r="B1007" s="8" t="s">
        <v>3504</v>
      </c>
      <c r="C1007" s="8" t="s">
        <v>58</v>
      </c>
      <c r="D1007" s="8"/>
      <c r="E1007" s="8" t="s">
        <v>60</v>
      </c>
      <c r="F1007" s="8"/>
      <c r="G1007" s="8"/>
      <c r="H1007" s="8"/>
      <c r="I1007" s="8" t="s">
        <v>3505</v>
      </c>
      <c r="J1007" s="8" t="s">
        <v>72</v>
      </c>
      <c r="K1007" s="8" t="s">
        <v>3151</v>
      </c>
      <c r="L1007" s="8" t="s">
        <v>3454</v>
      </c>
      <c r="M1007" s="8"/>
      <c r="N1007" s="8" t="s">
        <v>62</v>
      </c>
      <c r="O1007" s="8" t="s">
        <v>63</v>
      </c>
      <c r="P1007" s="4" t="n">
        <v>41</v>
      </c>
      <c r="Q1007" s="8"/>
      <c r="R1007" s="4" t="s">
        <v>3506</v>
      </c>
      <c r="S1007" s="4"/>
    </row>
    <row r="1008" customFormat="false" ht="26.85" hidden="false" customHeight="false" outlineLevel="0" collapsed="false">
      <c r="A1008" s="4" t="s">
        <v>3507</v>
      </c>
      <c r="B1008" s="8" t="s">
        <v>3508</v>
      </c>
      <c r="C1008" s="8"/>
      <c r="D1008" s="8"/>
      <c r="E1008" s="8"/>
      <c r="F1008" s="8"/>
      <c r="G1008" s="8"/>
      <c r="H1008" s="8"/>
      <c r="I1008" s="8" t="s">
        <v>3509</v>
      </c>
      <c r="J1008" s="8" t="s">
        <v>72</v>
      </c>
      <c r="K1008" s="8" t="s">
        <v>3151</v>
      </c>
      <c r="L1008" s="8" t="s">
        <v>3454</v>
      </c>
      <c r="M1008" s="8"/>
      <c r="N1008" s="8" t="s">
        <v>62</v>
      </c>
      <c r="O1008" s="8" t="s">
        <v>63</v>
      </c>
      <c r="P1008" s="4" t="n">
        <v>41</v>
      </c>
      <c r="Q1008" s="8"/>
      <c r="R1008" s="4" t="s">
        <v>3508</v>
      </c>
      <c r="S1008" s="4"/>
    </row>
    <row r="1009" customFormat="false" ht="26.85" hidden="false" customHeight="false" outlineLevel="0" collapsed="false">
      <c r="A1009" s="4" t="s">
        <v>3510</v>
      </c>
      <c r="B1009" s="8" t="s">
        <v>3511</v>
      </c>
      <c r="C1009" s="8" t="s">
        <v>58</v>
      </c>
      <c r="D1009" s="8"/>
      <c r="E1009" s="8" t="s">
        <v>60</v>
      </c>
      <c r="F1009" s="8"/>
      <c r="G1009" s="8"/>
      <c r="H1009" s="8"/>
      <c r="I1009" s="8" t="s">
        <v>3512</v>
      </c>
      <c r="J1009" s="8" t="s">
        <v>72</v>
      </c>
      <c r="K1009" s="8" t="s">
        <v>3151</v>
      </c>
      <c r="L1009" s="8" t="s">
        <v>3454</v>
      </c>
      <c r="M1009" s="8"/>
      <c r="N1009" s="8" t="s">
        <v>62</v>
      </c>
      <c r="O1009" s="8" t="s">
        <v>63</v>
      </c>
      <c r="P1009" s="4" t="n">
        <v>41</v>
      </c>
      <c r="Q1009" s="8"/>
      <c r="R1009" s="4" t="s">
        <v>3513</v>
      </c>
      <c r="S1009" s="4"/>
    </row>
    <row r="1010" customFormat="false" ht="26.85" hidden="false" customHeight="false" outlineLevel="0" collapsed="false">
      <c r="A1010" s="4" t="s">
        <v>3514</v>
      </c>
      <c r="B1010" s="8" t="s">
        <v>3515</v>
      </c>
      <c r="C1010" s="8" t="s">
        <v>58</v>
      </c>
      <c r="D1010" s="8"/>
      <c r="E1010" s="8" t="s">
        <v>60</v>
      </c>
      <c r="F1010" s="8"/>
      <c r="G1010" s="8"/>
      <c r="H1010" s="8"/>
      <c r="I1010" s="8" t="s">
        <v>3516</v>
      </c>
      <c r="J1010" s="8" t="s">
        <v>72</v>
      </c>
      <c r="K1010" s="8" t="s">
        <v>3151</v>
      </c>
      <c r="L1010" s="8" t="s">
        <v>3454</v>
      </c>
      <c r="M1010" s="8"/>
      <c r="N1010" s="8" t="s">
        <v>62</v>
      </c>
      <c r="O1010" s="8" t="s">
        <v>63</v>
      </c>
      <c r="P1010" s="4" t="n">
        <v>41</v>
      </c>
      <c r="Q1010" s="8"/>
      <c r="R1010" s="4" t="s">
        <v>3517</v>
      </c>
      <c r="S1010" s="4" t="n">
        <v>4115</v>
      </c>
    </row>
    <row r="1011" customFormat="false" ht="26.85" hidden="false" customHeight="false" outlineLevel="0" collapsed="false">
      <c r="A1011" s="4" t="s">
        <v>3518</v>
      </c>
      <c r="B1011" s="8" t="s">
        <v>3519</v>
      </c>
      <c r="C1011" s="8" t="s">
        <v>58</v>
      </c>
      <c r="D1011" s="8"/>
      <c r="E1011" s="8" t="s">
        <v>60</v>
      </c>
      <c r="F1011" s="8"/>
      <c r="G1011" s="8"/>
      <c r="H1011" s="8"/>
      <c r="I1011" s="8" t="s">
        <v>3520</v>
      </c>
      <c r="J1011" s="8" t="s">
        <v>72</v>
      </c>
      <c r="K1011" s="8" t="s">
        <v>3151</v>
      </c>
      <c r="L1011" s="8" t="s">
        <v>3454</v>
      </c>
      <c r="M1011" s="8"/>
      <c r="N1011" s="8" t="s">
        <v>62</v>
      </c>
      <c r="O1011" s="8" t="s">
        <v>63</v>
      </c>
      <c r="P1011" s="4" t="n">
        <v>41</v>
      </c>
      <c r="Q1011" s="8"/>
      <c r="R1011" s="4" t="s">
        <v>3521</v>
      </c>
      <c r="S1011" s="4"/>
    </row>
    <row r="1012" customFormat="false" ht="26.85" hidden="false" customHeight="false" outlineLevel="0" collapsed="false">
      <c r="A1012" s="4" t="s">
        <v>3522</v>
      </c>
      <c r="B1012" s="8" t="s">
        <v>3523</v>
      </c>
      <c r="C1012" s="8" t="s">
        <v>58</v>
      </c>
      <c r="D1012" s="8"/>
      <c r="E1012" s="8" t="s">
        <v>60</v>
      </c>
      <c r="F1012" s="8"/>
      <c r="G1012" s="8"/>
      <c r="H1012" s="8"/>
      <c r="I1012" s="8" t="s">
        <v>3524</v>
      </c>
      <c r="J1012" s="8" t="s">
        <v>72</v>
      </c>
      <c r="K1012" s="8" t="s">
        <v>3151</v>
      </c>
      <c r="L1012" s="8" t="s">
        <v>3454</v>
      </c>
      <c r="M1012" s="8"/>
      <c r="N1012" s="8" t="s">
        <v>62</v>
      </c>
      <c r="O1012" s="8" t="s">
        <v>63</v>
      </c>
      <c r="P1012" s="4" t="n">
        <v>41</v>
      </c>
      <c r="Q1012" s="8"/>
      <c r="R1012" s="4" t="s">
        <v>3525</v>
      </c>
      <c r="S1012" s="4" t="n">
        <v>6506</v>
      </c>
    </row>
    <row r="1013" customFormat="false" ht="26.85" hidden="false" customHeight="false" outlineLevel="0" collapsed="false">
      <c r="A1013" s="4" t="s">
        <v>3526</v>
      </c>
      <c r="B1013" s="8" t="s">
        <v>3527</v>
      </c>
      <c r="C1013" s="8" t="s">
        <v>58</v>
      </c>
      <c r="D1013" s="8"/>
      <c r="E1013" s="8" t="s">
        <v>60</v>
      </c>
      <c r="F1013" s="8"/>
      <c r="G1013" s="8"/>
      <c r="H1013" s="8"/>
      <c r="I1013" s="8" t="s">
        <v>3528</v>
      </c>
      <c r="J1013" s="8" t="s">
        <v>72</v>
      </c>
      <c r="K1013" s="8" t="s">
        <v>3151</v>
      </c>
      <c r="L1013" s="8" t="s">
        <v>3454</v>
      </c>
      <c r="M1013" s="8"/>
      <c r="N1013" s="8" t="s">
        <v>62</v>
      </c>
      <c r="O1013" s="8" t="s">
        <v>63</v>
      </c>
      <c r="P1013" s="4" t="n">
        <v>41</v>
      </c>
      <c r="Q1013" s="8"/>
      <c r="R1013" s="4" t="s">
        <v>3529</v>
      </c>
      <c r="S1013" s="4"/>
    </row>
    <row r="1014" customFormat="false" ht="26.85" hidden="false" customHeight="false" outlineLevel="0" collapsed="false">
      <c r="A1014" s="4" t="s">
        <v>3530</v>
      </c>
      <c r="B1014" s="8" t="s">
        <v>3531</v>
      </c>
      <c r="C1014" s="8" t="s">
        <v>58</v>
      </c>
      <c r="D1014" s="8"/>
      <c r="E1014" s="8" t="s">
        <v>60</v>
      </c>
      <c r="F1014" s="8"/>
      <c r="G1014" s="8"/>
      <c r="H1014" s="8"/>
      <c r="I1014" s="8" t="s">
        <v>3532</v>
      </c>
      <c r="J1014" s="8" t="s">
        <v>72</v>
      </c>
      <c r="K1014" s="8" t="s">
        <v>3151</v>
      </c>
      <c r="L1014" s="8" t="s">
        <v>3454</v>
      </c>
      <c r="M1014" s="8"/>
      <c r="N1014" s="8" t="s">
        <v>62</v>
      </c>
      <c r="O1014" s="8" t="s">
        <v>63</v>
      </c>
      <c r="P1014" s="4" t="n">
        <v>41</v>
      </c>
      <c r="Q1014" s="8"/>
      <c r="R1014" s="4" t="s">
        <v>3533</v>
      </c>
      <c r="S1014" s="4"/>
    </row>
    <row r="1015" customFormat="false" ht="26.85" hidden="false" customHeight="false" outlineLevel="0" collapsed="false">
      <c r="A1015" s="4" t="s">
        <v>3534</v>
      </c>
      <c r="B1015" s="8" t="s">
        <v>3535</v>
      </c>
      <c r="C1015" s="8"/>
      <c r="D1015" s="8"/>
      <c r="E1015" s="8"/>
      <c r="F1015" s="8"/>
      <c r="G1015" s="8"/>
      <c r="H1015" s="8"/>
      <c r="I1015" s="8" t="s">
        <v>3536</v>
      </c>
      <c r="J1015" s="8" t="s">
        <v>72</v>
      </c>
      <c r="K1015" s="8" t="s">
        <v>3151</v>
      </c>
      <c r="L1015" s="8" t="s">
        <v>3454</v>
      </c>
      <c r="M1015" s="8"/>
      <c r="N1015" s="8" t="s">
        <v>62</v>
      </c>
      <c r="O1015" s="8" t="s">
        <v>63</v>
      </c>
      <c r="P1015" s="4" t="n">
        <v>41</v>
      </c>
      <c r="Q1015" s="8"/>
      <c r="R1015" s="4" t="s">
        <v>3535</v>
      </c>
      <c r="S1015" s="4" t="n">
        <v>3765</v>
      </c>
    </row>
    <row r="1016" customFormat="false" ht="26.85" hidden="false" customHeight="false" outlineLevel="0" collapsed="false">
      <c r="A1016" s="4" t="s">
        <v>3537</v>
      </c>
      <c r="B1016" s="8" t="s">
        <v>3538</v>
      </c>
      <c r="C1016" s="8" t="s">
        <v>58</v>
      </c>
      <c r="D1016" s="8"/>
      <c r="E1016" s="8" t="s">
        <v>60</v>
      </c>
      <c r="F1016" s="8"/>
      <c r="G1016" s="8"/>
      <c r="H1016" s="8"/>
      <c r="I1016" s="8" t="s">
        <v>3539</v>
      </c>
      <c r="J1016" s="8" t="s">
        <v>72</v>
      </c>
      <c r="K1016" s="8" t="s">
        <v>3151</v>
      </c>
      <c r="L1016" s="8" t="s">
        <v>3454</v>
      </c>
      <c r="M1016" s="8"/>
      <c r="N1016" s="8" t="s">
        <v>62</v>
      </c>
      <c r="O1016" s="8" t="s">
        <v>63</v>
      </c>
      <c r="P1016" s="4" t="n">
        <v>41</v>
      </c>
      <c r="Q1016" s="8"/>
      <c r="R1016" s="4" t="s">
        <v>3540</v>
      </c>
      <c r="S1016" s="4"/>
    </row>
    <row r="1017" customFormat="false" ht="26.85" hidden="false" customHeight="false" outlineLevel="0" collapsed="false">
      <c r="A1017" s="4" t="s">
        <v>3541</v>
      </c>
      <c r="B1017" s="8" t="s">
        <v>3542</v>
      </c>
      <c r="C1017" s="8" t="s">
        <v>58</v>
      </c>
      <c r="D1017" s="8"/>
      <c r="E1017" s="8" t="s">
        <v>60</v>
      </c>
      <c r="F1017" s="8"/>
      <c r="G1017" s="8"/>
      <c r="H1017" s="8"/>
      <c r="I1017" s="8" t="s">
        <v>3543</v>
      </c>
      <c r="J1017" s="8" t="s">
        <v>72</v>
      </c>
      <c r="K1017" s="8" t="s">
        <v>3151</v>
      </c>
      <c r="L1017" s="8" t="s">
        <v>3454</v>
      </c>
      <c r="M1017" s="8"/>
      <c r="N1017" s="8" t="s">
        <v>62</v>
      </c>
      <c r="O1017" s="8" t="s">
        <v>63</v>
      </c>
      <c r="P1017" s="4" t="n">
        <v>41</v>
      </c>
      <c r="Q1017" s="8"/>
      <c r="R1017" s="4" t="s">
        <v>3544</v>
      </c>
      <c r="S1017" s="4" t="n">
        <v>995</v>
      </c>
    </row>
    <row r="1018" customFormat="false" ht="26.85" hidden="false" customHeight="false" outlineLevel="0" collapsed="false">
      <c r="A1018" s="4" t="s">
        <v>3545</v>
      </c>
      <c r="B1018" s="8" t="s">
        <v>3546</v>
      </c>
      <c r="C1018" s="8" t="s">
        <v>58</v>
      </c>
      <c r="D1018" s="8"/>
      <c r="E1018" s="8" t="s">
        <v>60</v>
      </c>
      <c r="F1018" s="8"/>
      <c r="G1018" s="8"/>
      <c r="H1018" s="8"/>
      <c r="I1018" s="8" t="s">
        <v>3547</v>
      </c>
      <c r="J1018" s="8" t="s">
        <v>72</v>
      </c>
      <c r="K1018" s="8" t="s">
        <v>3151</v>
      </c>
      <c r="L1018" s="8" t="s">
        <v>3548</v>
      </c>
      <c r="M1018" s="8"/>
      <c r="N1018" s="8" t="s">
        <v>62</v>
      </c>
      <c r="O1018" s="8" t="s">
        <v>63</v>
      </c>
      <c r="P1018" s="4" t="n">
        <v>41</v>
      </c>
      <c r="Q1018" s="8"/>
      <c r="R1018" s="4" t="s">
        <v>3549</v>
      </c>
      <c r="S1018" s="4"/>
    </row>
    <row r="1019" customFormat="false" ht="26.85" hidden="false" customHeight="false" outlineLevel="0" collapsed="false">
      <c r="A1019" s="4" t="s">
        <v>3550</v>
      </c>
      <c r="B1019" s="8" t="s">
        <v>3551</v>
      </c>
      <c r="C1019" s="8" t="s">
        <v>58</v>
      </c>
      <c r="D1019" s="8"/>
      <c r="E1019" s="8" t="s">
        <v>60</v>
      </c>
      <c r="F1019" s="8"/>
      <c r="G1019" s="8"/>
      <c r="H1019" s="8"/>
      <c r="I1019" s="8" t="s">
        <v>3552</v>
      </c>
      <c r="J1019" s="8" t="s">
        <v>72</v>
      </c>
      <c r="K1019" s="8" t="s">
        <v>3151</v>
      </c>
      <c r="L1019" s="8" t="s">
        <v>3548</v>
      </c>
      <c r="M1019" s="8"/>
      <c r="N1019" s="8" t="s">
        <v>62</v>
      </c>
      <c r="O1019" s="8" t="s">
        <v>63</v>
      </c>
      <c r="P1019" s="4" t="n">
        <v>41</v>
      </c>
      <c r="Q1019" s="8"/>
      <c r="R1019" s="4" t="s">
        <v>3553</v>
      </c>
      <c r="S1019" s="4"/>
    </row>
    <row r="1020" customFormat="false" ht="26.85" hidden="false" customHeight="false" outlineLevel="0" collapsed="false">
      <c r="A1020" s="4" t="s">
        <v>3554</v>
      </c>
      <c r="B1020" s="8" t="s">
        <v>3555</v>
      </c>
      <c r="C1020" s="8" t="s">
        <v>58</v>
      </c>
      <c r="D1020" s="8" t="s">
        <v>67</v>
      </c>
      <c r="E1020" s="8" t="s">
        <v>60</v>
      </c>
      <c r="F1020" s="8"/>
      <c r="G1020" s="8"/>
      <c r="H1020" s="8"/>
      <c r="I1020" s="8" t="s">
        <v>3556</v>
      </c>
      <c r="J1020" s="8" t="s">
        <v>72</v>
      </c>
      <c r="K1020" s="8" t="s">
        <v>3151</v>
      </c>
      <c r="L1020" s="8" t="s">
        <v>3548</v>
      </c>
      <c r="M1020" s="8"/>
      <c r="N1020" s="8" t="s">
        <v>62</v>
      </c>
      <c r="O1020" s="8" t="s">
        <v>63</v>
      </c>
      <c r="P1020" s="4" t="n">
        <v>41</v>
      </c>
      <c r="Q1020" s="8"/>
      <c r="R1020" s="4" t="s">
        <v>3557</v>
      </c>
      <c r="S1020" s="4"/>
    </row>
    <row r="1021" customFormat="false" ht="26.85" hidden="false" customHeight="false" outlineLevel="0" collapsed="false">
      <c r="A1021" s="4" t="s">
        <v>3558</v>
      </c>
      <c r="B1021" s="8" t="s">
        <v>3559</v>
      </c>
      <c r="C1021" s="8" t="s">
        <v>58</v>
      </c>
      <c r="D1021" s="8"/>
      <c r="E1021" s="8" t="s">
        <v>60</v>
      </c>
      <c r="F1021" s="8"/>
      <c r="G1021" s="8"/>
      <c r="H1021" s="8"/>
      <c r="I1021" s="8" t="s">
        <v>3560</v>
      </c>
      <c r="J1021" s="8" t="s">
        <v>72</v>
      </c>
      <c r="K1021" s="8" t="s">
        <v>3151</v>
      </c>
      <c r="L1021" s="8" t="s">
        <v>3548</v>
      </c>
      <c r="M1021" s="8"/>
      <c r="N1021" s="8" t="s">
        <v>62</v>
      </c>
      <c r="O1021" s="8" t="s">
        <v>63</v>
      </c>
      <c r="P1021" s="4" t="n">
        <v>41</v>
      </c>
      <c r="Q1021" s="8"/>
      <c r="R1021" s="4" t="s">
        <v>3561</v>
      </c>
      <c r="S1021" s="4"/>
    </row>
    <row r="1022" customFormat="false" ht="26.85" hidden="false" customHeight="false" outlineLevel="0" collapsed="false">
      <c r="A1022" s="4" t="s">
        <v>3562</v>
      </c>
      <c r="B1022" s="8" t="s">
        <v>3563</v>
      </c>
      <c r="C1022" s="8" t="s">
        <v>58</v>
      </c>
      <c r="D1022" s="8"/>
      <c r="E1022" s="8" t="s">
        <v>60</v>
      </c>
      <c r="F1022" s="8"/>
      <c r="G1022" s="8"/>
      <c r="H1022" s="8"/>
      <c r="I1022" s="8" t="s">
        <v>3564</v>
      </c>
      <c r="J1022" s="8" t="s">
        <v>72</v>
      </c>
      <c r="K1022" s="8" t="s">
        <v>3151</v>
      </c>
      <c r="L1022" s="8" t="s">
        <v>3548</v>
      </c>
      <c r="M1022" s="8"/>
      <c r="N1022" s="8" t="s">
        <v>62</v>
      </c>
      <c r="O1022" s="8" t="s">
        <v>63</v>
      </c>
      <c r="P1022" s="4" t="n">
        <v>41</v>
      </c>
      <c r="Q1022" s="8"/>
      <c r="R1022" s="4" t="s">
        <v>3565</v>
      </c>
      <c r="S1022" s="4"/>
    </row>
    <row r="1023" customFormat="false" ht="26.85" hidden="false" customHeight="false" outlineLevel="0" collapsed="false">
      <c r="A1023" s="4" t="s">
        <v>3566</v>
      </c>
      <c r="B1023" s="8" t="s">
        <v>3567</v>
      </c>
      <c r="C1023" s="8" t="s">
        <v>58</v>
      </c>
      <c r="D1023" s="8"/>
      <c r="E1023" s="8" t="s">
        <v>60</v>
      </c>
      <c r="F1023" s="8"/>
      <c r="G1023" s="8"/>
      <c r="H1023" s="8"/>
      <c r="I1023" s="8" t="s">
        <v>3568</v>
      </c>
      <c r="J1023" s="8" t="s">
        <v>72</v>
      </c>
      <c r="K1023" s="8" t="s">
        <v>3151</v>
      </c>
      <c r="L1023" s="8" t="s">
        <v>3548</v>
      </c>
      <c r="M1023" s="8"/>
      <c r="N1023" s="8" t="s">
        <v>62</v>
      </c>
      <c r="O1023" s="8" t="s">
        <v>63</v>
      </c>
      <c r="P1023" s="4" t="n">
        <v>41</v>
      </c>
      <c r="Q1023" s="8"/>
      <c r="R1023" s="4" t="s">
        <v>3569</v>
      </c>
      <c r="S1023" s="4"/>
    </row>
    <row r="1024" customFormat="false" ht="26.85" hidden="false" customHeight="false" outlineLevel="0" collapsed="false">
      <c r="A1024" s="4" t="s">
        <v>3570</v>
      </c>
      <c r="B1024" s="8" t="s">
        <v>3571</v>
      </c>
      <c r="C1024" s="8" t="s">
        <v>58</v>
      </c>
      <c r="D1024" s="8"/>
      <c r="E1024" s="8" t="s">
        <v>60</v>
      </c>
      <c r="F1024" s="8"/>
      <c r="G1024" s="8"/>
      <c r="H1024" s="8"/>
      <c r="I1024" s="8" t="s">
        <v>3572</v>
      </c>
      <c r="J1024" s="8" t="s">
        <v>72</v>
      </c>
      <c r="K1024" s="8" t="s">
        <v>3151</v>
      </c>
      <c r="L1024" s="8" t="s">
        <v>3548</v>
      </c>
      <c r="M1024" s="8"/>
      <c r="N1024" s="8" t="s">
        <v>62</v>
      </c>
      <c r="O1024" s="8" t="s">
        <v>63</v>
      </c>
      <c r="P1024" s="4" t="n">
        <v>41</v>
      </c>
      <c r="Q1024" s="8"/>
      <c r="R1024" s="4" t="s">
        <v>3573</v>
      </c>
      <c r="S1024" s="4"/>
    </row>
    <row r="1025" customFormat="false" ht="26.85" hidden="false" customHeight="false" outlineLevel="0" collapsed="false">
      <c r="A1025" s="4" t="s">
        <v>3574</v>
      </c>
      <c r="B1025" s="8" t="s">
        <v>3575</v>
      </c>
      <c r="C1025" s="8" t="s">
        <v>58</v>
      </c>
      <c r="D1025" s="8"/>
      <c r="E1025" s="8" t="s">
        <v>60</v>
      </c>
      <c r="F1025" s="8"/>
      <c r="G1025" s="8"/>
      <c r="H1025" s="8"/>
      <c r="I1025" s="8" t="s">
        <v>3576</v>
      </c>
      <c r="J1025" s="8" t="s">
        <v>72</v>
      </c>
      <c r="K1025" s="8" t="s">
        <v>3151</v>
      </c>
      <c r="L1025" s="8" t="s">
        <v>3548</v>
      </c>
      <c r="M1025" s="8"/>
      <c r="N1025" s="8" t="s">
        <v>62</v>
      </c>
      <c r="O1025" s="8" t="s">
        <v>63</v>
      </c>
      <c r="P1025" s="4" t="n">
        <v>41</v>
      </c>
      <c r="Q1025" s="8"/>
      <c r="R1025" s="4" t="s">
        <v>3577</v>
      </c>
      <c r="S1025" s="4"/>
    </row>
    <row r="1026" customFormat="false" ht="26.85" hidden="false" customHeight="false" outlineLevel="0" collapsed="false">
      <c r="A1026" s="4" t="s">
        <v>3578</v>
      </c>
      <c r="B1026" s="8" t="s">
        <v>1267</v>
      </c>
      <c r="C1026" s="8" t="s">
        <v>58</v>
      </c>
      <c r="D1026" s="8"/>
      <c r="E1026" s="8" t="s">
        <v>60</v>
      </c>
      <c r="F1026" s="8"/>
      <c r="G1026" s="8"/>
      <c r="H1026" s="8"/>
      <c r="I1026" s="8" t="s">
        <v>3579</v>
      </c>
      <c r="J1026" s="8" t="s">
        <v>72</v>
      </c>
      <c r="K1026" s="8" t="s">
        <v>3151</v>
      </c>
      <c r="L1026" s="8" t="s">
        <v>3580</v>
      </c>
      <c r="M1026" s="8"/>
      <c r="N1026" s="8" t="s">
        <v>62</v>
      </c>
      <c r="O1026" s="8" t="s">
        <v>63</v>
      </c>
      <c r="P1026" s="4" t="n">
        <v>42</v>
      </c>
      <c r="Q1026" s="8"/>
      <c r="R1026" s="4" t="s">
        <v>1269</v>
      </c>
      <c r="S1026" s="4"/>
    </row>
    <row r="1027" customFormat="false" ht="26.85" hidden="false" customHeight="false" outlineLevel="0" collapsed="false">
      <c r="A1027" s="4" t="s">
        <v>3581</v>
      </c>
      <c r="B1027" s="8" t="s">
        <v>3582</v>
      </c>
      <c r="C1027" s="8" t="s">
        <v>58</v>
      </c>
      <c r="D1027" s="8"/>
      <c r="E1027" s="8" t="s">
        <v>60</v>
      </c>
      <c r="F1027" s="8"/>
      <c r="G1027" s="8"/>
      <c r="H1027" s="8"/>
      <c r="I1027" s="8" t="s">
        <v>3583</v>
      </c>
      <c r="J1027" s="8" t="s">
        <v>72</v>
      </c>
      <c r="K1027" s="8" t="s">
        <v>3151</v>
      </c>
      <c r="L1027" s="8" t="s">
        <v>3580</v>
      </c>
      <c r="M1027" s="8"/>
      <c r="N1027" s="8" t="s">
        <v>62</v>
      </c>
      <c r="O1027" s="8" t="s">
        <v>63</v>
      </c>
      <c r="P1027" s="4" t="n">
        <v>42</v>
      </c>
      <c r="Q1027" s="8"/>
      <c r="R1027" s="4" t="s">
        <v>3584</v>
      </c>
      <c r="S1027" s="4"/>
    </row>
    <row r="1028" customFormat="false" ht="26.85" hidden="false" customHeight="false" outlineLevel="0" collapsed="false">
      <c r="A1028" s="4" t="s">
        <v>3585</v>
      </c>
      <c r="B1028" s="8" t="s">
        <v>3586</v>
      </c>
      <c r="C1028" s="8" t="s">
        <v>58</v>
      </c>
      <c r="D1028" s="8"/>
      <c r="E1028" s="8" t="s">
        <v>60</v>
      </c>
      <c r="F1028" s="8"/>
      <c r="G1028" s="8"/>
      <c r="H1028" s="8"/>
      <c r="I1028" s="8" t="s">
        <v>3587</v>
      </c>
      <c r="J1028" s="8" t="s">
        <v>72</v>
      </c>
      <c r="K1028" s="8" t="s">
        <v>3151</v>
      </c>
      <c r="L1028" s="8" t="s">
        <v>3580</v>
      </c>
      <c r="M1028" s="8"/>
      <c r="N1028" s="8" t="s">
        <v>62</v>
      </c>
      <c r="O1028" s="8" t="s">
        <v>63</v>
      </c>
      <c r="P1028" s="4" t="n">
        <v>42</v>
      </c>
      <c r="Q1028" s="8"/>
      <c r="R1028" s="4" t="s">
        <v>3588</v>
      </c>
      <c r="S1028" s="4"/>
    </row>
    <row r="1029" customFormat="false" ht="26.85" hidden="false" customHeight="false" outlineLevel="0" collapsed="false">
      <c r="A1029" s="4" t="s">
        <v>3589</v>
      </c>
      <c r="B1029" s="8" t="s">
        <v>3590</v>
      </c>
      <c r="C1029" s="8" t="s">
        <v>58</v>
      </c>
      <c r="D1029" s="8"/>
      <c r="E1029" s="8" t="s">
        <v>60</v>
      </c>
      <c r="F1029" s="8"/>
      <c r="G1029" s="8"/>
      <c r="H1029" s="8"/>
      <c r="I1029" s="8" t="s">
        <v>3591</v>
      </c>
      <c r="J1029" s="8" t="s">
        <v>72</v>
      </c>
      <c r="K1029" s="8" t="s">
        <v>3151</v>
      </c>
      <c r="L1029" s="8" t="s">
        <v>3580</v>
      </c>
      <c r="M1029" s="8"/>
      <c r="N1029" s="8" t="s">
        <v>62</v>
      </c>
      <c r="O1029" s="8" t="s">
        <v>63</v>
      </c>
      <c r="P1029" s="4" t="n">
        <v>42</v>
      </c>
      <c r="Q1029" s="8"/>
      <c r="R1029" s="4" t="s">
        <v>3592</v>
      </c>
      <c r="S1029" s="4" t="n">
        <v>444</v>
      </c>
    </row>
    <row r="1030" customFormat="false" ht="26.85" hidden="false" customHeight="false" outlineLevel="0" collapsed="false">
      <c r="A1030" s="4" t="s">
        <v>3593</v>
      </c>
      <c r="B1030" s="8" t="s">
        <v>3594</v>
      </c>
      <c r="C1030" s="8" t="s">
        <v>58</v>
      </c>
      <c r="D1030" s="8"/>
      <c r="E1030" s="8" t="s">
        <v>60</v>
      </c>
      <c r="F1030" s="8"/>
      <c r="G1030" s="8"/>
      <c r="H1030" s="8"/>
      <c r="I1030" s="8" t="s">
        <v>3595</v>
      </c>
      <c r="J1030" s="8" t="s">
        <v>72</v>
      </c>
      <c r="K1030" s="8" t="s">
        <v>3151</v>
      </c>
      <c r="L1030" s="8" t="s">
        <v>3580</v>
      </c>
      <c r="M1030" s="8"/>
      <c r="N1030" s="8" t="s">
        <v>62</v>
      </c>
      <c r="O1030" s="8" t="s">
        <v>63</v>
      </c>
      <c r="P1030" s="4" t="n">
        <v>42</v>
      </c>
      <c r="Q1030" s="8"/>
      <c r="R1030" s="4" t="s">
        <v>3596</v>
      </c>
      <c r="S1030" s="4"/>
    </row>
    <row r="1031" customFormat="false" ht="26.85" hidden="false" customHeight="false" outlineLevel="0" collapsed="false">
      <c r="A1031" s="4" t="s">
        <v>3597</v>
      </c>
      <c r="B1031" s="8" t="s">
        <v>3598</v>
      </c>
      <c r="C1031" s="8" t="s">
        <v>58</v>
      </c>
      <c r="D1031" s="8"/>
      <c r="E1031" s="8" t="s">
        <v>60</v>
      </c>
      <c r="F1031" s="8"/>
      <c r="G1031" s="8"/>
      <c r="H1031" s="8"/>
      <c r="I1031" s="8" t="s">
        <v>3599</v>
      </c>
      <c r="J1031" s="8" t="s">
        <v>72</v>
      </c>
      <c r="K1031" s="8" t="s">
        <v>3151</v>
      </c>
      <c r="L1031" s="8" t="s">
        <v>3580</v>
      </c>
      <c r="M1031" s="8"/>
      <c r="N1031" s="8" t="s">
        <v>62</v>
      </c>
      <c r="O1031" s="8" t="s">
        <v>63</v>
      </c>
      <c r="P1031" s="4" t="n">
        <v>42</v>
      </c>
      <c r="Q1031" s="8"/>
      <c r="R1031" s="4" t="s">
        <v>3600</v>
      </c>
      <c r="S1031" s="4" t="n">
        <v>287</v>
      </c>
    </row>
    <row r="1032" customFormat="false" ht="26.85" hidden="false" customHeight="false" outlineLevel="0" collapsed="false">
      <c r="A1032" s="4" t="s">
        <v>3601</v>
      </c>
      <c r="B1032" s="8" t="s">
        <v>3602</v>
      </c>
      <c r="C1032" s="8"/>
      <c r="D1032" s="8"/>
      <c r="E1032" s="8"/>
      <c r="F1032" s="8"/>
      <c r="G1032" s="8"/>
      <c r="H1032" s="8"/>
      <c r="I1032" s="8" t="s">
        <v>3603</v>
      </c>
      <c r="J1032" s="8" t="s">
        <v>72</v>
      </c>
      <c r="K1032" s="8" t="s">
        <v>3151</v>
      </c>
      <c r="L1032" s="8" t="s">
        <v>3580</v>
      </c>
      <c r="M1032" s="8"/>
      <c r="N1032" s="8" t="s">
        <v>62</v>
      </c>
      <c r="O1032" s="8" t="s">
        <v>63</v>
      </c>
      <c r="P1032" s="4" t="n">
        <v>42</v>
      </c>
      <c r="Q1032" s="8"/>
      <c r="R1032" s="4" t="s">
        <v>3602</v>
      </c>
      <c r="S1032" s="4"/>
    </row>
    <row r="1033" customFormat="false" ht="26.85" hidden="false" customHeight="false" outlineLevel="0" collapsed="false">
      <c r="A1033" s="4" t="s">
        <v>3604</v>
      </c>
      <c r="B1033" s="8" t="s">
        <v>3605</v>
      </c>
      <c r="C1033" s="8"/>
      <c r="D1033" s="8"/>
      <c r="E1033" s="8"/>
      <c r="F1033" s="8"/>
      <c r="G1033" s="8"/>
      <c r="H1033" s="8"/>
      <c r="I1033" s="8" t="s">
        <v>3606</v>
      </c>
      <c r="J1033" s="8" t="s">
        <v>72</v>
      </c>
      <c r="K1033" s="8" t="s">
        <v>3151</v>
      </c>
      <c r="L1033" s="8" t="s">
        <v>3580</v>
      </c>
      <c r="M1033" s="8"/>
      <c r="N1033" s="8" t="s">
        <v>62</v>
      </c>
      <c r="O1033" s="8" t="s">
        <v>63</v>
      </c>
      <c r="P1033" s="4" t="n">
        <v>42</v>
      </c>
      <c r="Q1033" s="8"/>
      <c r="R1033" s="4" t="s">
        <v>3605</v>
      </c>
      <c r="S1033" s="4"/>
    </row>
    <row r="1034" customFormat="false" ht="26.85" hidden="false" customHeight="false" outlineLevel="0" collapsed="false">
      <c r="A1034" s="4" t="s">
        <v>3607</v>
      </c>
      <c r="B1034" s="8" t="s">
        <v>3608</v>
      </c>
      <c r="C1034" s="8" t="s">
        <v>58</v>
      </c>
      <c r="D1034" s="8"/>
      <c r="E1034" s="8" t="s">
        <v>60</v>
      </c>
      <c r="F1034" s="8"/>
      <c r="G1034" s="8"/>
      <c r="H1034" s="8"/>
      <c r="I1034" s="8" t="s">
        <v>3609</v>
      </c>
      <c r="J1034" s="8" t="s">
        <v>72</v>
      </c>
      <c r="K1034" s="8" t="s">
        <v>3151</v>
      </c>
      <c r="L1034" s="8" t="s">
        <v>3580</v>
      </c>
      <c r="M1034" s="8"/>
      <c r="N1034" s="8" t="s">
        <v>62</v>
      </c>
      <c r="O1034" s="8" t="s">
        <v>63</v>
      </c>
      <c r="P1034" s="4" t="n">
        <v>42</v>
      </c>
      <c r="Q1034" s="8"/>
      <c r="R1034" s="4" t="s">
        <v>3610</v>
      </c>
      <c r="S1034" s="4" t="n">
        <v>4330</v>
      </c>
    </row>
    <row r="1035" customFormat="false" ht="26.85" hidden="false" customHeight="false" outlineLevel="0" collapsed="false">
      <c r="A1035" s="4" t="s">
        <v>3611</v>
      </c>
      <c r="B1035" s="8" t="s">
        <v>3612</v>
      </c>
      <c r="C1035" s="8" t="s">
        <v>58</v>
      </c>
      <c r="D1035" s="8"/>
      <c r="E1035" s="8" t="s">
        <v>60</v>
      </c>
      <c r="F1035" s="8"/>
      <c r="G1035" s="8"/>
      <c r="H1035" s="8"/>
      <c r="I1035" s="8" t="s">
        <v>3613</v>
      </c>
      <c r="J1035" s="8" t="s">
        <v>72</v>
      </c>
      <c r="K1035" s="8" t="s">
        <v>3151</v>
      </c>
      <c r="L1035" s="8" t="s">
        <v>3580</v>
      </c>
      <c r="M1035" s="8"/>
      <c r="N1035" s="8" t="s">
        <v>62</v>
      </c>
      <c r="O1035" s="8" t="s">
        <v>63</v>
      </c>
      <c r="P1035" s="4" t="n">
        <v>42</v>
      </c>
      <c r="Q1035" s="8"/>
      <c r="R1035" s="4" t="s">
        <v>3614</v>
      </c>
      <c r="S1035" s="4"/>
    </row>
    <row r="1036" customFormat="false" ht="26.85" hidden="false" customHeight="false" outlineLevel="0" collapsed="false">
      <c r="A1036" s="4" t="s">
        <v>3615</v>
      </c>
      <c r="B1036" s="8" t="s">
        <v>3616</v>
      </c>
      <c r="C1036" s="8" t="s">
        <v>58</v>
      </c>
      <c r="D1036" s="8"/>
      <c r="E1036" s="8" t="s">
        <v>60</v>
      </c>
      <c r="F1036" s="8"/>
      <c r="G1036" s="8"/>
      <c r="H1036" s="8"/>
      <c r="I1036" s="8" t="s">
        <v>3617</v>
      </c>
      <c r="J1036" s="8" t="s">
        <v>72</v>
      </c>
      <c r="K1036" s="8" t="s">
        <v>3151</v>
      </c>
      <c r="L1036" s="8" t="s">
        <v>3580</v>
      </c>
      <c r="M1036" s="8"/>
      <c r="N1036" s="8" t="s">
        <v>62</v>
      </c>
      <c r="O1036" s="8" t="s">
        <v>63</v>
      </c>
      <c r="P1036" s="4" t="n">
        <v>42</v>
      </c>
      <c r="Q1036" s="8"/>
      <c r="R1036" s="4" t="s">
        <v>3618</v>
      </c>
      <c r="S1036" s="4"/>
    </row>
    <row r="1037" customFormat="false" ht="26.85" hidden="false" customHeight="false" outlineLevel="0" collapsed="false">
      <c r="A1037" s="4" t="s">
        <v>3619</v>
      </c>
      <c r="B1037" s="8" t="s">
        <v>3620</v>
      </c>
      <c r="C1037" s="8"/>
      <c r="D1037" s="8"/>
      <c r="E1037" s="8"/>
      <c r="F1037" s="8"/>
      <c r="G1037" s="8"/>
      <c r="H1037" s="8"/>
      <c r="I1037" s="8" t="s">
        <v>3621</v>
      </c>
      <c r="J1037" s="8" t="s">
        <v>72</v>
      </c>
      <c r="K1037" s="8" t="s">
        <v>3151</v>
      </c>
      <c r="L1037" s="8" t="s">
        <v>3580</v>
      </c>
      <c r="M1037" s="8"/>
      <c r="N1037" s="8" t="s">
        <v>62</v>
      </c>
      <c r="O1037" s="8" t="s">
        <v>63</v>
      </c>
      <c r="P1037" s="4" t="n">
        <v>42</v>
      </c>
      <c r="Q1037" s="8"/>
      <c r="R1037" s="4" t="s">
        <v>3620</v>
      </c>
      <c r="S1037" s="4"/>
    </row>
    <row r="1038" customFormat="false" ht="26.85" hidden="false" customHeight="false" outlineLevel="0" collapsed="false">
      <c r="A1038" s="4" t="s">
        <v>3622</v>
      </c>
      <c r="B1038" s="8" t="s">
        <v>3623</v>
      </c>
      <c r="C1038" s="8"/>
      <c r="D1038" s="8"/>
      <c r="E1038" s="8"/>
      <c r="F1038" s="8"/>
      <c r="G1038" s="8"/>
      <c r="H1038" s="8"/>
      <c r="I1038" s="8" t="s">
        <v>3624</v>
      </c>
      <c r="J1038" s="8" t="s">
        <v>72</v>
      </c>
      <c r="K1038" s="8" t="s">
        <v>3151</v>
      </c>
      <c r="L1038" s="8" t="s">
        <v>3580</v>
      </c>
      <c r="M1038" s="8"/>
      <c r="N1038" s="8" t="s">
        <v>62</v>
      </c>
      <c r="O1038" s="8" t="s">
        <v>63</v>
      </c>
      <c r="P1038" s="4" t="n">
        <v>42</v>
      </c>
      <c r="Q1038" s="8"/>
      <c r="R1038" s="4" t="s">
        <v>3623</v>
      </c>
      <c r="S1038" s="4"/>
    </row>
    <row r="1039" customFormat="false" ht="26.85" hidden="false" customHeight="false" outlineLevel="0" collapsed="false">
      <c r="A1039" s="4" t="s">
        <v>3625</v>
      </c>
      <c r="B1039" s="8" t="s">
        <v>3626</v>
      </c>
      <c r="C1039" s="8" t="s">
        <v>58</v>
      </c>
      <c r="D1039" s="8"/>
      <c r="E1039" s="8" t="s">
        <v>60</v>
      </c>
      <c r="F1039" s="8"/>
      <c r="G1039" s="8"/>
      <c r="H1039" s="8"/>
      <c r="I1039" s="8" t="s">
        <v>3627</v>
      </c>
      <c r="J1039" s="8" t="s">
        <v>72</v>
      </c>
      <c r="K1039" s="8" t="s">
        <v>3151</v>
      </c>
      <c r="L1039" s="8" t="s">
        <v>3580</v>
      </c>
      <c r="M1039" s="8"/>
      <c r="N1039" s="8" t="s">
        <v>62</v>
      </c>
      <c r="O1039" s="8" t="s">
        <v>63</v>
      </c>
      <c r="P1039" s="4" t="n">
        <v>42</v>
      </c>
      <c r="Q1039" s="8"/>
      <c r="R1039" s="4" t="s">
        <v>3628</v>
      </c>
      <c r="S1039" s="4"/>
    </row>
    <row r="1040" customFormat="false" ht="26.85" hidden="false" customHeight="false" outlineLevel="0" collapsed="false">
      <c r="A1040" s="4" t="s">
        <v>3629</v>
      </c>
      <c r="B1040" s="8" t="s">
        <v>3630</v>
      </c>
      <c r="C1040" s="8" t="s">
        <v>58</v>
      </c>
      <c r="D1040" s="8"/>
      <c r="E1040" s="8" t="s">
        <v>60</v>
      </c>
      <c r="F1040" s="8"/>
      <c r="G1040" s="8"/>
      <c r="H1040" s="8"/>
      <c r="I1040" s="8" t="s">
        <v>3631</v>
      </c>
      <c r="J1040" s="8" t="s">
        <v>72</v>
      </c>
      <c r="K1040" s="8" t="s">
        <v>3151</v>
      </c>
      <c r="L1040" s="8" t="s">
        <v>3580</v>
      </c>
      <c r="M1040" s="8"/>
      <c r="N1040" s="8" t="s">
        <v>62</v>
      </c>
      <c r="O1040" s="8" t="s">
        <v>63</v>
      </c>
      <c r="P1040" s="4" t="n">
        <v>42</v>
      </c>
      <c r="Q1040" s="8"/>
      <c r="R1040" s="4" t="s">
        <v>3632</v>
      </c>
      <c r="S1040" s="4"/>
    </row>
    <row r="1041" customFormat="false" ht="26.85" hidden="false" customHeight="false" outlineLevel="0" collapsed="false">
      <c r="A1041" s="4" t="s">
        <v>3633</v>
      </c>
      <c r="B1041" s="8" t="s">
        <v>3634</v>
      </c>
      <c r="C1041" s="8" t="s">
        <v>58</v>
      </c>
      <c r="D1041" s="8"/>
      <c r="E1041" s="8" t="s">
        <v>60</v>
      </c>
      <c r="F1041" s="8"/>
      <c r="G1041" s="8"/>
      <c r="H1041" s="8"/>
      <c r="I1041" s="8" t="s">
        <v>3635</v>
      </c>
      <c r="J1041" s="8" t="s">
        <v>72</v>
      </c>
      <c r="K1041" s="8" t="s">
        <v>3151</v>
      </c>
      <c r="L1041" s="8" t="s">
        <v>3580</v>
      </c>
      <c r="M1041" s="8"/>
      <c r="N1041" s="8" t="s">
        <v>62</v>
      </c>
      <c r="O1041" s="8" t="s">
        <v>63</v>
      </c>
      <c r="P1041" s="4" t="n">
        <v>42</v>
      </c>
      <c r="Q1041" s="8"/>
      <c r="R1041" s="4" t="s">
        <v>3636</v>
      </c>
      <c r="S1041" s="4"/>
    </row>
    <row r="1042" customFormat="false" ht="26.85" hidden="false" customHeight="false" outlineLevel="0" collapsed="false">
      <c r="A1042" s="4" t="s">
        <v>3637</v>
      </c>
      <c r="B1042" s="8" t="s">
        <v>3350</v>
      </c>
      <c r="C1042" s="8" t="s">
        <v>58</v>
      </c>
      <c r="D1042" s="8"/>
      <c r="E1042" s="8" t="s">
        <v>60</v>
      </c>
      <c r="F1042" s="8"/>
      <c r="G1042" s="8"/>
      <c r="H1042" s="8"/>
      <c r="I1042" s="8" t="s">
        <v>3351</v>
      </c>
      <c r="J1042" s="8" t="s">
        <v>72</v>
      </c>
      <c r="K1042" s="8" t="s">
        <v>3151</v>
      </c>
      <c r="L1042" s="8" t="s">
        <v>3580</v>
      </c>
      <c r="M1042" s="8"/>
      <c r="N1042" s="8" t="s">
        <v>62</v>
      </c>
      <c r="O1042" s="8" t="s">
        <v>63</v>
      </c>
      <c r="P1042" s="4" t="n">
        <v>42</v>
      </c>
      <c r="Q1042" s="8"/>
      <c r="R1042" s="4" t="s">
        <v>3352</v>
      </c>
      <c r="S1042" s="4"/>
    </row>
    <row r="1043" customFormat="false" ht="26.85" hidden="false" customHeight="false" outlineLevel="0" collapsed="false">
      <c r="A1043" s="4" t="s">
        <v>3638</v>
      </c>
      <c r="B1043" s="8" t="s">
        <v>3639</v>
      </c>
      <c r="C1043" s="8"/>
      <c r="D1043" s="8"/>
      <c r="E1043" s="8"/>
      <c r="F1043" s="8"/>
      <c r="G1043" s="8"/>
      <c r="H1043" s="8"/>
      <c r="I1043" s="8" t="s">
        <v>3640</v>
      </c>
      <c r="J1043" s="8" t="s">
        <v>72</v>
      </c>
      <c r="K1043" s="8" t="s">
        <v>3151</v>
      </c>
      <c r="L1043" s="8" t="s">
        <v>688</v>
      </c>
      <c r="M1043" s="8"/>
      <c r="N1043" s="8" t="s">
        <v>62</v>
      </c>
      <c r="O1043" s="8" t="s">
        <v>63</v>
      </c>
      <c r="P1043" s="4" t="n">
        <v>42</v>
      </c>
      <c r="Q1043" s="8"/>
      <c r="R1043" s="4" t="s">
        <v>3639</v>
      </c>
      <c r="S1043" s="4"/>
    </row>
    <row r="1044" customFormat="false" ht="26.85" hidden="false" customHeight="false" outlineLevel="0" collapsed="false">
      <c r="A1044" s="4" t="s">
        <v>3641</v>
      </c>
      <c r="B1044" s="8" t="s">
        <v>3642</v>
      </c>
      <c r="C1044" s="8"/>
      <c r="D1044" s="8"/>
      <c r="E1044" s="8" t="s">
        <v>68</v>
      </c>
      <c r="F1044" s="8" t="s">
        <v>3643</v>
      </c>
      <c r="G1044" s="8" t="s">
        <v>3644</v>
      </c>
      <c r="H1044" s="8"/>
      <c r="I1044" s="8" t="s">
        <v>3645</v>
      </c>
      <c r="J1044" s="8" t="s">
        <v>72</v>
      </c>
      <c r="K1044" s="8" t="s">
        <v>3151</v>
      </c>
      <c r="L1044" s="8" t="s">
        <v>688</v>
      </c>
      <c r="M1044" s="8"/>
      <c r="N1044" s="8" t="s">
        <v>62</v>
      </c>
      <c r="O1044" s="8" t="s">
        <v>63</v>
      </c>
      <c r="P1044" s="4" t="n">
        <v>42</v>
      </c>
      <c r="Q1044" s="8"/>
      <c r="R1044" s="4" t="s">
        <v>3642</v>
      </c>
      <c r="S1044" s="4"/>
    </row>
    <row r="1045" customFormat="false" ht="26.85" hidden="false" customHeight="false" outlineLevel="0" collapsed="false">
      <c r="A1045" s="4" t="s">
        <v>3646</v>
      </c>
      <c r="B1045" s="8" t="s">
        <v>2119</v>
      </c>
      <c r="C1045" s="8"/>
      <c r="D1045" s="8"/>
      <c r="E1045" s="8" t="s">
        <v>68</v>
      </c>
      <c r="F1045" s="8" t="s">
        <v>2120</v>
      </c>
      <c r="G1045" s="8" t="s">
        <v>2121</v>
      </c>
      <c r="H1045" s="8"/>
      <c r="I1045" s="8" t="s">
        <v>3647</v>
      </c>
      <c r="J1045" s="8" t="s">
        <v>72</v>
      </c>
      <c r="K1045" s="8" t="s">
        <v>3151</v>
      </c>
      <c r="L1045" s="8" t="s">
        <v>688</v>
      </c>
      <c r="M1045" s="8"/>
      <c r="N1045" s="8" t="s">
        <v>62</v>
      </c>
      <c r="O1045" s="8" t="s">
        <v>63</v>
      </c>
      <c r="P1045" s="4" t="n">
        <v>42</v>
      </c>
      <c r="Q1045" s="8"/>
      <c r="R1045" s="4" t="s">
        <v>2119</v>
      </c>
      <c r="S1045" s="4" t="n">
        <v>1611</v>
      </c>
    </row>
    <row r="1046" customFormat="false" ht="26.85" hidden="false" customHeight="false" outlineLevel="0" collapsed="false">
      <c r="A1046" s="4" t="s">
        <v>3648</v>
      </c>
      <c r="B1046" s="8" t="s">
        <v>2126</v>
      </c>
      <c r="C1046" s="8"/>
      <c r="D1046" s="8"/>
      <c r="E1046" s="8" t="s">
        <v>68</v>
      </c>
      <c r="F1046" s="8" t="s">
        <v>1363</v>
      </c>
      <c r="G1046" s="8" t="s">
        <v>2127</v>
      </c>
      <c r="H1046" s="8"/>
      <c r="I1046" s="8" t="s">
        <v>2128</v>
      </c>
      <c r="J1046" s="8" t="s">
        <v>72</v>
      </c>
      <c r="K1046" s="8" t="s">
        <v>3151</v>
      </c>
      <c r="L1046" s="8" t="s">
        <v>688</v>
      </c>
      <c r="M1046" s="8"/>
      <c r="N1046" s="8" t="s">
        <v>62</v>
      </c>
      <c r="O1046" s="8" t="s">
        <v>63</v>
      </c>
      <c r="P1046" s="4" t="n">
        <v>42</v>
      </c>
      <c r="Q1046" s="8"/>
      <c r="R1046" s="4" t="s">
        <v>2126</v>
      </c>
      <c r="S1046" s="4"/>
    </row>
    <row r="1047" customFormat="false" ht="26.85" hidden="false" customHeight="false" outlineLevel="0" collapsed="false">
      <c r="A1047" s="4" t="s">
        <v>3649</v>
      </c>
      <c r="B1047" s="8" t="s">
        <v>3650</v>
      </c>
      <c r="C1047" s="8"/>
      <c r="D1047" s="8"/>
      <c r="E1047" s="8" t="s">
        <v>68</v>
      </c>
      <c r="F1047" s="8" t="s">
        <v>3651</v>
      </c>
      <c r="G1047" s="8" t="s">
        <v>2293</v>
      </c>
      <c r="H1047" s="8"/>
      <c r="I1047" s="8"/>
      <c r="J1047" s="8" t="s">
        <v>72</v>
      </c>
      <c r="K1047" s="8" t="s">
        <v>3151</v>
      </c>
      <c r="L1047" s="8" t="s">
        <v>688</v>
      </c>
      <c r="M1047" s="8"/>
      <c r="N1047" s="8" t="s">
        <v>62</v>
      </c>
      <c r="O1047" s="8" t="s">
        <v>63</v>
      </c>
      <c r="P1047" s="4" t="n">
        <v>42</v>
      </c>
      <c r="Q1047" s="8" t="s">
        <v>1153</v>
      </c>
      <c r="R1047" s="4" t="s">
        <v>3650</v>
      </c>
      <c r="S1047" s="4"/>
    </row>
    <row r="1048" customFormat="false" ht="26.85" hidden="false" customHeight="false" outlineLevel="0" collapsed="false">
      <c r="A1048" s="4" t="s">
        <v>3652</v>
      </c>
      <c r="B1048" s="8" t="s">
        <v>2165</v>
      </c>
      <c r="C1048" s="8"/>
      <c r="D1048" s="8"/>
      <c r="E1048" s="8" t="s">
        <v>68</v>
      </c>
      <c r="F1048" s="8" t="s">
        <v>2166</v>
      </c>
      <c r="G1048" s="8" t="s">
        <v>2167</v>
      </c>
      <c r="H1048" s="8"/>
      <c r="I1048" s="8" t="s">
        <v>3653</v>
      </c>
      <c r="J1048" s="8" t="s">
        <v>72</v>
      </c>
      <c r="K1048" s="8" t="s">
        <v>3151</v>
      </c>
      <c r="L1048" s="8" t="s">
        <v>688</v>
      </c>
      <c r="M1048" s="8"/>
      <c r="N1048" s="8" t="s">
        <v>62</v>
      </c>
      <c r="O1048" s="8" t="s">
        <v>63</v>
      </c>
      <c r="P1048" s="4" t="n">
        <v>42</v>
      </c>
      <c r="Q1048" s="8"/>
      <c r="R1048" s="4" t="s">
        <v>2165</v>
      </c>
      <c r="S1048" s="4"/>
    </row>
    <row r="1049" customFormat="false" ht="26.85" hidden="false" customHeight="false" outlineLevel="0" collapsed="false">
      <c r="A1049" s="4" t="s">
        <v>3654</v>
      </c>
      <c r="B1049" s="8" t="s">
        <v>3655</v>
      </c>
      <c r="C1049" s="8"/>
      <c r="D1049" s="8"/>
      <c r="E1049" s="8" t="s">
        <v>68</v>
      </c>
      <c r="F1049" s="8" t="s">
        <v>3656</v>
      </c>
      <c r="G1049" s="8" t="s">
        <v>3657</v>
      </c>
      <c r="H1049" s="8"/>
      <c r="I1049" s="8" t="s">
        <v>3658</v>
      </c>
      <c r="J1049" s="8" t="s">
        <v>72</v>
      </c>
      <c r="K1049" s="8" t="s">
        <v>3151</v>
      </c>
      <c r="L1049" s="8" t="s">
        <v>688</v>
      </c>
      <c r="M1049" s="8"/>
      <c r="N1049" s="8" t="s">
        <v>62</v>
      </c>
      <c r="O1049" s="8" t="s">
        <v>63</v>
      </c>
      <c r="P1049" s="4" t="n">
        <v>42</v>
      </c>
      <c r="Q1049" s="8"/>
      <c r="R1049" s="4" t="s">
        <v>3655</v>
      </c>
      <c r="S1049" s="4"/>
    </row>
    <row r="1050" customFormat="false" ht="26.85" hidden="false" customHeight="false" outlineLevel="0" collapsed="false">
      <c r="A1050" s="4" t="s">
        <v>3659</v>
      </c>
      <c r="B1050" s="8" t="s">
        <v>3660</v>
      </c>
      <c r="C1050" s="8"/>
      <c r="D1050" s="8"/>
      <c r="E1050" s="8" t="s">
        <v>68</v>
      </c>
      <c r="F1050" s="8" t="s">
        <v>3661</v>
      </c>
      <c r="G1050" s="8" t="s">
        <v>3662</v>
      </c>
      <c r="H1050" s="8"/>
      <c r="I1050" s="8" t="s">
        <v>3663</v>
      </c>
      <c r="J1050" s="8" t="s">
        <v>72</v>
      </c>
      <c r="K1050" s="8" t="s">
        <v>3151</v>
      </c>
      <c r="L1050" s="8" t="s">
        <v>688</v>
      </c>
      <c r="M1050" s="8"/>
      <c r="N1050" s="8" t="s">
        <v>62</v>
      </c>
      <c r="O1050" s="8" t="s">
        <v>63</v>
      </c>
      <c r="P1050" s="4" t="n">
        <v>42</v>
      </c>
      <c r="Q1050" s="8"/>
      <c r="R1050" s="4" t="s">
        <v>3660</v>
      </c>
      <c r="S1050" s="4"/>
    </row>
    <row r="1051" customFormat="false" ht="26.85" hidden="false" customHeight="false" outlineLevel="0" collapsed="false">
      <c r="A1051" s="4" t="s">
        <v>3664</v>
      </c>
      <c r="B1051" s="8" t="s">
        <v>3665</v>
      </c>
      <c r="C1051" s="8"/>
      <c r="D1051" s="8"/>
      <c r="E1051" s="8" t="s">
        <v>68</v>
      </c>
      <c r="F1051" s="8" t="s">
        <v>3666</v>
      </c>
      <c r="G1051" s="8" t="s">
        <v>3667</v>
      </c>
      <c r="H1051" s="8"/>
      <c r="I1051" s="8" t="s">
        <v>3668</v>
      </c>
      <c r="J1051" s="8" t="s">
        <v>72</v>
      </c>
      <c r="K1051" s="8" t="s">
        <v>3151</v>
      </c>
      <c r="L1051" s="8" t="s">
        <v>688</v>
      </c>
      <c r="M1051" s="8"/>
      <c r="N1051" s="8" t="s">
        <v>62</v>
      </c>
      <c r="O1051" s="8" t="s">
        <v>63</v>
      </c>
      <c r="P1051" s="4" t="n">
        <v>42</v>
      </c>
      <c r="Q1051" s="8"/>
      <c r="R1051" s="4" t="s">
        <v>3665</v>
      </c>
      <c r="S1051" s="4"/>
    </row>
    <row r="1052" customFormat="false" ht="26.85" hidden="false" customHeight="false" outlineLevel="0" collapsed="false">
      <c r="A1052" s="4" t="s">
        <v>3669</v>
      </c>
      <c r="B1052" s="8" t="s">
        <v>3670</v>
      </c>
      <c r="C1052" s="8"/>
      <c r="D1052" s="8"/>
      <c r="E1052" s="8" t="s">
        <v>68</v>
      </c>
      <c r="F1052" s="8" t="s">
        <v>3671</v>
      </c>
      <c r="G1052" s="8" t="s">
        <v>3672</v>
      </c>
      <c r="H1052" s="8"/>
      <c r="I1052" s="8" t="s">
        <v>3673</v>
      </c>
      <c r="J1052" s="8" t="s">
        <v>72</v>
      </c>
      <c r="K1052" s="8" t="s">
        <v>3151</v>
      </c>
      <c r="L1052" s="8" t="s">
        <v>688</v>
      </c>
      <c r="M1052" s="8"/>
      <c r="N1052" s="8" t="s">
        <v>62</v>
      </c>
      <c r="O1052" s="8" t="s">
        <v>63</v>
      </c>
      <c r="P1052" s="4" t="n">
        <v>42</v>
      </c>
      <c r="Q1052" s="8"/>
      <c r="R1052" s="4" t="s">
        <v>3670</v>
      </c>
      <c r="S1052" s="4"/>
    </row>
    <row r="1053" customFormat="false" ht="26.85" hidden="false" customHeight="false" outlineLevel="0" collapsed="false">
      <c r="A1053" s="4" t="s">
        <v>3674</v>
      </c>
      <c r="B1053" s="8" t="s">
        <v>1073</v>
      </c>
      <c r="C1053" s="8"/>
      <c r="D1053" s="8"/>
      <c r="E1053" s="8" t="s">
        <v>68</v>
      </c>
      <c r="F1053" s="8" t="s">
        <v>1074</v>
      </c>
      <c r="G1053" s="8" t="s">
        <v>1075</v>
      </c>
      <c r="H1053" s="8"/>
      <c r="I1053" s="8" t="s">
        <v>3675</v>
      </c>
      <c r="J1053" s="8" t="s">
        <v>72</v>
      </c>
      <c r="K1053" s="8" t="s">
        <v>3151</v>
      </c>
      <c r="L1053" s="8" t="s">
        <v>688</v>
      </c>
      <c r="M1053" s="8"/>
      <c r="N1053" s="8" t="s">
        <v>62</v>
      </c>
      <c r="O1053" s="8" t="s">
        <v>63</v>
      </c>
      <c r="P1053" s="4" t="n">
        <v>42</v>
      </c>
      <c r="Q1053" s="8"/>
      <c r="R1053" s="4" t="s">
        <v>1073</v>
      </c>
      <c r="S1053" s="4" t="n">
        <v>1009</v>
      </c>
    </row>
    <row r="1054" customFormat="false" ht="26.85" hidden="false" customHeight="false" outlineLevel="0" collapsed="false">
      <c r="A1054" s="4" t="s">
        <v>3676</v>
      </c>
      <c r="B1054" s="8" t="s">
        <v>2440</v>
      </c>
      <c r="C1054" s="8"/>
      <c r="D1054" s="8"/>
      <c r="E1054" s="8" t="s">
        <v>68</v>
      </c>
      <c r="F1054" s="8" t="s">
        <v>2441</v>
      </c>
      <c r="G1054" s="8" t="s">
        <v>2442</v>
      </c>
      <c r="H1054" s="8"/>
      <c r="I1054" s="8" t="s">
        <v>2443</v>
      </c>
      <c r="J1054" s="8" t="s">
        <v>72</v>
      </c>
      <c r="K1054" s="8" t="s">
        <v>3151</v>
      </c>
      <c r="L1054" s="8" t="s">
        <v>688</v>
      </c>
      <c r="M1054" s="8"/>
      <c r="N1054" s="8" t="s">
        <v>62</v>
      </c>
      <c r="O1054" s="8" t="s">
        <v>63</v>
      </c>
      <c r="P1054" s="4" t="n">
        <v>42</v>
      </c>
      <c r="Q1054" s="8"/>
      <c r="R1054" s="4" t="s">
        <v>2440</v>
      </c>
      <c r="S1054" s="4"/>
    </row>
    <row r="1055" customFormat="false" ht="26.85" hidden="false" customHeight="false" outlineLevel="0" collapsed="false">
      <c r="A1055" s="4" t="s">
        <v>3677</v>
      </c>
      <c r="B1055" s="8" t="s">
        <v>3678</v>
      </c>
      <c r="C1055" s="8"/>
      <c r="D1055" s="8"/>
      <c r="E1055" s="8" t="s">
        <v>68</v>
      </c>
      <c r="F1055" s="8" t="s">
        <v>3679</v>
      </c>
      <c r="G1055" s="8" t="s">
        <v>3680</v>
      </c>
      <c r="H1055" s="8"/>
      <c r="I1055" s="8" t="s">
        <v>3681</v>
      </c>
      <c r="J1055" s="8" t="s">
        <v>72</v>
      </c>
      <c r="K1055" s="8" t="s">
        <v>3151</v>
      </c>
      <c r="L1055" s="8" t="s">
        <v>688</v>
      </c>
      <c r="M1055" s="8"/>
      <c r="N1055" s="8" t="s">
        <v>62</v>
      </c>
      <c r="O1055" s="8" t="s">
        <v>63</v>
      </c>
      <c r="P1055" s="4" t="n">
        <v>42</v>
      </c>
      <c r="Q1055" s="8"/>
      <c r="R1055" s="4" t="s">
        <v>3678</v>
      </c>
      <c r="S1055" s="4"/>
    </row>
    <row r="1056" customFormat="false" ht="26.85" hidden="false" customHeight="false" outlineLevel="0" collapsed="false">
      <c r="A1056" s="4" t="s">
        <v>3682</v>
      </c>
      <c r="B1056" s="8" t="s">
        <v>3683</v>
      </c>
      <c r="C1056" s="8"/>
      <c r="D1056" s="8"/>
      <c r="E1056" s="8" t="s">
        <v>68</v>
      </c>
      <c r="F1056" s="8" t="s">
        <v>3684</v>
      </c>
      <c r="G1056" s="8" t="s">
        <v>2459</v>
      </c>
      <c r="H1056" s="8"/>
      <c r="I1056" s="8" t="s">
        <v>3685</v>
      </c>
      <c r="J1056" s="8" t="s">
        <v>72</v>
      </c>
      <c r="K1056" s="8" t="s">
        <v>3151</v>
      </c>
      <c r="L1056" s="8" t="s">
        <v>688</v>
      </c>
      <c r="M1056" s="8"/>
      <c r="N1056" s="8" t="s">
        <v>62</v>
      </c>
      <c r="O1056" s="8" t="s">
        <v>63</v>
      </c>
      <c r="P1056" s="4" t="n">
        <v>42</v>
      </c>
      <c r="Q1056" s="8"/>
      <c r="R1056" s="4" t="s">
        <v>3683</v>
      </c>
      <c r="S1056" s="4"/>
    </row>
    <row r="1057" customFormat="false" ht="26.85" hidden="false" customHeight="false" outlineLevel="0" collapsed="false">
      <c r="A1057" s="4" t="s">
        <v>3686</v>
      </c>
      <c r="B1057" s="8" t="s">
        <v>3687</v>
      </c>
      <c r="C1057" s="8"/>
      <c r="D1057" s="8"/>
      <c r="E1057" s="8"/>
      <c r="F1057" s="8"/>
      <c r="G1057" s="8"/>
      <c r="H1057" s="8"/>
      <c r="I1057" s="8" t="s">
        <v>3688</v>
      </c>
      <c r="J1057" s="8" t="s">
        <v>72</v>
      </c>
      <c r="K1057" s="8" t="s">
        <v>3151</v>
      </c>
      <c r="L1057" s="8" t="s">
        <v>688</v>
      </c>
      <c r="M1057" s="8"/>
      <c r="N1057" s="8" t="s">
        <v>62</v>
      </c>
      <c r="O1057" s="8" t="s">
        <v>63</v>
      </c>
      <c r="P1057" s="4" t="n">
        <v>42</v>
      </c>
      <c r="Q1057" s="8"/>
      <c r="R1057" s="4" t="s">
        <v>3687</v>
      </c>
      <c r="S1057" s="4"/>
    </row>
    <row r="1058" customFormat="false" ht="26.85" hidden="false" customHeight="false" outlineLevel="0" collapsed="false">
      <c r="A1058" s="4" t="s">
        <v>3689</v>
      </c>
      <c r="B1058" s="8" t="s">
        <v>3690</v>
      </c>
      <c r="C1058" s="8"/>
      <c r="D1058" s="8"/>
      <c r="E1058" s="8" t="s">
        <v>68</v>
      </c>
      <c r="F1058" s="8" t="s">
        <v>3691</v>
      </c>
      <c r="G1058" s="8" t="s">
        <v>3692</v>
      </c>
      <c r="H1058" s="8"/>
      <c r="I1058" s="8" t="s">
        <v>3693</v>
      </c>
      <c r="J1058" s="8" t="s">
        <v>72</v>
      </c>
      <c r="K1058" s="8" t="s">
        <v>3151</v>
      </c>
      <c r="L1058" s="8" t="s">
        <v>688</v>
      </c>
      <c r="M1058" s="8"/>
      <c r="N1058" s="8" t="s">
        <v>62</v>
      </c>
      <c r="O1058" s="8" t="s">
        <v>63</v>
      </c>
      <c r="P1058" s="4" t="n">
        <v>42</v>
      </c>
      <c r="Q1058" s="8"/>
      <c r="R1058" s="4" t="s">
        <v>3690</v>
      </c>
      <c r="S1058" s="4"/>
    </row>
    <row r="1059" customFormat="false" ht="26.85" hidden="false" customHeight="false" outlineLevel="0" collapsed="false">
      <c r="A1059" s="4" t="s">
        <v>3694</v>
      </c>
      <c r="B1059" s="8" t="s">
        <v>2323</v>
      </c>
      <c r="C1059" s="8"/>
      <c r="D1059" s="8"/>
      <c r="E1059" s="8" t="s">
        <v>68</v>
      </c>
      <c r="F1059" s="8" t="s">
        <v>2324</v>
      </c>
      <c r="G1059" s="8" t="s">
        <v>2325</v>
      </c>
      <c r="H1059" s="8"/>
      <c r="I1059" s="8" t="s">
        <v>2326</v>
      </c>
      <c r="J1059" s="8" t="s">
        <v>72</v>
      </c>
      <c r="K1059" s="8" t="s">
        <v>3151</v>
      </c>
      <c r="L1059" s="8" t="s">
        <v>688</v>
      </c>
      <c r="M1059" s="8"/>
      <c r="N1059" s="8" t="s">
        <v>62</v>
      </c>
      <c r="O1059" s="8" t="s">
        <v>63</v>
      </c>
      <c r="P1059" s="4" t="n">
        <v>42</v>
      </c>
      <c r="Q1059" s="8"/>
      <c r="R1059" s="4" t="s">
        <v>2323</v>
      </c>
      <c r="S1059" s="4"/>
    </row>
    <row r="1060" customFormat="false" ht="26.85" hidden="false" customHeight="false" outlineLevel="0" collapsed="false">
      <c r="A1060" s="4" t="s">
        <v>3695</v>
      </c>
      <c r="B1060" s="8" t="s">
        <v>3696</v>
      </c>
      <c r="C1060" s="8"/>
      <c r="D1060" s="8"/>
      <c r="E1060" s="8" t="s">
        <v>68</v>
      </c>
      <c r="F1060" s="8" t="s">
        <v>3697</v>
      </c>
      <c r="G1060" s="8" t="s">
        <v>3698</v>
      </c>
      <c r="H1060" s="8"/>
      <c r="I1060" s="8" t="s">
        <v>3699</v>
      </c>
      <c r="J1060" s="8" t="s">
        <v>72</v>
      </c>
      <c r="K1060" s="8" t="s">
        <v>3151</v>
      </c>
      <c r="L1060" s="8" t="s">
        <v>688</v>
      </c>
      <c r="M1060" s="8"/>
      <c r="N1060" s="8" t="s">
        <v>62</v>
      </c>
      <c r="O1060" s="8" t="s">
        <v>63</v>
      </c>
      <c r="P1060" s="4" t="n">
        <v>42</v>
      </c>
      <c r="Q1060" s="8"/>
      <c r="R1060" s="4" t="s">
        <v>3696</v>
      </c>
      <c r="S1060" s="4"/>
    </row>
    <row r="1061" customFormat="false" ht="26.85" hidden="false" customHeight="false" outlineLevel="0" collapsed="false">
      <c r="A1061" s="4" t="s">
        <v>3700</v>
      </c>
      <c r="B1061" s="8" t="s">
        <v>3701</v>
      </c>
      <c r="C1061" s="8"/>
      <c r="D1061" s="8"/>
      <c r="E1061" s="8" t="s">
        <v>68</v>
      </c>
      <c r="F1061" s="8" t="s">
        <v>3702</v>
      </c>
      <c r="G1061" s="8" t="s">
        <v>3703</v>
      </c>
      <c r="H1061" s="8"/>
      <c r="I1061" s="8" t="s">
        <v>3704</v>
      </c>
      <c r="J1061" s="8" t="s">
        <v>72</v>
      </c>
      <c r="K1061" s="8" t="s">
        <v>3151</v>
      </c>
      <c r="L1061" s="8" t="s">
        <v>688</v>
      </c>
      <c r="M1061" s="8"/>
      <c r="N1061" s="8" t="s">
        <v>62</v>
      </c>
      <c r="O1061" s="8" t="s">
        <v>63</v>
      </c>
      <c r="P1061" s="4" t="n">
        <v>42</v>
      </c>
      <c r="Q1061" s="8"/>
      <c r="R1061" s="4" t="s">
        <v>3701</v>
      </c>
      <c r="S1061" s="4"/>
    </row>
    <row r="1062" customFormat="false" ht="26.85" hidden="false" customHeight="false" outlineLevel="0" collapsed="false">
      <c r="A1062" s="4" t="s">
        <v>3705</v>
      </c>
      <c r="B1062" s="8" t="s">
        <v>3706</v>
      </c>
      <c r="C1062" s="8"/>
      <c r="D1062" s="8"/>
      <c r="E1062" s="8" t="s">
        <v>68</v>
      </c>
      <c r="F1062" s="8" t="s">
        <v>3707</v>
      </c>
      <c r="G1062" s="8" t="s">
        <v>3708</v>
      </c>
      <c r="H1062" s="8"/>
      <c r="I1062" s="8" t="s">
        <v>3709</v>
      </c>
      <c r="J1062" s="8" t="s">
        <v>72</v>
      </c>
      <c r="K1062" s="8" t="s">
        <v>3151</v>
      </c>
      <c r="L1062" s="8" t="s">
        <v>688</v>
      </c>
      <c r="M1062" s="8"/>
      <c r="N1062" s="8" t="s">
        <v>62</v>
      </c>
      <c r="O1062" s="8" t="s">
        <v>63</v>
      </c>
      <c r="P1062" s="4" t="n">
        <v>42</v>
      </c>
      <c r="Q1062" s="8"/>
      <c r="R1062" s="4" t="s">
        <v>3706</v>
      </c>
      <c r="S1062" s="4"/>
    </row>
    <row r="1063" customFormat="false" ht="26.85" hidden="false" customHeight="false" outlineLevel="0" collapsed="false">
      <c r="A1063" s="4" t="s">
        <v>3710</v>
      </c>
      <c r="B1063" s="8" t="s">
        <v>3711</v>
      </c>
      <c r="C1063" s="8"/>
      <c r="D1063" s="8"/>
      <c r="E1063" s="8"/>
      <c r="F1063" s="8"/>
      <c r="G1063" s="8"/>
      <c r="H1063" s="8"/>
      <c r="I1063" s="8" t="s">
        <v>3712</v>
      </c>
      <c r="J1063" s="8" t="s">
        <v>72</v>
      </c>
      <c r="K1063" s="8" t="s">
        <v>3151</v>
      </c>
      <c r="L1063" s="8" t="s">
        <v>688</v>
      </c>
      <c r="M1063" s="8"/>
      <c r="N1063" s="8" t="s">
        <v>62</v>
      </c>
      <c r="O1063" s="8" t="s">
        <v>63</v>
      </c>
      <c r="P1063" s="4" t="n">
        <v>42</v>
      </c>
      <c r="Q1063" s="8"/>
      <c r="R1063" s="4" t="s">
        <v>3711</v>
      </c>
      <c r="S1063" s="4"/>
    </row>
    <row r="1064" customFormat="false" ht="26.85" hidden="false" customHeight="false" outlineLevel="0" collapsed="false">
      <c r="A1064" s="4" t="s">
        <v>3713</v>
      </c>
      <c r="B1064" s="8" t="s">
        <v>3714</v>
      </c>
      <c r="C1064" s="8"/>
      <c r="D1064" s="8"/>
      <c r="E1064" s="8" t="s">
        <v>68</v>
      </c>
      <c r="F1064" s="8" t="s">
        <v>3715</v>
      </c>
      <c r="G1064" s="8" t="s">
        <v>3716</v>
      </c>
      <c r="H1064" s="8"/>
      <c r="I1064" s="8" t="s">
        <v>3717</v>
      </c>
      <c r="J1064" s="8" t="s">
        <v>72</v>
      </c>
      <c r="K1064" s="8" t="s">
        <v>3151</v>
      </c>
      <c r="L1064" s="8" t="s">
        <v>688</v>
      </c>
      <c r="M1064" s="8"/>
      <c r="N1064" s="8" t="s">
        <v>62</v>
      </c>
      <c r="O1064" s="8" t="s">
        <v>63</v>
      </c>
      <c r="P1064" s="4" t="n">
        <v>42</v>
      </c>
      <c r="Q1064" s="8"/>
      <c r="R1064" s="4" t="s">
        <v>3714</v>
      </c>
      <c r="S1064" s="4"/>
    </row>
    <row r="1065" customFormat="false" ht="26.85" hidden="false" customHeight="false" outlineLevel="0" collapsed="false">
      <c r="A1065" s="4" t="s">
        <v>3718</v>
      </c>
      <c r="B1065" s="8" t="s">
        <v>3719</v>
      </c>
      <c r="C1065" s="8"/>
      <c r="D1065" s="8"/>
      <c r="E1065" s="8"/>
      <c r="F1065" s="8"/>
      <c r="G1065" s="8"/>
      <c r="H1065" s="8"/>
      <c r="I1065" s="8" t="s">
        <v>3720</v>
      </c>
      <c r="J1065" s="8" t="s">
        <v>72</v>
      </c>
      <c r="K1065" s="8" t="s">
        <v>3721</v>
      </c>
      <c r="L1065" s="8" t="s">
        <v>3722</v>
      </c>
      <c r="M1065" s="8"/>
      <c r="N1065" s="8" t="s">
        <v>62</v>
      </c>
      <c r="O1065" s="8" t="s">
        <v>63</v>
      </c>
      <c r="P1065" s="4" t="n">
        <v>43</v>
      </c>
      <c r="Q1065" s="8"/>
      <c r="R1065" s="4" t="s">
        <v>3719</v>
      </c>
      <c r="S1065" s="4"/>
    </row>
    <row r="1066" customFormat="false" ht="26.85" hidden="false" customHeight="false" outlineLevel="0" collapsed="false">
      <c r="A1066" s="4" t="s">
        <v>3723</v>
      </c>
      <c r="B1066" s="8" t="s">
        <v>3724</v>
      </c>
      <c r="C1066" s="8"/>
      <c r="D1066" s="8"/>
      <c r="E1066" s="8"/>
      <c r="F1066" s="8"/>
      <c r="G1066" s="8"/>
      <c r="H1066" s="8"/>
      <c r="I1066" s="8" t="s">
        <v>3725</v>
      </c>
      <c r="J1066" s="8" t="s">
        <v>72</v>
      </c>
      <c r="K1066" s="8" t="s">
        <v>3721</v>
      </c>
      <c r="L1066" s="8" t="s">
        <v>3722</v>
      </c>
      <c r="M1066" s="8"/>
      <c r="N1066" s="8" t="s">
        <v>62</v>
      </c>
      <c r="O1066" s="8" t="s">
        <v>63</v>
      </c>
      <c r="P1066" s="4" t="n">
        <v>43</v>
      </c>
      <c r="Q1066" s="8"/>
      <c r="R1066" s="4" t="s">
        <v>3724</v>
      </c>
      <c r="S1066" s="4" t="n">
        <v>814</v>
      </c>
    </row>
    <row r="1067" customFormat="false" ht="26.85" hidden="false" customHeight="false" outlineLevel="0" collapsed="false">
      <c r="A1067" s="4" t="s">
        <v>3726</v>
      </c>
      <c r="B1067" s="8" t="s">
        <v>3727</v>
      </c>
      <c r="C1067" s="8"/>
      <c r="D1067" s="8"/>
      <c r="E1067" s="8"/>
      <c r="F1067" s="8"/>
      <c r="G1067" s="8"/>
      <c r="H1067" s="8"/>
      <c r="I1067" s="8" t="s">
        <v>3728</v>
      </c>
      <c r="J1067" s="8" t="s">
        <v>72</v>
      </c>
      <c r="K1067" s="8" t="s">
        <v>3721</v>
      </c>
      <c r="L1067" s="8" t="s">
        <v>3722</v>
      </c>
      <c r="M1067" s="8"/>
      <c r="N1067" s="8" t="s">
        <v>62</v>
      </c>
      <c r="O1067" s="8" t="s">
        <v>63</v>
      </c>
      <c r="P1067" s="4" t="n">
        <v>43</v>
      </c>
      <c r="Q1067" s="8"/>
      <c r="R1067" s="4" t="s">
        <v>3727</v>
      </c>
      <c r="S1067" s="4"/>
    </row>
    <row r="1068" customFormat="false" ht="26.85" hidden="false" customHeight="false" outlineLevel="0" collapsed="false">
      <c r="A1068" s="4" t="s">
        <v>3729</v>
      </c>
      <c r="B1068" s="8" t="s">
        <v>3730</v>
      </c>
      <c r="C1068" s="8"/>
      <c r="D1068" s="8"/>
      <c r="E1068" s="8"/>
      <c r="F1068" s="8"/>
      <c r="G1068" s="8"/>
      <c r="H1068" s="8"/>
      <c r="I1068" s="8" t="s">
        <v>3731</v>
      </c>
      <c r="J1068" s="8" t="s">
        <v>72</v>
      </c>
      <c r="K1068" s="8" t="s">
        <v>3721</v>
      </c>
      <c r="L1068" s="8" t="s">
        <v>3722</v>
      </c>
      <c r="M1068" s="8"/>
      <c r="N1068" s="8" t="s">
        <v>62</v>
      </c>
      <c r="O1068" s="8" t="s">
        <v>63</v>
      </c>
      <c r="P1068" s="4" t="n">
        <v>43</v>
      </c>
      <c r="Q1068" s="8"/>
      <c r="R1068" s="4" t="s">
        <v>3730</v>
      </c>
      <c r="S1068" s="4"/>
    </row>
    <row r="1069" customFormat="false" ht="26.85" hidden="false" customHeight="false" outlineLevel="0" collapsed="false">
      <c r="A1069" s="4" t="s">
        <v>3732</v>
      </c>
      <c r="B1069" s="8" t="s">
        <v>3733</v>
      </c>
      <c r="C1069" s="8" t="s">
        <v>58</v>
      </c>
      <c r="D1069" s="8"/>
      <c r="E1069" s="8" t="s">
        <v>60</v>
      </c>
      <c r="F1069" s="8"/>
      <c r="G1069" s="8"/>
      <c r="H1069" s="8"/>
      <c r="I1069" s="8" t="s">
        <v>3734</v>
      </c>
      <c r="J1069" s="8" t="s">
        <v>72</v>
      </c>
      <c r="K1069" s="8" t="s">
        <v>3721</v>
      </c>
      <c r="L1069" s="8" t="s">
        <v>3722</v>
      </c>
      <c r="M1069" s="8"/>
      <c r="N1069" s="8" t="s">
        <v>62</v>
      </c>
      <c r="O1069" s="8" t="s">
        <v>63</v>
      </c>
      <c r="P1069" s="4" t="n">
        <v>43</v>
      </c>
      <c r="Q1069" s="8"/>
      <c r="R1069" s="4" t="s">
        <v>3735</v>
      </c>
      <c r="S1069" s="4"/>
    </row>
    <row r="1070" customFormat="false" ht="26.85" hidden="false" customHeight="false" outlineLevel="0" collapsed="false">
      <c r="A1070" s="4" t="s">
        <v>3736</v>
      </c>
      <c r="B1070" s="8" t="s">
        <v>3737</v>
      </c>
      <c r="C1070" s="8" t="s">
        <v>58</v>
      </c>
      <c r="D1070" s="8"/>
      <c r="E1070" s="8" t="s">
        <v>60</v>
      </c>
      <c r="F1070" s="8"/>
      <c r="G1070" s="8"/>
      <c r="H1070" s="8"/>
      <c r="I1070" s="8" t="s">
        <v>2943</v>
      </c>
      <c r="J1070" s="8" t="s">
        <v>72</v>
      </c>
      <c r="K1070" s="8" t="s">
        <v>3721</v>
      </c>
      <c r="L1070" s="8" t="s">
        <v>3722</v>
      </c>
      <c r="M1070" s="8"/>
      <c r="N1070" s="8" t="s">
        <v>62</v>
      </c>
      <c r="O1070" s="8" t="s">
        <v>63</v>
      </c>
      <c r="P1070" s="4" t="n">
        <v>43</v>
      </c>
      <c r="Q1070" s="8"/>
      <c r="R1070" s="4" t="s">
        <v>3738</v>
      </c>
      <c r="S1070" s="4"/>
    </row>
    <row r="1071" customFormat="false" ht="26.85" hidden="false" customHeight="false" outlineLevel="0" collapsed="false">
      <c r="A1071" s="4" t="s">
        <v>3739</v>
      </c>
      <c r="B1071" s="8" t="s">
        <v>3740</v>
      </c>
      <c r="C1071" s="8"/>
      <c r="D1071" s="8"/>
      <c r="E1071" s="8"/>
      <c r="F1071" s="8"/>
      <c r="G1071" s="8"/>
      <c r="H1071" s="8"/>
      <c r="I1071" s="8" t="s">
        <v>3741</v>
      </c>
      <c r="J1071" s="8" t="s">
        <v>72</v>
      </c>
      <c r="K1071" s="8" t="s">
        <v>3721</v>
      </c>
      <c r="L1071" s="8" t="s">
        <v>3722</v>
      </c>
      <c r="M1071" s="8"/>
      <c r="N1071" s="8" t="s">
        <v>62</v>
      </c>
      <c r="O1071" s="8" t="s">
        <v>63</v>
      </c>
      <c r="P1071" s="4" t="n">
        <v>43</v>
      </c>
      <c r="Q1071" s="8"/>
      <c r="R1071" s="4" t="s">
        <v>3740</v>
      </c>
      <c r="S1071" s="4"/>
    </row>
    <row r="1072" customFormat="false" ht="26.85" hidden="false" customHeight="false" outlineLevel="0" collapsed="false">
      <c r="A1072" s="4" t="s">
        <v>3742</v>
      </c>
      <c r="B1072" s="8" t="s">
        <v>3743</v>
      </c>
      <c r="C1072" s="8"/>
      <c r="D1072" s="8"/>
      <c r="E1072" s="8"/>
      <c r="F1072" s="8"/>
      <c r="G1072" s="8"/>
      <c r="H1072" s="8"/>
      <c r="I1072" s="8" t="s">
        <v>3744</v>
      </c>
      <c r="J1072" s="8" t="s">
        <v>72</v>
      </c>
      <c r="K1072" s="8" t="s">
        <v>3721</v>
      </c>
      <c r="L1072" s="8" t="s">
        <v>3722</v>
      </c>
      <c r="M1072" s="8"/>
      <c r="N1072" s="8" t="s">
        <v>62</v>
      </c>
      <c r="O1072" s="8" t="s">
        <v>63</v>
      </c>
      <c r="P1072" s="4" t="n">
        <v>43</v>
      </c>
      <c r="Q1072" s="8"/>
      <c r="R1072" s="4" t="s">
        <v>3743</v>
      </c>
      <c r="S1072" s="4"/>
    </row>
    <row r="1073" customFormat="false" ht="26.85" hidden="false" customHeight="false" outlineLevel="0" collapsed="false">
      <c r="A1073" s="4" t="s">
        <v>3745</v>
      </c>
      <c r="B1073" s="8" t="s">
        <v>3746</v>
      </c>
      <c r="C1073" s="8"/>
      <c r="D1073" s="8"/>
      <c r="E1073" s="8"/>
      <c r="F1073" s="8"/>
      <c r="G1073" s="8"/>
      <c r="H1073" s="8"/>
      <c r="I1073" s="8" t="s">
        <v>3747</v>
      </c>
      <c r="J1073" s="8" t="s">
        <v>72</v>
      </c>
      <c r="K1073" s="8" t="s">
        <v>3721</v>
      </c>
      <c r="L1073" s="8" t="s">
        <v>3722</v>
      </c>
      <c r="M1073" s="8"/>
      <c r="N1073" s="8" t="s">
        <v>62</v>
      </c>
      <c r="O1073" s="8" t="s">
        <v>63</v>
      </c>
      <c r="P1073" s="4" t="n">
        <v>43</v>
      </c>
      <c r="Q1073" s="8"/>
      <c r="R1073" s="4" t="s">
        <v>3746</v>
      </c>
      <c r="S1073" s="4" t="n">
        <v>2798</v>
      </c>
    </row>
    <row r="1074" customFormat="false" ht="26.85" hidden="false" customHeight="false" outlineLevel="0" collapsed="false">
      <c r="A1074" s="4" t="s">
        <v>3748</v>
      </c>
      <c r="B1074" s="8" t="s">
        <v>3749</v>
      </c>
      <c r="C1074" s="8"/>
      <c r="D1074" s="8"/>
      <c r="E1074" s="8"/>
      <c r="F1074" s="8"/>
      <c r="G1074" s="8"/>
      <c r="H1074" s="8"/>
      <c r="I1074" s="8" t="s">
        <v>3750</v>
      </c>
      <c r="J1074" s="8" t="s">
        <v>72</v>
      </c>
      <c r="K1074" s="8" t="s">
        <v>3721</v>
      </c>
      <c r="L1074" s="8" t="s">
        <v>3722</v>
      </c>
      <c r="M1074" s="8"/>
      <c r="N1074" s="8" t="s">
        <v>62</v>
      </c>
      <c r="O1074" s="8" t="s">
        <v>63</v>
      </c>
      <c r="P1074" s="4" t="n">
        <v>43</v>
      </c>
      <c r="Q1074" s="8"/>
      <c r="R1074" s="4" t="s">
        <v>3749</v>
      </c>
      <c r="S1074" s="4"/>
    </row>
    <row r="1075" customFormat="false" ht="26.85" hidden="false" customHeight="false" outlineLevel="0" collapsed="false">
      <c r="A1075" s="4" t="s">
        <v>3751</v>
      </c>
      <c r="B1075" s="8" t="s">
        <v>3752</v>
      </c>
      <c r="C1075" s="8"/>
      <c r="D1075" s="8"/>
      <c r="E1075" s="8"/>
      <c r="F1075" s="8"/>
      <c r="G1075" s="8"/>
      <c r="H1075" s="8"/>
      <c r="I1075" s="8" t="s">
        <v>3753</v>
      </c>
      <c r="J1075" s="8" t="s">
        <v>72</v>
      </c>
      <c r="K1075" s="8" t="s">
        <v>3721</v>
      </c>
      <c r="L1075" s="8" t="s">
        <v>3722</v>
      </c>
      <c r="M1075" s="8"/>
      <c r="N1075" s="8" t="s">
        <v>62</v>
      </c>
      <c r="O1075" s="8" t="s">
        <v>63</v>
      </c>
      <c r="P1075" s="4" t="n">
        <v>43</v>
      </c>
      <c r="Q1075" s="8"/>
      <c r="R1075" s="4" t="s">
        <v>3752</v>
      </c>
      <c r="S1075" s="4" t="n">
        <v>1886</v>
      </c>
    </row>
    <row r="1076" customFormat="false" ht="26.85" hidden="false" customHeight="false" outlineLevel="0" collapsed="false">
      <c r="A1076" s="4" t="s">
        <v>3754</v>
      </c>
      <c r="B1076" s="8" t="s">
        <v>3755</v>
      </c>
      <c r="C1076" s="8"/>
      <c r="D1076" s="8"/>
      <c r="E1076" s="8"/>
      <c r="F1076" s="8"/>
      <c r="G1076" s="8"/>
      <c r="H1076" s="8"/>
      <c r="I1076" s="8" t="s">
        <v>3756</v>
      </c>
      <c r="J1076" s="8" t="s">
        <v>72</v>
      </c>
      <c r="K1076" s="8" t="s">
        <v>3721</v>
      </c>
      <c r="L1076" s="8" t="s">
        <v>3722</v>
      </c>
      <c r="M1076" s="8"/>
      <c r="N1076" s="8" t="s">
        <v>62</v>
      </c>
      <c r="O1076" s="8" t="s">
        <v>63</v>
      </c>
      <c r="P1076" s="4" t="n">
        <v>43</v>
      </c>
      <c r="Q1076" s="8"/>
      <c r="R1076" s="4" t="s">
        <v>3755</v>
      </c>
      <c r="S1076" s="4" t="n">
        <v>18156</v>
      </c>
    </row>
    <row r="1077" customFormat="false" ht="26.85" hidden="false" customHeight="false" outlineLevel="0" collapsed="false">
      <c r="A1077" s="4" t="s">
        <v>3757</v>
      </c>
      <c r="B1077" s="8" t="s">
        <v>3758</v>
      </c>
      <c r="C1077" s="8" t="s">
        <v>58</v>
      </c>
      <c r="D1077" s="8"/>
      <c r="E1077" s="8" t="s">
        <v>60</v>
      </c>
      <c r="F1077" s="8"/>
      <c r="G1077" s="8"/>
      <c r="H1077" s="8"/>
      <c r="I1077" s="8" t="s">
        <v>3759</v>
      </c>
      <c r="J1077" s="8" t="s">
        <v>72</v>
      </c>
      <c r="K1077" s="8" t="s">
        <v>3721</v>
      </c>
      <c r="L1077" s="8" t="s">
        <v>3722</v>
      </c>
      <c r="M1077" s="8"/>
      <c r="N1077" s="8" t="s">
        <v>62</v>
      </c>
      <c r="O1077" s="8" t="s">
        <v>63</v>
      </c>
      <c r="P1077" s="4" t="n">
        <v>43</v>
      </c>
      <c r="Q1077" s="8"/>
      <c r="R1077" s="4" t="s">
        <v>3760</v>
      </c>
      <c r="S1077" s="4"/>
    </row>
    <row r="1078" customFormat="false" ht="26.85" hidden="false" customHeight="false" outlineLevel="0" collapsed="false">
      <c r="A1078" s="4" t="s">
        <v>3761</v>
      </c>
      <c r="B1078" s="8" t="s">
        <v>1649</v>
      </c>
      <c r="C1078" s="8"/>
      <c r="D1078" s="8"/>
      <c r="E1078" s="8"/>
      <c r="F1078" s="8"/>
      <c r="G1078" s="8"/>
      <c r="H1078" s="8"/>
      <c r="I1078" s="8" t="s">
        <v>1650</v>
      </c>
      <c r="J1078" s="8" t="s">
        <v>72</v>
      </c>
      <c r="K1078" s="8" t="s">
        <v>3721</v>
      </c>
      <c r="L1078" s="8" t="s">
        <v>3722</v>
      </c>
      <c r="M1078" s="8"/>
      <c r="N1078" s="8" t="s">
        <v>62</v>
      </c>
      <c r="O1078" s="8" t="s">
        <v>63</v>
      </c>
      <c r="P1078" s="4" t="n">
        <v>43</v>
      </c>
      <c r="Q1078" s="8"/>
      <c r="R1078" s="4" t="s">
        <v>1649</v>
      </c>
      <c r="S1078" s="4"/>
    </row>
    <row r="1079" customFormat="false" ht="26.85" hidden="false" customHeight="false" outlineLevel="0" collapsed="false">
      <c r="A1079" s="4" t="s">
        <v>3762</v>
      </c>
      <c r="B1079" s="8" t="s">
        <v>3763</v>
      </c>
      <c r="C1079" s="8" t="s">
        <v>58</v>
      </c>
      <c r="D1079" s="8"/>
      <c r="E1079" s="8" t="s">
        <v>60</v>
      </c>
      <c r="F1079" s="8"/>
      <c r="G1079" s="8"/>
      <c r="H1079" s="8"/>
      <c r="I1079" s="8" t="s">
        <v>3764</v>
      </c>
      <c r="J1079" s="8" t="s">
        <v>72</v>
      </c>
      <c r="K1079" s="8" t="s">
        <v>3721</v>
      </c>
      <c r="L1079" s="8" t="s">
        <v>3722</v>
      </c>
      <c r="M1079" s="8"/>
      <c r="N1079" s="8" t="s">
        <v>62</v>
      </c>
      <c r="O1079" s="8" t="s">
        <v>63</v>
      </c>
      <c r="P1079" s="4" t="n">
        <v>43</v>
      </c>
      <c r="Q1079" s="8"/>
      <c r="R1079" s="4" t="s">
        <v>3765</v>
      </c>
      <c r="S1079" s="4"/>
    </row>
    <row r="1080" customFormat="false" ht="26.85" hidden="false" customHeight="false" outlineLevel="0" collapsed="false">
      <c r="A1080" s="4" t="s">
        <v>3766</v>
      </c>
      <c r="B1080" s="8" t="s">
        <v>3767</v>
      </c>
      <c r="C1080" s="8"/>
      <c r="D1080" s="8"/>
      <c r="E1080" s="8"/>
      <c r="F1080" s="8"/>
      <c r="G1080" s="8"/>
      <c r="H1080" s="8"/>
      <c r="I1080" s="8" t="s">
        <v>3768</v>
      </c>
      <c r="J1080" s="8" t="s">
        <v>72</v>
      </c>
      <c r="K1080" s="8" t="s">
        <v>3721</v>
      </c>
      <c r="L1080" s="8" t="s">
        <v>3722</v>
      </c>
      <c r="M1080" s="8"/>
      <c r="N1080" s="8" t="s">
        <v>62</v>
      </c>
      <c r="O1080" s="8" t="s">
        <v>63</v>
      </c>
      <c r="P1080" s="4" t="n">
        <v>43</v>
      </c>
      <c r="Q1080" s="8"/>
      <c r="R1080" s="4" t="s">
        <v>3767</v>
      </c>
      <c r="S1080" s="4" t="n">
        <v>12130</v>
      </c>
    </row>
    <row r="1081" customFormat="false" ht="26.85" hidden="false" customHeight="false" outlineLevel="0" collapsed="false">
      <c r="A1081" s="4" t="s">
        <v>3769</v>
      </c>
      <c r="B1081" s="8" t="s">
        <v>3770</v>
      </c>
      <c r="C1081" s="8" t="s">
        <v>58</v>
      </c>
      <c r="D1081" s="8"/>
      <c r="E1081" s="8" t="s">
        <v>60</v>
      </c>
      <c r="F1081" s="8"/>
      <c r="G1081" s="8"/>
      <c r="H1081" s="8"/>
      <c r="I1081" s="8" t="s">
        <v>3771</v>
      </c>
      <c r="J1081" s="8" t="s">
        <v>72</v>
      </c>
      <c r="K1081" s="8" t="s">
        <v>3721</v>
      </c>
      <c r="L1081" s="8" t="s">
        <v>3722</v>
      </c>
      <c r="M1081" s="8"/>
      <c r="N1081" s="8" t="s">
        <v>62</v>
      </c>
      <c r="O1081" s="8" t="s">
        <v>63</v>
      </c>
      <c r="P1081" s="4" t="n">
        <v>43</v>
      </c>
      <c r="Q1081" s="8"/>
      <c r="R1081" s="4" t="s">
        <v>3772</v>
      </c>
      <c r="S1081" s="4"/>
    </row>
    <row r="1082" customFormat="false" ht="26.85" hidden="false" customHeight="false" outlineLevel="0" collapsed="false">
      <c r="A1082" s="4" t="s">
        <v>3773</v>
      </c>
      <c r="B1082" s="8" t="s">
        <v>3774</v>
      </c>
      <c r="C1082" s="8"/>
      <c r="D1082" s="8"/>
      <c r="E1082" s="8"/>
      <c r="F1082" s="8"/>
      <c r="G1082" s="8"/>
      <c r="H1082" s="8"/>
      <c r="I1082" s="8" t="s">
        <v>3775</v>
      </c>
      <c r="J1082" s="8" t="s">
        <v>72</v>
      </c>
      <c r="K1082" s="8" t="s">
        <v>3721</v>
      </c>
      <c r="L1082" s="8" t="s">
        <v>3722</v>
      </c>
      <c r="M1082" s="8"/>
      <c r="N1082" s="8" t="s">
        <v>62</v>
      </c>
      <c r="O1082" s="8" t="s">
        <v>63</v>
      </c>
      <c r="P1082" s="4" t="n">
        <v>43</v>
      </c>
      <c r="Q1082" s="8"/>
      <c r="R1082" s="4" t="s">
        <v>3774</v>
      </c>
      <c r="S1082" s="4"/>
    </row>
    <row r="1083" customFormat="false" ht="26.85" hidden="false" customHeight="false" outlineLevel="0" collapsed="false">
      <c r="A1083" s="4" t="s">
        <v>3776</v>
      </c>
      <c r="B1083" s="8" t="s">
        <v>3777</v>
      </c>
      <c r="C1083" s="8"/>
      <c r="D1083" s="8"/>
      <c r="E1083" s="8"/>
      <c r="F1083" s="8"/>
      <c r="G1083" s="8"/>
      <c r="H1083" s="8"/>
      <c r="I1083" s="8" t="s">
        <v>3778</v>
      </c>
      <c r="J1083" s="8" t="s">
        <v>72</v>
      </c>
      <c r="K1083" s="8" t="s">
        <v>3721</v>
      </c>
      <c r="L1083" s="8" t="s">
        <v>3722</v>
      </c>
      <c r="M1083" s="8"/>
      <c r="N1083" s="8" t="s">
        <v>62</v>
      </c>
      <c r="O1083" s="8" t="s">
        <v>63</v>
      </c>
      <c r="P1083" s="4" t="n">
        <v>43</v>
      </c>
      <c r="Q1083" s="8"/>
      <c r="R1083" s="4" t="s">
        <v>3777</v>
      </c>
      <c r="S1083" s="4"/>
    </row>
    <row r="1084" customFormat="false" ht="26.85" hidden="false" customHeight="false" outlineLevel="0" collapsed="false">
      <c r="A1084" s="4" t="s">
        <v>3779</v>
      </c>
      <c r="B1084" s="8" t="s">
        <v>3780</v>
      </c>
      <c r="C1084" s="8"/>
      <c r="D1084" s="8"/>
      <c r="E1084" s="8"/>
      <c r="F1084" s="8"/>
      <c r="G1084" s="8"/>
      <c r="H1084" s="8"/>
      <c r="I1084" s="8" t="s">
        <v>3781</v>
      </c>
      <c r="J1084" s="8" t="s">
        <v>72</v>
      </c>
      <c r="K1084" s="8" t="s">
        <v>3721</v>
      </c>
      <c r="L1084" s="8" t="s">
        <v>3722</v>
      </c>
      <c r="M1084" s="8"/>
      <c r="N1084" s="8" t="s">
        <v>62</v>
      </c>
      <c r="O1084" s="8" t="s">
        <v>63</v>
      </c>
      <c r="P1084" s="4" t="n">
        <v>43</v>
      </c>
      <c r="Q1084" s="8"/>
      <c r="R1084" s="4" t="s">
        <v>3780</v>
      </c>
      <c r="S1084" s="4"/>
    </row>
    <row r="1085" customFormat="false" ht="26.85" hidden="false" customHeight="false" outlineLevel="0" collapsed="false">
      <c r="A1085" s="4" t="s">
        <v>3782</v>
      </c>
      <c r="B1085" s="8" t="s">
        <v>3783</v>
      </c>
      <c r="C1085" s="8"/>
      <c r="D1085" s="8"/>
      <c r="E1085" s="8"/>
      <c r="F1085" s="8"/>
      <c r="G1085" s="8"/>
      <c r="H1085" s="8"/>
      <c r="I1085" s="8" t="s">
        <v>3784</v>
      </c>
      <c r="J1085" s="8" t="s">
        <v>72</v>
      </c>
      <c r="K1085" s="8" t="s">
        <v>3721</v>
      </c>
      <c r="L1085" s="8" t="s">
        <v>3722</v>
      </c>
      <c r="M1085" s="8"/>
      <c r="N1085" s="8" t="s">
        <v>62</v>
      </c>
      <c r="O1085" s="8" t="s">
        <v>63</v>
      </c>
      <c r="P1085" s="4" t="n">
        <v>43</v>
      </c>
      <c r="Q1085" s="8"/>
      <c r="R1085" s="4" t="s">
        <v>3783</v>
      </c>
      <c r="S1085" s="4"/>
    </row>
    <row r="1086" customFormat="false" ht="26.85" hidden="false" customHeight="false" outlineLevel="0" collapsed="false">
      <c r="A1086" s="4" t="s">
        <v>3785</v>
      </c>
      <c r="B1086" s="8" t="s">
        <v>3786</v>
      </c>
      <c r="C1086" s="8"/>
      <c r="D1086" s="8"/>
      <c r="E1086" s="8"/>
      <c r="F1086" s="8"/>
      <c r="G1086" s="8"/>
      <c r="H1086" s="8"/>
      <c r="I1086" s="8" t="s">
        <v>3787</v>
      </c>
      <c r="J1086" s="8" t="s">
        <v>72</v>
      </c>
      <c r="K1086" s="8" t="s">
        <v>3721</v>
      </c>
      <c r="L1086" s="8" t="s">
        <v>3722</v>
      </c>
      <c r="M1086" s="8"/>
      <c r="N1086" s="8" t="s">
        <v>62</v>
      </c>
      <c r="O1086" s="8" t="s">
        <v>63</v>
      </c>
      <c r="P1086" s="4" t="n">
        <v>43</v>
      </c>
      <c r="Q1086" s="8"/>
      <c r="R1086" s="4" t="s">
        <v>3786</v>
      </c>
      <c r="S1086" s="4" t="n">
        <v>2747</v>
      </c>
    </row>
    <row r="1087" customFormat="false" ht="26.85" hidden="false" customHeight="false" outlineLevel="0" collapsed="false">
      <c r="A1087" s="4" t="s">
        <v>3788</v>
      </c>
      <c r="B1087" s="8" t="s">
        <v>3789</v>
      </c>
      <c r="C1087" s="8" t="s">
        <v>58</v>
      </c>
      <c r="D1087" s="8"/>
      <c r="E1087" s="8" t="s">
        <v>60</v>
      </c>
      <c r="F1087" s="8"/>
      <c r="G1087" s="8"/>
      <c r="H1087" s="8"/>
      <c r="I1087" s="8" t="s">
        <v>3790</v>
      </c>
      <c r="J1087" s="8" t="s">
        <v>72</v>
      </c>
      <c r="K1087" s="8" t="s">
        <v>3721</v>
      </c>
      <c r="L1087" s="8" t="s">
        <v>3722</v>
      </c>
      <c r="M1087" s="8"/>
      <c r="N1087" s="8" t="s">
        <v>62</v>
      </c>
      <c r="O1087" s="8" t="s">
        <v>63</v>
      </c>
      <c r="P1087" s="4" t="n">
        <v>43</v>
      </c>
      <c r="Q1087" s="8"/>
      <c r="R1087" s="4" t="s">
        <v>3791</v>
      </c>
      <c r="S1087" s="4"/>
    </row>
    <row r="1088" customFormat="false" ht="26.85" hidden="false" customHeight="false" outlineLevel="0" collapsed="false">
      <c r="A1088" s="4" t="s">
        <v>3792</v>
      </c>
      <c r="B1088" s="8" t="s">
        <v>3793</v>
      </c>
      <c r="C1088" s="8"/>
      <c r="D1088" s="8"/>
      <c r="E1088" s="8"/>
      <c r="F1088" s="8"/>
      <c r="G1088" s="8"/>
      <c r="H1088" s="8"/>
      <c r="I1088" s="8" t="s">
        <v>3794</v>
      </c>
      <c r="J1088" s="8" t="s">
        <v>72</v>
      </c>
      <c r="K1088" s="8" t="s">
        <v>3721</v>
      </c>
      <c r="L1088" s="8" t="s">
        <v>3722</v>
      </c>
      <c r="M1088" s="8"/>
      <c r="N1088" s="8" t="s">
        <v>62</v>
      </c>
      <c r="O1088" s="8" t="s">
        <v>63</v>
      </c>
      <c r="P1088" s="4" t="n">
        <v>43</v>
      </c>
      <c r="Q1088" s="8"/>
      <c r="R1088" s="4" t="s">
        <v>3793</v>
      </c>
      <c r="S1088" s="4"/>
    </row>
    <row r="1089" customFormat="false" ht="26.85" hidden="false" customHeight="false" outlineLevel="0" collapsed="false">
      <c r="A1089" s="4" t="s">
        <v>3795</v>
      </c>
      <c r="B1089" s="8" t="s">
        <v>3796</v>
      </c>
      <c r="C1089" s="8"/>
      <c r="D1089" s="8"/>
      <c r="E1089" s="8"/>
      <c r="F1089" s="8"/>
      <c r="G1089" s="8"/>
      <c r="H1089" s="8"/>
      <c r="I1089" s="8" t="s">
        <v>3797</v>
      </c>
      <c r="J1089" s="8" t="s">
        <v>72</v>
      </c>
      <c r="K1089" s="8" t="s">
        <v>3721</v>
      </c>
      <c r="L1089" s="8" t="s">
        <v>3722</v>
      </c>
      <c r="M1089" s="8"/>
      <c r="N1089" s="8" t="s">
        <v>62</v>
      </c>
      <c r="O1089" s="8" t="s">
        <v>63</v>
      </c>
      <c r="P1089" s="4" t="n">
        <v>43</v>
      </c>
      <c r="Q1089" s="8"/>
      <c r="R1089" s="4" t="s">
        <v>3796</v>
      </c>
      <c r="S1089" s="4"/>
    </row>
    <row r="1090" customFormat="false" ht="26.85" hidden="false" customHeight="false" outlineLevel="0" collapsed="false">
      <c r="A1090" s="4" t="s">
        <v>3798</v>
      </c>
      <c r="B1090" s="8" t="s">
        <v>3799</v>
      </c>
      <c r="C1090" s="8"/>
      <c r="D1090" s="8"/>
      <c r="E1090" s="8"/>
      <c r="F1090" s="8"/>
      <c r="G1090" s="8"/>
      <c r="H1090" s="8"/>
      <c r="I1090" s="8" t="s">
        <v>3800</v>
      </c>
      <c r="J1090" s="8" t="s">
        <v>72</v>
      </c>
      <c r="K1090" s="8" t="s">
        <v>3721</v>
      </c>
      <c r="L1090" s="8" t="s">
        <v>3722</v>
      </c>
      <c r="M1090" s="8"/>
      <c r="N1090" s="8" t="s">
        <v>62</v>
      </c>
      <c r="O1090" s="8" t="s">
        <v>63</v>
      </c>
      <c r="P1090" s="4" t="n">
        <v>43</v>
      </c>
      <c r="Q1090" s="8"/>
      <c r="R1090" s="4" t="s">
        <v>3799</v>
      </c>
      <c r="S1090" s="4"/>
    </row>
    <row r="1091" customFormat="false" ht="26.85" hidden="false" customHeight="false" outlineLevel="0" collapsed="false">
      <c r="A1091" s="4" t="s">
        <v>3801</v>
      </c>
      <c r="B1091" s="8" t="s">
        <v>3802</v>
      </c>
      <c r="C1091" s="8" t="s">
        <v>58</v>
      </c>
      <c r="D1091" s="8" t="s">
        <v>67</v>
      </c>
      <c r="E1091" s="8" t="s">
        <v>60</v>
      </c>
      <c r="F1091" s="8"/>
      <c r="G1091" s="8"/>
      <c r="H1091" s="8"/>
      <c r="I1091" s="8" t="s">
        <v>3803</v>
      </c>
      <c r="J1091" s="8" t="s">
        <v>72</v>
      </c>
      <c r="K1091" s="8" t="s">
        <v>3721</v>
      </c>
      <c r="L1091" s="8" t="s">
        <v>3722</v>
      </c>
      <c r="M1091" s="8"/>
      <c r="N1091" s="8" t="s">
        <v>62</v>
      </c>
      <c r="O1091" s="8" t="s">
        <v>63</v>
      </c>
      <c r="P1091" s="4" t="n">
        <v>43</v>
      </c>
      <c r="Q1091" s="8"/>
      <c r="R1091" s="4" t="s">
        <v>3804</v>
      </c>
      <c r="S1091" s="4"/>
    </row>
    <row r="1092" customFormat="false" ht="26.85" hidden="false" customHeight="false" outlineLevel="0" collapsed="false">
      <c r="A1092" s="4" t="s">
        <v>3805</v>
      </c>
      <c r="B1092" s="8" t="s">
        <v>3806</v>
      </c>
      <c r="C1092" s="8" t="s">
        <v>66</v>
      </c>
      <c r="D1092" s="8" t="s">
        <v>67</v>
      </c>
      <c r="E1092" s="8" t="s">
        <v>60</v>
      </c>
      <c r="F1092" s="8"/>
      <c r="G1092" s="8"/>
      <c r="H1092" s="8"/>
      <c r="I1092" s="8" t="s">
        <v>3807</v>
      </c>
      <c r="J1092" s="8" t="s">
        <v>72</v>
      </c>
      <c r="K1092" s="8" t="s">
        <v>3721</v>
      </c>
      <c r="L1092" s="8" t="s">
        <v>3808</v>
      </c>
      <c r="M1092" s="8"/>
      <c r="N1092" s="8" t="s">
        <v>62</v>
      </c>
      <c r="O1092" s="8" t="s">
        <v>63</v>
      </c>
      <c r="P1092" s="4" t="n">
        <v>43</v>
      </c>
      <c r="Q1092" s="8"/>
      <c r="R1092" s="4" t="s">
        <v>3809</v>
      </c>
      <c r="S1092" s="4"/>
    </row>
    <row r="1093" customFormat="false" ht="26.85" hidden="false" customHeight="false" outlineLevel="0" collapsed="false">
      <c r="A1093" s="4" t="s">
        <v>3810</v>
      </c>
      <c r="B1093" s="8" t="s">
        <v>3719</v>
      </c>
      <c r="C1093" s="8"/>
      <c r="D1093" s="8"/>
      <c r="E1093" s="8"/>
      <c r="F1093" s="8"/>
      <c r="G1093" s="8"/>
      <c r="H1093" s="8"/>
      <c r="I1093" s="8" t="s">
        <v>3720</v>
      </c>
      <c r="J1093" s="8" t="s">
        <v>72</v>
      </c>
      <c r="K1093" s="8" t="s">
        <v>3721</v>
      </c>
      <c r="L1093" s="8" t="s">
        <v>3808</v>
      </c>
      <c r="M1093" s="8"/>
      <c r="N1093" s="8" t="s">
        <v>62</v>
      </c>
      <c r="O1093" s="8" t="s">
        <v>63</v>
      </c>
      <c r="P1093" s="4" t="n">
        <v>43</v>
      </c>
      <c r="Q1093" s="8"/>
      <c r="R1093" s="4" t="s">
        <v>3719</v>
      </c>
      <c r="S1093" s="4"/>
    </row>
    <row r="1094" customFormat="false" ht="26.85" hidden="false" customHeight="false" outlineLevel="0" collapsed="false">
      <c r="A1094" s="4" t="s">
        <v>3811</v>
      </c>
      <c r="B1094" s="8" t="s">
        <v>3812</v>
      </c>
      <c r="C1094" s="8"/>
      <c r="D1094" s="8"/>
      <c r="E1094" s="8"/>
      <c r="F1094" s="8"/>
      <c r="G1094" s="8"/>
      <c r="H1094" s="8"/>
      <c r="I1094" s="8" t="s">
        <v>3813</v>
      </c>
      <c r="J1094" s="8" t="s">
        <v>72</v>
      </c>
      <c r="K1094" s="8" t="s">
        <v>3721</v>
      </c>
      <c r="L1094" s="8" t="s">
        <v>3808</v>
      </c>
      <c r="M1094" s="8"/>
      <c r="N1094" s="8" t="s">
        <v>62</v>
      </c>
      <c r="O1094" s="8" t="s">
        <v>63</v>
      </c>
      <c r="P1094" s="4" t="n">
        <v>43</v>
      </c>
      <c r="Q1094" s="8"/>
      <c r="R1094" s="4" t="s">
        <v>3812</v>
      </c>
      <c r="S1094" s="4"/>
    </row>
    <row r="1095" customFormat="false" ht="26.85" hidden="false" customHeight="false" outlineLevel="0" collapsed="false">
      <c r="A1095" s="4" t="s">
        <v>3814</v>
      </c>
      <c r="B1095" s="8" t="s">
        <v>3815</v>
      </c>
      <c r="C1095" s="8" t="s">
        <v>58</v>
      </c>
      <c r="D1095" s="8"/>
      <c r="E1095" s="8" t="s">
        <v>60</v>
      </c>
      <c r="F1095" s="8"/>
      <c r="G1095" s="8"/>
      <c r="H1095" s="8"/>
      <c r="I1095" s="8" t="s">
        <v>3816</v>
      </c>
      <c r="J1095" s="8" t="s">
        <v>72</v>
      </c>
      <c r="K1095" s="8" t="s">
        <v>3721</v>
      </c>
      <c r="L1095" s="8" t="s">
        <v>3808</v>
      </c>
      <c r="M1095" s="8"/>
      <c r="N1095" s="8" t="s">
        <v>62</v>
      </c>
      <c r="O1095" s="8" t="s">
        <v>63</v>
      </c>
      <c r="P1095" s="4" t="n">
        <v>43</v>
      </c>
      <c r="Q1095" s="8"/>
      <c r="R1095" s="4" t="s">
        <v>3817</v>
      </c>
      <c r="S1095" s="4"/>
    </row>
    <row r="1096" customFormat="false" ht="26.85" hidden="false" customHeight="false" outlineLevel="0" collapsed="false">
      <c r="A1096" s="4" t="s">
        <v>3818</v>
      </c>
      <c r="B1096" s="8" t="s">
        <v>3819</v>
      </c>
      <c r="C1096" s="8" t="s">
        <v>58</v>
      </c>
      <c r="D1096" s="8"/>
      <c r="E1096" s="8" t="s">
        <v>60</v>
      </c>
      <c r="F1096" s="8"/>
      <c r="G1096" s="8"/>
      <c r="H1096" s="8"/>
      <c r="I1096" s="8" t="s">
        <v>3820</v>
      </c>
      <c r="J1096" s="8" t="s">
        <v>72</v>
      </c>
      <c r="K1096" s="8" t="s">
        <v>3721</v>
      </c>
      <c r="L1096" s="8" t="s">
        <v>3808</v>
      </c>
      <c r="M1096" s="8"/>
      <c r="N1096" s="8" t="s">
        <v>62</v>
      </c>
      <c r="O1096" s="8" t="s">
        <v>63</v>
      </c>
      <c r="P1096" s="4" t="n">
        <v>43</v>
      </c>
      <c r="Q1096" s="8"/>
      <c r="R1096" s="4" t="s">
        <v>3821</v>
      </c>
      <c r="S1096" s="4"/>
    </row>
    <row r="1097" customFormat="false" ht="26.85" hidden="false" customHeight="false" outlineLevel="0" collapsed="false">
      <c r="A1097" s="4" t="s">
        <v>3822</v>
      </c>
      <c r="B1097" s="8" t="s">
        <v>3823</v>
      </c>
      <c r="C1097" s="8"/>
      <c r="D1097" s="8"/>
      <c r="E1097" s="8"/>
      <c r="F1097" s="8"/>
      <c r="G1097" s="8"/>
      <c r="H1097" s="8"/>
      <c r="I1097" s="8" t="s">
        <v>3824</v>
      </c>
      <c r="J1097" s="8" t="s">
        <v>72</v>
      </c>
      <c r="K1097" s="8" t="s">
        <v>3721</v>
      </c>
      <c r="L1097" s="8" t="s">
        <v>3808</v>
      </c>
      <c r="M1097" s="8"/>
      <c r="N1097" s="8" t="s">
        <v>62</v>
      </c>
      <c r="O1097" s="8" t="s">
        <v>63</v>
      </c>
      <c r="P1097" s="4" t="n">
        <v>43</v>
      </c>
      <c r="Q1097" s="8"/>
      <c r="R1097" s="4" t="s">
        <v>3823</v>
      </c>
      <c r="S1097" s="4"/>
    </row>
    <row r="1098" customFormat="false" ht="26.85" hidden="false" customHeight="false" outlineLevel="0" collapsed="false">
      <c r="A1098" s="4" t="s">
        <v>3825</v>
      </c>
      <c r="B1098" s="8" t="s">
        <v>2094</v>
      </c>
      <c r="C1098" s="8" t="s">
        <v>58</v>
      </c>
      <c r="D1098" s="8"/>
      <c r="E1098" s="8" t="s">
        <v>60</v>
      </c>
      <c r="F1098" s="8"/>
      <c r="G1098" s="8"/>
      <c r="H1098" s="8"/>
      <c r="I1098" s="8" t="s">
        <v>3826</v>
      </c>
      <c r="J1098" s="8" t="s">
        <v>72</v>
      </c>
      <c r="K1098" s="8" t="s">
        <v>3721</v>
      </c>
      <c r="L1098" s="8" t="s">
        <v>3808</v>
      </c>
      <c r="M1098" s="8"/>
      <c r="N1098" s="8" t="s">
        <v>62</v>
      </c>
      <c r="O1098" s="8" t="s">
        <v>63</v>
      </c>
      <c r="P1098" s="4" t="n">
        <v>43</v>
      </c>
      <c r="Q1098" s="8"/>
      <c r="R1098" s="4" t="s">
        <v>3827</v>
      </c>
      <c r="S1098" s="4"/>
    </row>
    <row r="1099" customFormat="false" ht="26.85" hidden="false" customHeight="false" outlineLevel="0" collapsed="false">
      <c r="A1099" s="4" t="s">
        <v>3828</v>
      </c>
      <c r="B1099" s="8" t="s">
        <v>3829</v>
      </c>
      <c r="C1099" s="8"/>
      <c r="D1099" s="8"/>
      <c r="E1099" s="8"/>
      <c r="F1099" s="8"/>
      <c r="G1099" s="8"/>
      <c r="H1099" s="8"/>
      <c r="I1099" s="8" t="s">
        <v>3830</v>
      </c>
      <c r="J1099" s="8" t="s">
        <v>72</v>
      </c>
      <c r="K1099" s="8" t="s">
        <v>3721</v>
      </c>
      <c r="L1099" s="8" t="s">
        <v>3808</v>
      </c>
      <c r="M1099" s="8"/>
      <c r="N1099" s="8" t="s">
        <v>62</v>
      </c>
      <c r="O1099" s="8" t="s">
        <v>63</v>
      </c>
      <c r="P1099" s="4" t="n">
        <v>43</v>
      </c>
      <c r="Q1099" s="8"/>
      <c r="R1099" s="4" t="s">
        <v>3829</v>
      </c>
      <c r="S1099" s="4"/>
    </row>
    <row r="1100" customFormat="false" ht="26.85" hidden="false" customHeight="false" outlineLevel="0" collapsed="false">
      <c r="A1100" s="4" t="s">
        <v>3831</v>
      </c>
      <c r="B1100" s="8" t="s">
        <v>3832</v>
      </c>
      <c r="C1100" s="8" t="s">
        <v>58</v>
      </c>
      <c r="D1100" s="8"/>
      <c r="E1100" s="8" t="s">
        <v>60</v>
      </c>
      <c r="F1100" s="8"/>
      <c r="G1100" s="8"/>
      <c r="H1100" s="8"/>
      <c r="I1100" s="8" t="s">
        <v>3833</v>
      </c>
      <c r="J1100" s="8" t="s">
        <v>72</v>
      </c>
      <c r="K1100" s="8" t="s">
        <v>3721</v>
      </c>
      <c r="L1100" s="8" t="s">
        <v>3808</v>
      </c>
      <c r="M1100" s="8"/>
      <c r="N1100" s="8" t="s">
        <v>62</v>
      </c>
      <c r="O1100" s="8" t="s">
        <v>63</v>
      </c>
      <c r="P1100" s="4" t="n">
        <v>43</v>
      </c>
      <c r="Q1100" s="8"/>
      <c r="R1100" s="4" t="s">
        <v>3834</v>
      </c>
      <c r="S1100" s="4"/>
    </row>
    <row r="1101" customFormat="false" ht="26.85" hidden="false" customHeight="false" outlineLevel="0" collapsed="false">
      <c r="A1101" s="4" t="s">
        <v>3835</v>
      </c>
      <c r="B1101" s="8" t="s">
        <v>3836</v>
      </c>
      <c r="C1101" s="8" t="s">
        <v>58</v>
      </c>
      <c r="D1101" s="8"/>
      <c r="E1101" s="8" t="s">
        <v>60</v>
      </c>
      <c r="F1101" s="8"/>
      <c r="G1101" s="8"/>
      <c r="H1101" s="8"/>
      <c r="I1101" s="8" t="s">
        <v>3837</v>
      </c>
      <c r="J1101" s="8" t="s">
        <v>72</v>
      </c>
      <c r="K1101" s="8" t="s">
        <v>3721</v>
      </c>
      <c r="L1101" s="8" t="s">
        <v>3808</v>
      </c>
      <c r="M1101" s="8"/>
      <c r="N1101" s="8" t="s">
        <v>62</v>
      </c>
      <c r="O1101" s="8" t="s">
        <v>63</v>
      </c>
      <c r="P1101" s="4" t="n">
        <v>43</v>
      </c>
      <c r="Q1101" s="8"/>
      <c r="R1101" s="4" t="s">
        <v>3838</v>
      </c>
      <c r="S1101" s="4"/>
    </row>
    <row r="1102" customFormat="false" ht="26.85" hidden="false" customHeight="false" outlineLevel="0" collapsed="false">
      <c r="A1102" s="4" t="s">
        <v>3839</v>
      </c>
      <c r="B1102" s="8" t="s">
        <v>3840</v>
      </c>
      <c r="C1102" s="8" t="s">
        <v>58</v>
      </c>
      <c r="D1102" s="8"/>
      <c r="E1102" s="8" t="s">
        <v>60</v>
      </c>
      <c r="F1102" s="8"/>
      <c r="G1102" s="8"/>
      <c r="H1102" s="8"/>
      <c r="I1102" s="8" t="s">
        <v>3841</v>
      </c>
      <c r="J1102" s="8" t="s">
        <v>72</v>
      </c>
      <c r="K1102" s="8" t="s">
        <v>3721</v>
      </c>
      <c r="L1102" s="8" t="s">
        <v>3808</v>
      </c>
      <c r="M1102" s="8"/>
      <c r="N1102" s="8" t="s">
        <v>62</v>
      </c>
      <c r="O1102" s="8" t="s">
        <v>63</v>
      </c>
      <c r="P1102" s="4" t="n">
        <v>43</v>
      </c>
      <c r="Q1102" s="8"/>
      <c r="R1102" s="4" t="s">
        <v>3842</v>
      </c>
      <c r="S1102" s="4"/>
    </row>
    <row r="1103" customFormat="false" ht="26.85" hidden="false" customHeight="false" outlineLevel="0" collapsed="false">
      <c r="A1103" s="4" t="s">
        <v>3843</v>
      </c>
      <c r="B1103" s="8" t="s">
        <v>3844</v>
      </c>
      <c r="C1103" s="8"/>
      <c r="D1103" s="8"/>
      <c r="E1103" s="8"/>
      <c r="F1103" s="8"/>
      <c r="G1103" s="8"/>
      <c r="H1103" s="8"/>
      <c r="I1103" s="8" t="s">
        <v>3845</v>
      </c>
      <c r="J1103" s="8" t="s">
        <v>72</v>
      </c>
      <c r="K1103" s="8" t="s">
        <v>3721</v>
      </c>
      <c r="L1103" s="8" t="s">
        <v>3808</v>
      </c>
      <c r="M1103" s="8"/>
      <c r="N1103" s="8" t="s">
        <v>62</v>
      </c>
      <c r="O1103" s="8" t="s">
        <v>63</v>
      </c>
      <c r="P1103" s="4" t="n">
        <v>43</v>
      </c>
      <c r="Q1103" s="8"/>
      <c r="R1103" s="4" t="s">
        <v>3844</v>
      </c>
      <c r="S1103" s="4"/>
    </row>
    <row r="1104" customFormat="false" ht="26.85" hidden="false" customHeight="false" outlineLevel="0" collapsed="false">
      <c r="A1104" s="4" t="s">
        <v>3846</v>
      </c>
      <c r="B1104" s="8" t="s">
        <v>3847</v>
      </c>
      <c r="C1104" s="8"/>
      <c r="D1104" s="8"/>
      <c r="E1104" s="8"/>
      <c r="F1104" s="8"/>
      <c r="G1104" s="8"/>
      <c r="H1104" s="8"/>
      <c r="I1104" s="8" t="s">
        <v>3848</v>
      </c>
      <c r="J1104" s="8" t="s">
        <v>72</v>
      </c>
      <c r="K1104" s="8" t="s">
        <v>3721</v>
      </c>
      <c r="L1104" s="8" t="s">
        <v>3808</v>
      </c>
      <c r="M1104" s="8"/>
      <c r="N1104" s="8" t="s">
        <v>62</v>
      </c>
      <c r="O1104" s="8" t="s">
        <v>63</v>
      </c>
      <c r="P1104" s="4" t="n">
        <v>43</v>
      </c>
      <c r="Q1104" s="8"/>
      <c r="R1104" s="4" t="s">
        <v>3847</v>
      </c>
      <c r="S1104" s="4"/>
    </row>
    <row r="1105" customFormat="false" ht="26.85" hidden="false" customHeight="false" outlineLevel="0" collapsed="false">
      <c r="A1105" s="4" t="s">
        <v>3849</v>
      </c>
      <c r="B1105" s="8" t="s">
        <v>3850</v>
      </c>
      <c r="C1105" s="8" t="s">
        <v>58</v>
      </c>
      <c r="D1105" s="8"/>
      <c r="E1105" s="8" t="s">
        <v>60</v>
      </c>
      <c r="F1105" s="8"/>
      <c r="G1105" s="8"/>
      <c r="H1105" s="8"/>
      <c r="I1105" s="8" t="s">
        <v>3851</v>
      </c>
      <c r="J1105" s="8" t="s">
        <v>72</v>
      </c>
      <c r="K1105" s="8" t="s">
        <v>3721</v>
      </c>
      <c r="L1105" s="8" t="s">
        <v>3808</v>
      </c>
      <c r="M1105" s="8"/>
      <c r="N1105" s="8" t="s">
        <v>62</v>
      </c>
      <c r="O1105" s="8" t="s">
        <v>63</v>
      </c>
      <c r="P1105" s="4" t="n">
        <v>43</v>
      </c>
      <c r="Q1105" s="8"/>
      <c r="R1105" s="4" t="s">
        <v>3852</v>
      </c>
      <c r="S1105" s="4"/>
    </row>
    <row r="1106" customFormat="false" ht="26.85" hidden="false" customHeight="false" outlineLevel="0" collapsed="false">
      <c r="A1106" s="4" t="s">
        <v>3853</v>
      </c>
      <c r="B1106" s="8" t="s">
        <v>3854</v>
      </c>
      <c r="C1106" s="8"/>
      <c r="D1106" s="8"/>
      <c r="E1106" s="8"/>
      <c r="F1106" s="8"/>
      <c r="G1106" s="8"/>
      <c r="H1106" s="8"/>
      <c r="I1106" s="8" t="s">
        <v>3855</v>
      </c>
      <c r="J1106" s="8" t="s">
        <v>72</v>
      </c>
      <c r="K1106" s="8" t="s">
        <v>3721</v>
      </c>
      <c r="L1106" s="8" t="s">
        <v>3808</v>
      </c>
      <c r="M1106" s="8"/>
      <c r="N1106" s="8" t="s">
        <v>62</v>
      </c>
      <c r="O1106" s="8" t="s">
        <v>63</v>
      </c>
      <c r="P1106" s="4" t="n">
        <v>43</v>
      </c>
      <c r="Q1106" s="8"/>
      <c r="R1106" s="4" t="s">
        <v>3854</v>
      </c>
      <c r="S1106" s="4"/>
    </row>
    <row r="1107" customFormat="false" ht="26.85" hidden="false" customHeight="false" outlineLevel="0" collapsed="false">
      <c r="A1107" s="4" t="s">
        <v>3856</v>
      </c>
      <c r="B1107" s="8" t="s">
        <v>3857</v>
      </c>
      <c r="C1107" s="8"/>
      <c r="D1107" s="8"/>
      <c r="E1107" s="8"/>
      <c r="F1107" s="8"/>
      <c r="G1107" s="8"/>
      <c r="H1107" s="8"/>
      <c r="I1107" s="8" t="s">
        <v>3858</v>
      </c>
      <c r="J1107" s="8" t="s">
        <v>72</v>
      </c>
      <c r="K1107" s="8" t="s">
        <v>3721</v>
      </c>
      <c r="L1107" s="8" t="s">
        <v>3808</v>
      </c>
      <c r="M1107" s="8"/>
      <c r="N1107" s="8" t="s">
        <v>62</v>
      </c>
      <c r="O1107" s="8" t="s">
        <v>63</v>
      </c>
      <c r="P1107" s="4" t="n">
        <v>43</v>
      </c>
      <c r="Q1107" s="8"/>
      <c r="R1107" s="4" t="s">
        <v>3857</v>
      </c>
      <c r="S1107" s="4"/>
    </row>
    <row r="1108" customFormat="false" ht="26.85" hidden="false" customHeight="false" outlineLevel="0" collapsed="false">
      <c r="A1108" s="4" t="s">
        <v>3859</v>
      </c>
      <c r="B1108" s="8" t="s">
        <v>3860</v>
      </c>
      <c r="C1108" s="8" t="s">
        <v>58</v>
      </c>
      <c r="D1108" s="8"/>
      <c r="E1108" s="8" t="s">
        <v>60</v>
      </c>
      <c r="F1108" s="8"/>
      <c r="G1108" s="8"/>
      <c r="H1108" s="8"/>
      <c r="I1108" s="8" t="s">
        <v>3861</v>
      </c>
      <c r="J1108" s="8" t="s">
        <v>72</v>
      </c>
      <c r="K1108" s="8" t="s">
        <v>3721</v>
      </c>
      <c r="L1108" s="8" t="s">
        <v>3808</v>
      </c>
      <c r="M1108" s="8"/>
      <c r="N1108" s="8" t="s">
        <v>62</v>
      </c>
      <c r="O1108" s="8" t="s">
        <v>63</v>
      </c>
      <c r="P1108" s="4" t="n">
        <v>44</v>
      </c>
      <c r="Q1108" s="8"/>
      <c r="R1108" s="4" t="s">
        <v>3862</v>
      </c>
      <c r="S1108" s="4"/>
    </row>
    <row r="1109" customFormat="false" ht="26.85" hidden="false" customHeight="false" outlineLevel="0" collapsed="false">
      <c r="A1109" s="4" t="s">
        <v>3863</v>
      </c>
      <c r="B1109" s="8" t="s">
        <v>3864</v>
      </c>
      <c r="C1109" s="8" t="s">
        <v>58</v>
      </c>
      <c r="D1109" s="8"/>
      <c r="E1109" s="8" t="s">
        <v>60</v>
      </c>
      <c r="F1109" s="8"/>
      <c r="G1109" s="8"/>
      <c r="H1109" s="8"/>
      <c r="I1109" s="8" t="s">
        <v>3865</v>
      </c>
      <c r="J1109" s="8" t="s">
        <v>72</v>
      </c>
      <c r="K1109" s="8" t="s">
        <v>3721</v>
      </c>
      <c r="L1109" s="8" t="s">
        <v>3808</v>
      </c>
      <c r="M1109" s="8"/>
      <c r="N1109" s="8" t="s">
        <v>62</v>
      </c>
      <c r="O1109" s="8" t="s">
        <v>63</v>
      </c>
      <c r="P1109" s="4" t="n">
        <v>44</v>
      </c>
      <c r="Q1109" s="8"/>
      <c r="R1109" s="4" t="s">
        <v>3866</v>
      </c>
      <c r="S1109" s="4"/>
    </row>
    <row r="1110" customFormat="false" ht="26.85" hidden="false" customHeight="false" outlineLevel="0" collapsed="false">
      <c r="A1110" s="4" t="s">
        <v>3867</v>
      </c>
      <c r="B1110" s="8" t="s">
        <v>3868</v>
      </c>
      <c r="C1110" s="8"/>
      <c r="D1110" s="8"/>
      <c r="E1110" s="8"/>
      <c r="F1110" s="8"/>
      <c r="G1110" s="8"/>
      <c r="H1110" s="8"/>
      <c r="I1110" s="8" t="s">
        <v>3869</v>
      </c>
      <c r="J1110" s="8" t="s">
        <v>72</v>
      </c>
      <c r="K1110" s="8" t="s">
        <v>3721</v>
      </c>
      <c r="L1110" s="8" t="s">
        <v>3808</v>
      </c>
      <c r="M1110" s="8"/>
      <c r="N1110" s="8" t="s">
        <v>62</v>
      </c>
      <c r="O1110" s="8" t="s">
        <v>63</v>
      </c>
      <c r="P1110" s="4" t="n">
        <v>44</v>
      </c>
      <c r="Q1110" s="8"/>
      <c r="R1110" s="4" t="s">
        <v>3868</v>
      </c>
      <c r="S1110" s="4"/>
    </row>
    <row r="1111" customFormat="false" ht="26.85" hidden="false" customHeight="false" outlineLevel="0" collapsed="false">
      <c r="A1111" s="4" t="s">
        <v>3870</v>
      </c>
      <c r="B1111" s="8" t="s">
        <v>3871</v>
      </c>
      <c r="C1111" s="8" t="s">
        <v>58</v>
      </c>
      <c r="D1111" s="8"/>
      <c r="E1111" s="8" t="s">
        <v>60</v>
      </c>
      <c r="F1111" s="8"/>
      <c r="G1111" s="8"/>
      <c r="H1111" s="8"/>
      <c r="I1111" s="8" t="s">
        <v>3872</v>
      </c>
      <c r="J1111" s="8" t="s">
        <v>72</v>
      </c>
      <c r="K1111" s="8" t="s">
        <v>3721</v>
      </c>
      <c r="L1111" s="8" t="s">
        <v>3808</v>
      </c>
      <c r="M1111" s="8"/>
      <c r="N1111" s="8" t="s">
        <v>62</v>
      </c>
      <c r="O1111" s="8" t="s">
        <v>63</v>
      </c>
      <c r="P1111" s="4" t="n">
        <v>44</v>
      </c>
      <c r="Q1111" s="8"/>
      <c r="R1111" s="4" t="s">
        <v>3873</v>
      </c>
      <c r="S1111" s="4"/>
    </row>
    <row r="1112" customFormat="false" ht="26.85" hidden="false" customHeight="false" outlineLevel="0" collapsed="false">
      <c r="A1112" s="4" t="s">
        <v>3874</v>
      </c>
      <c r="B1112" s="8" t="s">
        <v>3875</v>
      </c>
      <c r="C1112" s="8"/>
      <c r="D1112" s="8"/>
      <c r="E1112" s="8"/>
      <c r="F1112" s="8"/>
      <c r="G1112" s="8"/>
      <c r="H1112" s="8"/>
      <c r="I1112" s="8" t="s">
        <v>3876</v>
      </c>
      <c r="J1112" s="8" t="s">
        <v>72</v>
      </c>
      <c r="K1112" s="8" t="s">
        <v>3721</v>
      </c>
      <c r="L1112" s="8" t="s">
        <v>3808</v>
      </c>
      <c r="M1112" s="8"/>
      <c r="N1112" s="8" t="s">
        <v>62</v>
      </c>
      <c r="O1112" s="8" t="s">
        <v>63</v>
      </c>
      <c r="P1112" s="4" t="n">
        <v>44</v>
      </c>
      <c r="Q1112" s="8"/>
      <c r="R1112" s="4" t="s">
        <v>3875</v>
      </c>
      <c r="S1112" s="4"/>
    </row>
    <row r="1113" customFormat="false" ht="26.85" hidden="false" customHeight="false" outlineLevel="0" collapsed="false">
      <c r="A1113" s="4" t="s">
        <v>3877</v>
      </c>
      <c r="B1113" s="8" t="s">
        <v>3878</v>
      </c>
      <c r="C1113" s="8"/>
      <c r="D1113" s="8"/>
      <c r="E1113" s="8"/>
      <c r="F1113" s="8"/>
      <c r="G1113" s="8"/>
      <c r="H1113" s="8"/>
      <c r="I1113" s="8" t="s">
        <v>3879</v>
      </c>
      <c r="J1113" s="8" t="s">
        <v>72</v>
      </c>
      <c r="K1113" s="8" t="s">
        <v>3721</v>
      </c>
      <c r="L1113" s="8" t="s">
        <v>3808</v>
      </c>
      <c r="M1113" s="8"/>
      <c r="N1113" s="8" t="s">
        <v>62</v>
      </c>
      <c r="O1113" s="8" t="s">
        <v>63</v>
      </c>
      <c r="P1113" s="4" t="n">
        <v>44</v>
      </c>
      <c r="Q1113" s="8"/>
      <c r="R1113" s="4" t="s">
        <v>3878</v>
      </c>
      <c r="S1113" s="4"/>
    </row>
    <row r="1114" customFormat="false" ht="26.85" hidden="false" customHeight="false" outlineLevel="0" collapsed="false">
      <c r="A1114" s="4" t="s">
        <v>3880</v>
      </c>
      <c r="B1114" s="8" t="s">
        <v>3881</v>
      </c>
      <c r="C1114" s="8" t="s">
        <v>58</v>
      </c>
      <c r="D1114" s="8"/>
      <c r="E1114" s="8" t="s">
        <v>60</v>
      </c>
      <c r="F1114" s="8"/>
      <c r="G1114" s="8"/>
      <c r="H1114" s="8"/>
      <c r="I1114" s="8" t="s">
        <v>3882</v>
      </c>
      <c r="J1114" s="8" t="s">
        <v>72</v>
      </c>
      <c r="K1114" s="8" t="s">
        <v>3721</v>
      </c>
      <c r="L1114" s="8" t="s">
        <v>3808</v>
      </c>
      <c r="M1114" s="8"/>
      <c r="N1114" s="8" t="s">
        <v>62</v>
      </c>
      <c r="O1114" s="8" t="s">
        <v>63</v>
      </c>
      <c r="P1114" s="4" t="n">
        <v>44</v>
      </c>
      <c r="Q1114" s="8"/>
      <c r="R1114" s="4" t="s">
        <v>3883</v>
      </c>
      <c r="S1114" s="4"/>
    </row>
    <row r="1115" customFormat="false" ht="26.85" hidden="false" customHeight="false" outlineLevel="0" collapsed="false">
      <c r="A1115" s="4" t="s">
        <v>3884</v>
      </c>
      <c r="B1115" s="8" t="s">
        <v>3885</v>
      </c>
      <c r="C1115" s="8" t="s">
        <v>58</v>
      </c>
      <c r="D1115" s="8"/>
      <c r="E1115" s="8" t="s">
        <v>60</v>
      </c>
      <c r="F1115" s="8"/>
      <c r="G1115" s="8"/>
      <c r="H1115" s="8"/>
      <c r="I1115" s="8" t="s">
        <v>3886</v>
      </c>
      <c r="J1115" s="8" t="s">
        <v>72</v>
      </c>
      <c r="K1115" s="8" t="s">
        <v>3721</v>
      </c>
      <c r="L1115" s="8" t="s">
        <v>3808</v>
      </c>
      <c r="M1115" s="8"/>
      <c r="N1115" s="8" t="s">
        <v>62</v>
      </c>
      <c r="O1115" s="8" t="s">
        <v>63</v>
      </c>
      <c r="P1115" s="4" t="n">
        <v>44</v>
      </c>
      <c r="Q1115" s="8"/>
      <c r="R1115" s="4" t="s">
        <v>3887</v>
      </c>
      <c r="S1115" s="4"/>
    </row>
    <row r="1116" customFormat="false" ht="26.85" hidden="false" customHeight="false" outlineLevel="0" collapsed="false">
      <c r="A1116" s="4" t="s">
        <v>3888</v>
      </c>
      <c r="B1116" s="8" t="s">
        <v>3889</v>
      </c>
      <c r="C1116" s="8"/>
      <c r="D1116" s="8"/>
      <c r="E1116" s="8"/>
      <c r="F1116" s="8"/>
      <c r="G1116" s="8"/>
      <c r="H1116" s="8"/>
      <c r="I1116" s="8" t="s">
        <v>3890</v>
      </c>
      <c r="J1116" s="8" t="s">
        <v>72</v>
      </c>
      <c r="K1116" s="8" t="s">
        <v>3721</v>
      </c>
      <c r="L1116" s="8" t="s">
        <v>3808</v>
      </c>
      <c r="M1116" s="8"/>
      <c r="N1116" s="8" t="s">
        <v>62</v>
      </c>
      <c r="O1116" s="8" t="s">
        <v>63</v>
      </c>
      <c r="P1116" s="4" t="n">
        <v>44</v>
      </c>
      <c r="Q1116" s="8"/>
      <c r="R1116" s="4" t="s">
        <v>3889</v>
      </c>
      <c r="S1116" s="4"/>
    </row>
    <row r="1117" customFormat="false" ht="26.85" hidden="false" customHeight="false" outlineLevel="0" collapsed="false">
      <c r="A1117" s="4" t="s">
        <v>3891</v>
      </c>
      <c r="B1117" s="8" t="s">
        <v>1649</v>
      </c>
      <c r="C1117" s="8"/>
      <c r="D1117" s="8"/>
      <c r="E1117" s="8"/>
      <c r="F1117" s="8"/>
      <c r="G1117" s="8"/>
      <c r="H1117" s="8"/>
      <c r="I1117" s="8" t="s">
        <v>1650</v>
      </c>
      <c r="J1117" s="8" t="s">
        <v>72</v>
      </c>
      <c r="K1117" s="8" t="s">
        <v>3721</v>
      </c>
      <c r="L1117" s="8" t="s">
        <v>3808</v>
      </c>
      <c r="M1117" s="8"/>
      <c r="N1117" s="8" t="s">
        <v>62</v>
      </c>
      <c r="O1117" s="8" t="s">
        <v>63</v>
      </c>
      <c r="P1117" s="4" t="n">
        <v>44</v>
      </c>
      <c r="Q1117" s="8"/>
      <c r="R1117" s="4" t="s">
        <v>1649</v>
      </c>
      <c r="S1117" s="4"/>
    </row>
    <row r="1118" customFormat="false" ht="26.85" hidden="false" customHeight="false" outlineLevel="0" collapsed="false">
      <c r="A1118" s="4" t="s">
        <v>3892</v>
      </c>
      <c r="B1118" s="8" t="s">
        <v>3893</v>
      </c>
      <c r="C1118" s="8"/>
      <c r="D1118" s="8"/>
      <c r="E1118" s="8"/>
      <c r="F1118" s="8"/>
      <c r="G1118" s="8"/>
      <c r="H1118" s="8"/>
      <c r="I1118" s="8" t="s">
        <v>3894</v>
      </c>
      <c r="J1118" s="8" t="s">
        <v>72</v>
      </c>
      <c r="K1118" s="8" t="s">
        <v>3721</v>
      </c>
      <c r="L1118" s="8" t="s">
        <v>3808</v>
      </c>
      <c r="M1118" s="8"/>
      <c r="N1118" s="8" t="s">
        <v>62</v>
      </c>
      <c r="O1118" s="8" t="s">
        <v>63</v>
      </c>
      <c r="P1118" s="4" t="n">
        <v>44</v>
      </c>
      <c r="Q1118" s="8"/>
      <c r="R1118" s="4" t="s">
        <v>3893</v>
      </c>
      <c r="S1118" s="4"/>
    </row>
    <row r="1119" customFormat="false" ht="26.85" hidden="false" customHeight="false" outlineLevel="0" collapsed="false">
      <c r="A1119" s="4" t="s">
        <v>3895</v>
      </c>
      <c r="B1119" s="8" t="s">
        <v>3896</v>
      </c>
      <c r="C1119" s="8" t="s">
        <v>58</v>
      </c>
      <c r="D1119" s="8"/>
      <c r="E1119" s="8" t="s">
        <v>60</v>
      </c>
      <c r="F1119" s="8"/>
      <c r="G1119" s="8"/>
      <c r="H1119" s="8"/>
      <c r="I1119" s="8" t="s">
        <v>3897</v>
      </c>
      <c r="J1119" s="8" t="s">
        <v>72</v>
      </c>
      <c r="K1119" s="8" t="s">
        <v>3721</v>
      </c>
      <c r="L1119" s="8" t="s">
        <v>3808</v>
      </c>
      <c r="M1119" s="8"/>
      <c r="N1119" s="8" t="s">
        <v>62</v>
      </c>
      <c r="O1119" s="8" t="s">
        <v>63</v>
      </c>
      <c r="P1119" s="4" t="n">
        <v>44</v>
      </c>
      <c r="Q1119" s="8"/>
      <c r="R1119" s="4" t="s">
        <v>3898</v>
      </c>
      <c r="S1119" s="4"/>
    </row>
    <row r="1120" customFormat="false" ht="26.85" hidden="false" customHeight="false" outlineLevel="0" collapsed="false">
      <c r="A1120" s="4" t="s">
        <v>3899</v>
      </c>
      <c r="B1120" s="8" t="s">
        <v>3900</v>
      </c>
      <c r="C1120" s="8" t="s">
        <v>58</v>
      </c>
      <c r="D1120" s="8"/>
      <c r="E1120" s="8" t="s">
        <v>60</v>
      </c>
      <c r="F1120" s="8"/>
      <c r="G1120" s="8"/>
      <c r="H1120" s="8"/>
      <c r="I1120" s="8" t="s">
        <v>3901</v>
      </c>
      <c r="J1120" s="8" t="s">
        <v>72</v>
      </c>
      <c r="K1120" s="8" t="s">
        <v>3721</v>
      </c>
      <c r="L1120" s="8" t="s">
        <v>3808</v>
      </c>
      <c r="M1120" s="8"/>
      <c r="N1120" s="8" t="s">
        <v>62</v>
      </c>
      <c r="O1120" s="8" t="s">
        <v>63</v>
      </c>
      <c r="P1120" s="4" t="n">
        <v>44</v>
      </c>
      <c r="Q1120" s="8"/>
      <c r="R1120" s="4" t="s">
        <v>3902</v>
      </c>
      <c r="S1120" s="4"/>
    </row>
    <row r="1121" customFormat="false" ht="26.85" hidden="false" customHeight="false" outlineLevel="0" collapsed="false">
      <c r="A1121" s="4" t="s">
        <v>3903</v>
      </c>
      <c r="B1121" s="8" t="s">
        <v>3904</v>
      </c>
      <c r="C1121" s="8"/>
      <c r="D1121" s="8"/>
      <c r="E1121" s="8"/>
      <c r="F1121" s="8"/>
      <c r="G1121" s="8"/>
      <c r="H1121" s="8"/>
      <c r="I1121" s="8" t="s">
        <v>3905</v>
      </c>
      <c r="J1121" s="8" t="s">
        <v>72</v>
      </c>
      <c r="K1121" s="8" t="s">
        <v>3721</v>
      </c>
      <c r="L1121" s="8" t="s">
        <v>3808</v>
      </c>
      <c r="M1121" s="8"/>
      <c r="N1121" s="8" t="s">
        <v>62</v>
      </c>
      <c r="O1121" s="8" t="s">
        <v>63</v>
      </c>
      <c r="P1121" s="4" t="n">
        <v>44</v>
      </c>
      <c r="Q1121" s="8"/>
      <c r="R1121" s="4" t="s">
        <v>3904</v>
      </c>
      <c r="S1121" s="4"/>
    </row>
    <row r="1122" customFormat="false" ht="26.85" hidden="false" customHeight="false" outlineLevel="0" collapsed="false">
      <c r="A1122" s="4" t="s">
        <v>3906</v>
      </c>
      <c r="B1122" s="8" t="s">
        <v>3907</v>
      </c>
      <c r="C1122" s="8" t="s">
        <v>58</v>
      </c>
      <c r="D1122" s="8"/>
      <c r="E1122" s="8" t="s">
        <v>60</v>
      </c>
      <c r="F1122" s="8"/>
      <c r="G1122" s="8"/>
      <c r="H1122" s="8"/>
      <c r="I1122" s="8" t="s">
        <v>3908</v>
      </c>
      <c r="J1122" s="8" t="s">
        <v>72</v>
      </c>
      <c r="K1122" s="8" t="s">
        <v>3721</v>
      </c>
      <c r="L1122" s="8" t="s">
        <v>3808</v>
      </c>
      <c r="M1122" s="8"/>
      <c r="N1122" s="8" t="s">
        <v>62</v>
      </c>
      <c r="O1122" s="8" t="s">
        <v>63</v>
      </c>
      <c r="P1122" s="4" t="n">
        <v>44</v>
      </c>
      <c r="Q1122" s="8"/>
      <c r="R1122" s="4" t="s">
        <v>3909</v>
      </c>
      <c r="S1122" s="4"/>
    </row>
    <row r="1123" customFormat="false" ht="26.85" hidden="false" customHeight="false" outlineLevel="0" collapsed="false">
      <c r="A1123" s="4" t="s">
        <v>3910</v>
      </c>
      <c r="B1123" s="8" t="s">
        <v>3911</v>
      </c>
      <c r="C1123" s="8"/>
      <c r="D1123" s="8"/>
      <c r="E1123" s="8"/>
      <c r="F1123" s="8"/>
      <c r="G1123" s="8"/>
      <c r="H1123" s="8"/>
      <c r="I1123" s="8" t="s">
        <v>3912</v>
      </c>
      <c r="J1123" s="8" t="s">
        <v>72</v>
      </c>
      <c r="K1123" s="8" t="s">
        <v>3721</v>
      </c>
      <c r="L1123" s="8" t="s">
        <v>3808</v>
      </c>
      <c r="M1123" s="8"/>
      <c r="N1123" s="8" t="s">
        <v>62</v>
      </c>
      <c r="O1123" s="8" t="s">
        <v>63</v>
      </c>
      <c r="P1123" s="4" t="n">
        <v>44</v>
      </c>
      <c r="Q1123" s="8"/>
      <c r="R1123" s="4" t="s">
        <v>3911</v>
      </c>
      <c r="S1123" s="4" t="n">
        <v>172</v>
      </c>
    </row>
    <row r="1124" customFormat="false" ht="26.85" hidden="false" customHeight="false" outlineLevel="0" collapsed="false">
      <c r="A1124" s="4" t="s">
        <v>3913</v>
      </c>
      <c r="B1124" s="8" t="s">
        <v>3914</v>
      </c>
      <c r="C1124" s="8" t="s">
        <v>58</v>
      </c>
      <c r="D1124" s="8"/>
      <c r="E1124" s="8" t="s">
        <v>60</v>
      </c>
      <c r="F1124" s="8"/>
      <c r="G1124" s="8"/>
      <c r="H1124" s="8"/>
      <c r="I1124" s="8" t="s">
        <v>3915</v>
      </c>
      <c r="J1124" s="8" t="s">
        <v>72</v>
      </c>
      <c r="K1124" s="8" t="s">
        <v>3721</v>
      </c>
      <c r="L1124" s="8" t="s">
        <v>3916</v>
      </c>
      <c r="M1124" s="8"/>
      <c r="N1124" s="8" t="s">
        <v>62</v>
      </c>
      <c r="O1124" s="8" t="s">
        <v>63</v>
      </c>
      <c r="P1124" s="4" t="n">
        <v>44</v>
      </c>
      <c r="Q1124" s="8"/>
      <c r="R1124" s="4" t="s">
        <v>3917</v>
      </c>
      <c r="S1124" s="4"/>
    </row>
    <row r="1125" customFormat="false" ht="26.85" hidden="false" customHeight="false" outlineLevel="0" collapsed="false">
      <c r="A1125" s="4" t="s">
        <v>3918</v>
      </c>
      <c r="B1125" s="8" t="s">
        <v>1815</v>
      </c>
      <c r="C1125" s="8" t="s">
        <v>58</v>
      </c>
      <c r="D1125" s="8"/>
      <c r="E1125" s="8" t="s">
        <v>60</v>
      </c>
      <c r="F1125" s="8"/>
      <c r="G1125" s="8"/>
      <c r="H1125" s="8"/>
      <c r="I1125" s="8" t="s">
        <v>1816</v>
      </c>
      <c r="J1125" s="8" t="s">
        <v>72</v>
      </c>
      <c r="K1125" s="8" t="s">
        <v>3721</v>
      </c>
      <c r="L1125" s="8" t="s">
        <v>3916</v>
      </c>
      <c r="M1125" s="8"/>
      <c r="N1125" s="8" t="s">
        <v>62</v>
      </c>
      <c r="O1125" s="8" t="s">
        <v>63</v>
      </c>
      <c r="P1125" s="4" t="n">
        <v>44</v>
      </c>
      <c r="Q1125" s="8"/>
      <c r="R1125" s="4" t="s">
        <v>1817</v>
      </c>
      <c r="S1125" s="4"/>
    </row>
    <row r="1126" customFormat="false" ht="26.85" hidden="false" customHeight="false" outlineLevel="0" collapsed="false">
      <c r="A1126" s="4" t="s">
        <v>3919</v>
      </c>
      <c r="B1126" s="8" t="s">
        <v>3920</v>
      </c>
      <c r="C1126" s="8"/>
      <c r="D1126" s="8"/>
      <c r="E1126" s="8"/>
      <c r="F1126" s="8"/>
      <c r="G1126" s="8"/>
      <c r="H1126" s="8"/>
      <c r="I1126" s="8" t="s">
        <v>3921</v>
      </c>
      <c r="J1126" s="8" t="s">
        <v>72</v>
      </c>
      <c r="K1126" s="8" t="s">
        <v>3721</v>
      </c>
      <c r="L1126" s="8" t="s">
        <v>3916</v>
      </c>
      <c r="M1126" s="8"/>
      <c r="N1126" s="8" t="s">
        <v>62</v>
      </c>
      <c r="O1126" s="8" t="s">
        <v>63</v>
      </c>
      <c r="P1126" s="4" t="n">
        <v>44</v>
      </c>
      <c r="Q1126" s="8"/>
      <c r="R1126" s="4" t="s">
        <v>3920</v>
      </c>
      <c r="S1126" s="4"/>
    </row>
    <row r="1127" customFormat="false" ht="26.85" hidden="false" customHeight="false" outlineLevel="0" collapsed="false">
      <c r="A1127" s="4" t="s">
        <v>3922</v>
      </c>
      <c r="B1127" s="8" t="s">
        <v>1840</v>
      </c>
      <c r="C1127" s="8" t="s">
        <v>58</v>
      </c>
      <c r="D1127" s="8"/>
      <c r="E1127" s="8" t="s">
        <v>60</v>
      </c>
      <c r="F1127" s="8"/>
      <c r="G1127" s="8"/>
      <c r="H1127" s="8"/>
      <c r="I1127" s="8" t="s">
        <v>1841</v>
      </c>
      <c r="J1127" s="8" t="s">
        <v>72</v>
      </c>
      <c r="K1127" s="8" t="s">
        <v>3721</v>
      </c>
      <c r="L1127" s="8" t="s">
        <v>3916</v>
      </c>
      <c r="M1127" s="8"/>
      <c r="N1127" s="8" t="s">
        <v>62</v>
      </c>
      <c r="O1127" s="8" t="s">
        <v>63</v>
      </c>
      <c r="P1127" s="4" t="n">
        <v>44</v>
      </c>
      <c r="Q1127" s="8"/>
      <c r="R1127" s="4" t="s">
        <v>1842</v>
      </c>
      <c r="S1127" s="4"/>
    </row>
    <row r="1128" customFormat="false" ht="26.85" hidden="false" customHeight="false" outlineLevel="0" collapsed="false">
      <c r="A1128" s="4" t="s">
        <v>3923</v>
      </c>
      <c r="B1128" s="8" t="s">
        <v>3924</v>
      </c>
      <c r="C1128" s="8"/>
      <c r="D1128" s="8"/>
      <c r="E1128" s="8"/>
      <c r="F1128" s="8"/>
      <c r="G1128" s="8"/>
      <c r="H1128" s="8"/>
      <c r="I1128" s="8" t="s">
        <v>3925</v>
      </c>
      <c r="J1128" s="8" t="s">
        <v>72</v>
      </c>
      <c r="K1128" s="8" t="s">
        <v>3721</v>
      </c>
      <c r="L1128" s="8" t="s">
        <v>3916</v>
      </c>
      <c r="M1128" s="8"/>
      <c r="N1128" s="8" t="s">
        <v>62</v>
      </c>
      <c r="O1128" s="8" t="s">
        <v>63</v>
      </c>
      <c r="P1128" s="4" t="n">
        <v>44</v>
      </c>
      <c r="Q1128" s="8"/>
      <c r="R1128" s="4" t="s">
        <v>3924</v>
      </c>
      <c r="S1128" s="4"/>
    </row>
    <row r="1129" customFormat="false" ht="26.85" hidden="false" customHeight="false" outlineLevel="0" collapsed="false">
      <c r="A1129" s="4" t="s">
        <v>3926</v>
      </c>
      <c r="B1129" s="8" t="s">
        <v>3927</v>
      </c>
      <c r="C1129" s="8" t="s">
        <v>58</v>
      </c>
      <c r="D1129" s="8"/>
      <c r="E1129" s="8" t="s">
        <v>60</v>
      </c>
      <c r="F1129" s="8"/>
      <c r="G1129" s="8"/>
      <c r="H1129" s="8"/>
      <c r="I1129" s="8" t="s">
        <v>3928</v>
      </c>
      <c r="J1129" s="8" t="s">
        <v>72</v>
      </c>
      <c r="K1129" s="8" t="s">
        <v>3721</v>
      </c>
      <c r="L1129" s="8" t="s">
        <v>3916</v>
      </c>
      <c r="M1129" s="8"/>
      <c r="N1129" s="8" t="s">
        <v>62</v>
      </c>
      <c r="O1129" s="8" t="s">
        <v>63</v>
      </c>
      <c r="P1129" s="4" t="n">
        <v>44</v>
      </c>
      <c r="Q1129" s="8"/>
      <c r="R1129" s="4" t="s">
        <v>3929</v>
      </c>
      <c r="S1129" s="4"/>
    </row>
    <row r="1130" customFormat="false" ht="26.85" hidden="false" customHeight="false" outlineLevel="0" collapsed="false">
      <c r="A1130" s="4" t="s">
        <v>3930</v>
      </c>
      <c r="B1130" s="8" t="s">
        <v>3931</v>
      </c>
      <c r="C1130" s="8" t="s">
        <v>58</v>
      </c>
      <c r="D1130" s="8"/>
      <c r="E1130" s="8" t="s">
        <v>60</v>
      </c>
      <c r="F1130" s="8"/>
      <c r="G1130" s="8"/>
      <c r="H1130" s="8"/>
      <c r="I1130" s="8" t="s">
        <v>3932</v>
      </c>
      <c r="J1130" s="8" t="s">
        <v>72</v>
      </c>
      <c r="K1130" s="8" t="s">
        <v>3721</v>
      </c>
      <c r="L1130" s="8" t="s">
        <v>3916</v>
      </c>
      <c r="M1130" s="8"/>
      <c r="N1130" s="8" t="s">
        <v>62</v>
      </c>
      <c r="O1130" s="8" t="s">
        <v>63</v>
      </c>
      <c r="P1130" s="4" t="n">
        <v>44</v>
      </c>
      <c r="Q1130" s="8"/>
      <c r="R1130" s="4" t="s">
        <v>3933</v>
      </c>
      <c r="S1130" s="4"/>
    </row>
    <row r="1131" customFormat="false" ht="26.85" hidden="false" customHeight="false" outlineLevel="0" collapsed="false">
      <c r="A1131" s="4" t="s">
        <v>3934</v>
      </c>
      <c r="B1131" s="8" t="s">
        <v>3935</v>
      </c>
      <c r="C1131" s="8" t="s">
        <v>58</v>
      </c>
      <c r="D1131" s="8"/>
      <c r="E1131" s="8" t="s">
        <v>60</v>
      </c>
      <c r="F1131" s="8"/>
      <c r="G1131" s="8"/>
      <c r="H1131" s="8"/>
      <c r="I1131" s="8" t="s">
        <v>3936</v>
      </c>
      <c r="J1131" s="8" t="s">
        <v>72</v>
      </c>
      <c r="K1131" s="8" t="s">
        <v>3721</v>
      </c>
      <c r="L1131" s="8" t="s">
        <v>3916</v>
      </c>
      <c r="M1131" s="8"/>
      <c r="N1131" s="8" t="s">
        <v>62</v>
      </c>
      <c r="O1131" s="8" t="s">
        <v>63</v>
      </c>
      <c r="P1131" s="4" t="n">
        <v>44</v>
      </c>
      <c r="Q1131" s="8"/>
      <c r="R1131" s="4" t="s">
        <v>3937</v>
      </c>
      <c r="S1131" s="4"/>
    </row>
    <row r="1132" customFormat="false" ht="26.85" hidden="false" customHeight="false" outlineLevel="0" collapsed="false">
      <c r="A1132" s="4" t="s">
        <v>3938</v>
      </c>
      <c r="B1132" s="8" t="s">
        <v>3939</v>
      </c>
      <c r="C1132" s="8" t="s">
        <v>58</v>
      </c>
      <c r="D1132" s="8"/>
      <c r="E1132" s="8" t="s">
        <v>60</v>
      </c>
      <c r="F1132" s="8"/>
      <c r="G1132" s="8"/>
      <c r="H1132" s="8"/>
      <c r="I1132" s="8" t="s">
        <v>3939</v>
      </c>
      <c r="J1132" s="8" t="s">
        <v>72</v>
      </c>
      <c r="K1132" s="8" t="s">
        <v>3721</v>
      </c>
      <c r="L1132" s="8" t="s">
        <v>3916</v>
      </c>
      <c r="M1132" s="8"/>
      <c r="N1132" s="8" t="s">
        <v>62</v>
      </c>
      <c r="O1132" s="8" t="s">
        <v>63</v>
      </c>
      <c r="P1132" s="4" t="n">
        <v>44</v>
      </c>
      <c r="Q1132" s="8"/>
      <c r="R1132" s="4" t="s">
        <v>3940</v>
      </c>
      <c r="S1132" s="4"/>
    </row>
    <row r="1133" customFormat="false" ht="26.85" hidden="false" customHeight="false" outlineLevel="0" collapsed="false">
      <c r="A1133" s="4" t="s">
        <v>3941</v>
      </c>
      <c r="B1133" s="8" t="s">
        <v>1879</v>
      </c>
      <c r="C1133" s="8" t="s">
        <v>58</v>
      </c>
      <c r="D1133" s="8"/>
      <c r="E1133" s="8" t="s">
        <v>60</v>
      </c>
      <c r="F1133" s="8"/>
      <c r="G1133" s="8"/>
      <c r="H1133" s="8"/>
      <c r="I1133" s="8" t="s">
        <v>1880</v>
      </c>
      <c r="J1133" s="8" t="s">
        <v>72</v>
      </c>
      <c r="K1133" s="8" t="s">
        <v>3721</v>
      </c>
      <c r="L1133" s="8" t="s">
        <v>3916</v>
      </c>
      <c r="M1133" s="8"/>
      <c r="N1133" s="8" t="s">
        <v>62</v>
      </c>
      <c r="O1133" s="8" t="s">
        <v>63</v>
      </c>
      <c r="P1133" s="4" t="n">
        <v>44</v>
      </c>
      <c r="Q1133" s="8"/>
      <c r="R1133" s="4" t="s">
        <v>1881</v>
      </c>
      <c r="S1133" s="4"/>
    </row>
    <row r="1134" customFormat="false" ht="26.85" hidden="false" customHeight="false" outlineLevel="0" collapsed="false">
      <c r="A1134" s="4" t="s">
        <v>3942</v>
      </c>
      <c r="B1134" s="8" t="s">
        <v>3943</v>
      </c>
      <c r="C1134" s="8" t="s">
        <v>58</v>
      </c>
      <c r="D1134" s="8"/>
      <c r="E1134" s="8" t="s">
        <v>60</v>
      </c>
      <c r="F1134" s="8"/>
      <c r="G1134" s="8"/>
      <c r="H1134" s="8"/>
      <c r="I1134" s="8" t="s">
        <v>3944</v>
      </c>
      <c r="J1134" s="8" t="s">
        <v>72</v>
      </c>
      <c r="K1134" s="8" t="s">
        <v>3721</v>
      </c>
      <c r="L1134" s="8" t="s">
        <v>3916</v>
      </c>
      <c r="M1134" s="8"/>
      <c r="N1134" s="8" t="s">
        <v>62</v>
      </c>
      <c r="O1134" s="8" t="s">
        <v>63</v>
      </c>
      <c r="P1134" s="4" t="n">
        <v>44</v>
      </c>
      <c r="Q1134" s="8"/>
      <c r="R1134" s="4" t="s">
        <v>3945</v>
      </c>
      <c r="S1134" s="4"/>
    </row>
    <row r="1135" customFormat="false" ht="26.85" hidden="false" customHeight="false" outlineLevel="0" collapsed="false">
      <c r="A1135" s="4" t="s">
        <v>3946</v>
      </c>
      <c r="B1135" s="8" t="s">
        <v>1883</v>
      </c>
      <c r="C1135" s="8" t="s">
        <v>58</v>
      </c>
      <c r="D1135" s="8"/>
      <c r="E1135" s="8" t="s">
        <v>60</v>
      </c>
      <c r="F1135" s="8"/>
      <c r="G1135" s="8"/>
      <c r="H1135" s="8"/>
      <c r="I1135" s="8" t="s">
        <v>1884</v>
      </c>
      <c r="J1135" s="8" t="s">
        <v>72</v>
      </c>
      <c r="K1135" s="8" t="s">
        <v>3721</v>
      </c>
      <c r="L1135" s="8" t="s">
        <v>3916</v>
      </c>
      <c r="M1135" s="8"/>
      <c r="N1135" s="8" t="s">
        <v>62</v>
      </c>
      <c r="O1135" s="8" t="s">
        <v>63</v>
      </c>
      <c r="P1135" s="4" t="n">
        <v>44</v>
      </c>
      <c r="Q1135" s="8"/>
      <c r="R1135" s="4" t="s">
        <v>1885</v>
      </c>
      <c r="S1135" s="4"/>
    </row>
    <row r="1136" customFormat="false" ht="26.85" hidden="false" customHeight="false" outlineLevel="0" collapsed="false">
      <c r="A1136" s="4" t="s">
        <v>3947</v>
      </c>
      <c r="B1136" s="8" t="s">
        <v>3948</v>
      </c>
      <c r="C1136" s="8" t="s">
        <v>58</v>
      </c>
      <c r="D1136" s="8"/>
      <c r="E1136" s="8" t="s">
        <v>60</v>
      </c>
      <c r="F1136" s="8"/>
      <c r="G1136" s="8"/>
      <c r="H1136" s="8"/>
      <c r="I1136" s="8" t="s">
        <v>3949</v>
      </c>
      <c r="J1136" s="8" t="s">
        <v>72</v>
      </c>
      <c r="K1136" s="8" t="s">
        <v>3721</v>
      </c>
      <c r="L1136" s="8" t="s">
        <v>3916</v>
      </c>
      <c r="M1136" s="8"/>
      <c r="N1136" s="8" t="s">
        <v>62</v>
      </c>
      <c r="O1136" s="8" t="s">
        <v>63</v>
      </c>
      <c r="P1136" s="4" t="n">
        <v>44</v>
      </c>
      <c r="Q1136" s="8"/>
      <c r="R1136" s="4" t="s">
        <v>3950</v>
      </c>
      <c r="S1136" s="4"/>
    </row>
    <row r="1137" customFormat="false" ht="26.85" hidden="false" customHeight="false" outlineLevel="0" collapsed="false">
      <c r="A1137" s="4" t="s">
        <v>3951</v>
      </c>
      <c r="B1137" s="8" t="s">
        <v>3952</v>
      </c>
      <c r="C1137" s="8"/>
      <c r="D1137" s="8"/>
      <c r="E1137" s="8"/>
      <c r="F1137" s="8"/>
      <c r="G1137" s="8"/>
      <c r="H1137" s="8"/>
      <c r="I1137" s="8" t="s">
        <v>3953</v>
      </c>
      <c r="J1137" s="8" t="s">
        <v>72</v>
      </c>
      <c r="K1137" s="8" t="s">
        <v>3721</v>
      </c>
      <c r="L1137" s="8" t="s">
        <v>3916</v>
      </c>
      <c r="M1137" s="8"/>
      <c r="N1137" s="8" t="s">
        <v>62</v>
      </c>
      <c r="O1137" s="8" t="s">
        <v>63</v>
      </c>
      <c r="P1137" s="4" t="n">
        <v>44</v>
      </c>
      <c r="Q1137" s="8"/>
      <c r="R1137" s="4" t="s">
        <v>3952</v>
      </c>
      <c r="S1137" s="4"/>
    </row>
    <row r="1138" customFormat="false" ht="26.85" hidden="false" customHeight="false" outlineLevel="0" collapsed="false">
      <c r="A1138" s="4" t="s">
        <v>3954</v>
      </c>
      <c r="B1138" s="8" t="s">
        <v>3955</v>
      </c>
      <c r="C1138" s="8" t="s">
        <v>58</v>
      </c>
      <c r="D1138" s="8"/>
      <c r="E1138" s="8" t="s">
        <v>60</v>
      </c>
      <c r="F1138" s="8"/>
      <c r="G1138" s="8"/>
      <c r="H1138" s="8"/>
      <c r="I1138" s="8" t="s">
        <v>3956</v>
      </c>
      <c r="J1138" s="8" t="s">
        <v>72</v>
      </c>
      <c r="K1138" s="8" t="s">
        <v>3721</v>
      </c>
      <c r="L1138" s="8" t="s">
        <v>3916</v>
      </c>
      <c r="M1138" s="8"/>
      <c r="N1138" s="8" t="s">
        <v>62</v>
      </c>
      <c r="O1138" s="8" t="s">
        <v>63</v>
      </c>
      <c r="P1138" s="4" t="n">
        <v>44</v>
      </c>
      <c r="Q1138" s="8"/>
      <c r="R1138" s="4" t="s">
        <v>3957</v>
      </c>
      <c r="S1138" s="4"/>
    </row>
    <row r="1139" customFormat="false" ht="26.85" hidden="false" customHeight="false" outlineLevel="0" collapsed="false">
      <c r="A1139" s="4" t="s">
        <v>3958</v>
      </c>
      <c r="B1139" s="8" t="s">
        <v>3959</v>
      </c>
      <c r="C1139" s="8"/>
      <c r="D1139" s="8"/>
      <c r="E1139" s="8"/>
      <c r="F1139" s="8"/>
      <c r="G1139" s="8"/>
      <c r="H1139" s="8"/>
      <c r="I1139" s="8" t="s">
        <v>3960</v>
      </c>
      <c r="J1139" s="8" t="s">
        <v>72</v>
      </c>
      <c r="K1139" s="8" t="s">
        <v>3721</v>
      </c>
      <c r="L1139" s="8" t="s">
        <v>688</v>
      </c>
      <c r="M1139" s="8"/>
      <c r="N1139" s="8" t="s">
        <v>62</v>
      </c>
      <c r="O1139" s="8" t="s">
        <v>63</v>
      </c>
      <c r="P1139" s="4" t="n">
        <v>44</v>
      </c>
      <c r="Q1139" s="8"/>
      <c r="R1139" s="4" t="s">
        <v>3959</v>
      </c>
      <c r="S1139" s="4"/>
    </row>
    <row r="1140" customFormat="false" ht="26.85" hidden="false" customHeight="false" outlineLevel="0" collapsed="false">
      <c r="A1140" s="4" t="s">
        <v>3961</v>
      </c>
      <c r="B1140" s="8" t="s">
        <v>3962</v>
      </c>
      <c r="C1140" s="8"/>
      <c r="D1140" s="8"/>
      <c r="E1140" s="8" t="s">
        <v>68</v>
      </c>
      <c r="F1140" s="8" t="s">
        <v>3963</v>
      </c>
      <c r="G1140" s="8" t="s">
        <v>3964</v>
      </c>
      <c r="H1140" s="8"/>
      <c r="I1140" s="8" t="s">
        <v>3965</v>
      </c>
      <c r="J1140" s="8" t="s">
        <v>72</v>
      </c>
      <c r="K1140" s="8" t="s">
        <v>3721</v>
      </c>
      <c r="L1140" s="8" t="s">
        <v>688</v>
      </c>
      <c r="M1140" s="8"/>
      <c r="N1140" s="8" t="s">
        <v>62</v>
      </c>
      <c r="O1140" s="8" t="s">
        <v>63</v>
      </c>
      <c r="P1140" s="4" t="n">
        <v>44</v>
      </c>
      <c r="Q1140" s="8"/>
      <c r="R1140" s="4" t="s">
        <v>3962</v>
      </c>
      <c r="S1140" s="4"/>
    </row>
    <row r="1141" customFormat="false" ht="26.85" hidden="false" customHeight="false" outlineLevel="0" collapsed="false">
      <c r="A1141" s="4" t="s">
        <v>3966</v>
      </c>
      <c r="B1141" s="8" t="s">
        <v>3967</v>
      </c>
      <c r="C1141" s="8"/>
      <c r="D1141" s="8"/>
      <c r="E1141" s="8" t="s">
        <v>68</v>
      </c>
      <c r="F1141" s="8" t="s">
        <v>3968</v>
      </c>
      <c r="G1141" s="8" t="s">
        <v>3969</v>
      </c>
      <c r="H1141" s="8"/>
      <c r="I1141" s="8" t="s">
        <v>3970</v>
      </c>
      <c r="J1141" s="8" t="s">
        <v>72</v>
      </c>
      <c r="K1141" s="8" t="s">
        <v>3721</v>
      </c>
      <c r="L1141" s="8" t="s">
        <v>688</v>
      </c>
      <c r="M1141" s="8"/>
      <c r="N1141" s="8" t="s">
        <v>62</v>
      </c>
      <c r="O1141" s="8" t="s">
        <v>63</v>
      </c>
      <c r="P1141" s="4" t="n">
        <v>44</v>
      </c>
      <c r="Q1141" s="8"/>
      <c r="R1141" s="4" t="s">
        <v>3967</v>
      </c>
      <c r="S1141" s="4"/>
    </row>
    <row r="1142" customFormat="false" ht="26.85" hidden="false" customHeight="false" outlineLevel="0" collapsed="false">
      <c r="A1142" s="4" t="s">
        <v>3971</v>
      </c>
      <c r="B1142" s="8" t="s">
        <v>3972</v>
      </c>
      <c r="C1142" s="8"/>
      <c r="D1142" s="8"/>
      <c r="E1142" s="8" t="s">
        <v>68</v>
      </c>
      <c r="F1142" s="8" t="s">
        <v>3973</v>
      </c>
      <c r="G1142" s="8" t="s">
        <v>3974</v>
      </c>
      <c r="H1142" s="8"/>
      <c r="I1142" s="8" t="s">
        <v>3975</v>
      </c>
      <c r="J1142" s="8" t="s">
        <v>72</v>
      </c>
      <c r="K1142" s="8" t="s">
        <v>3721</v>
      </c>
      <c r="L1142" s="8" t="s">
        <v>688</v>
      </c>
      <c r="M1142" s="8"/>
      <c r="N1142" s="8" t="s">
        <v>62</v>
      </c>
      <c r="O1142" s="8" t="s">
        <v>63</v>
      </c>
      <c r="P1142" s="4" t="n">
        <v>44</v>
      </c>
      <c r="Q1142" s="8"/>
      <c r="R1142" s="4" t="s">
        <v>3972</v>
      </c>
      <c r="S1142" s="4"/>
    </row>
    <row r="1143" customFormat="false" ht="26.85" hidden="false" customHeight="false" outlineLevel="0" collapsed="false">
      <c r="A1143" s="4" t="s">
        <v>3976</v>
      </c>
      <c r="B1143" s="8" t="s">
        <v>3977</v>
      </c>
      <c r="C1143" s="8"/>
      <c r="D1143" s="8"/>
      <c r="E1143" s="8" t="s">
        <v>68</v>
      </c>
      <c r="F1143" s="8" t="s">
        <v>3978</v>
      </c>
      <c r="G1143" s="8" t="s">
        <v>3979</v>
      </c>
      <c r="H1143" s="8"/>
      <c r="I1143" s="8" t="s">
        <v>3980</v>
      </c>
      <c r="J1143" s="8" t="s">
        <v>72</v>
      </c>
      <c r="K1143" s="8" t="s">
        <v>3721</v>
      </c>
      <c r="L1143" s="8" t="s">
        <v>688</v>
      </c>
      <c r="M1143" s="8"/>
      <c r="N1143" s="8" t="s">
        <v>62</v>
      </c>
      <c r="O1143" s="8" t="s">
        <v>63</v>
      </c>
      <c r="P1143" s="4" t="n">
        <v>44</v>
      </c>
      <c r="Q1143" s="8"/>
      <c r="R1143" s="4" t="s">
        <v>3977</v>
      </c>
      <c r="S1143" s="4"/>
    </row>
    <row r="1144" customFormat="false" ht="26.85" hidden="false" customHeight="false" outlineLevel="0" collapsed="false">
      <c r="A1144" s="4" t="s">
        <v>3981</v>
      </c>
      <c r="B1144" s="8" t="s">
        <v>3982</v>
      </c>
      <c r="C1144" s="8"/>
      <c r="D1144" s="8"/>
      <c r="E1144" s="8" t="s">
        <v>68</v>
      </c>
      <c r="F1144" s="8" t="s">
        <v>3983</v>
      </c>
      <c r="G1144" s="8" t="s">
        <v>3984</v>
      </c>
      <c r="H1144" s="8"/>
      <c r="I1144" s="8" t="s">
        <v>3985</v>
      </c>
      <c r="J1144" s="8" t="s">
        <v>72</v>
      </c>
      <c r="K1144" s="8" t="s">
        <v>3721</v>
      </c>
      <c r="L1144" s="8" t="s">
        <v>688</v>
      </c>
      <c r="M1144" s="8"/>
      <c r="N1144" s="8" t="s">
        <v>62</v>
      </c>
      <c r="O1144" s="8" t="s">
        <v>63</v>
      </c>
      <c r="P1144" s="4" t="n">
        <v>44</v>
      </c>
      <c r="Q1144" s="8"/>
      <c r="R1144" s="4" t="s">
        <v>3982</v>
      </c>
      <c r="S1144" s="4"/>
    </row>
    <row r="1145" customFormat="false" ht="26.85" hidden="false" customHeight="false" outlineLevel="0" collapsed="false">
      <c r="A1145" s="4" t="s">
        <v>3986</v>
      </c>
      <c r="B1145" s="8" t="s">
        <v>3987</v>
      </c>
      <c r="C1145" s="8"/>
      <c r="D1145" s="8"/>
      <c r="E1145" s="8" t="s">
        <v>68</v>
      </c>
      <c r="F1145" s="8" t="s">
        <v>3988</v>
      </c>
      <c r="G1145" s="8" t="s">
        <v>3989</v>
      </c>
      <c r="H1145" s="8"/>
      <c r="I1145" s="8" t="s">
        <v>3990</v>
      </c>
      <c r="J1145" s="8" t="s">
        <v>72</v>
      </c>
      <c r="K1145" s="8" t="s">
        <v>3721</v>
      </c>
      <c r="L1145" s="8" t="s">
        <v>688</v>
      </c>
      <c r="M1145" s="8"/>
      <c r="N1145" s="8" t="s">
        <v>62</v>
      </c>
      <c r="O1145" s="8" t="s">
        <v>63</v>
      </c>
      <c r="P1145" s="4" t="n">
        <v>44</v>
      </c>
      <c r="Q1145" s="8"/>
      <c r="R1145" s="4" t="s">
        <v>3987</v>
      </c>
      <c r="S1145" s="4"/>
    </row>
    <row r="1146" customFormat="false" ht="26.85" hidden="false" customHeight="false" outlineLevel="0" collapsed="false">
      <c r="A1146" s="4" t="s">
        <v>3991</v>
      </c>
      <c r="B1146" s="8" t="s">
        <v>3992</v>
      </c>
      <c r="C1146" s="8"/>
      <c r="D1146" s="8"/>
      <c r="E1146" s="8" t="s">
        <v>68</v>
      </c>
      <c r="F1146" s="8" t="s">
        <v>3993</v>
      </c>
      <c r="G1146" s="8" t="s">
        <v>3994</v>
      </c>
      <c r="H1146" s="8"/>
      <c r="I1146" s="8" t="s">
        <v>3995</v>
      </c>
      <c r="J1146" s="8" t="s">
        <v>72</v>
      </c>
      <c r="K1146" s="8" t="s">
        <v>3721</v>
      </c>
      <c r="L1146" s="8" t="s">
        <v>688</v>
      </c>
      <c r="M1146" s="8"/>
      <c r="N1146" s="8" t="s">
        <v>62</v>
      </c>
      <c r="O1146" s="8" t="s">
        <v>63</v>
      </c>
      <c r="P1146" s="4" t="n">
        <v>44</v>
      </c>
      <c r="Q1146" s="8"/>
      <c r="R1146" s="4" t="s">
        <v>3992</v>
      </c>
      <c r="S1146" s="4"/>
    </row>
    <row r="1147" customFormat="false" ht="26.85" hidden="false" customHeight="false" outlineLevel="0" collapsed="false">
      <c r="A1147" s="4" t="s">
        <v>3996</v>
      </c>
      <c r="B1147" s="8" t="s">
        <v>3997</v>
      </c>
      <c r="C1147" s="8"/>
      <c r="D1147" s="8"/>
      <c r="E1147" s="8" t="s">
        <v>68</v>
      </c>
      <c r="F1147" s="8" t="s">
        <v>3998</v>
      </c>
      <c r="G1147" s="8" t="s">
        <v>3999</v>
      </c>
      <c r="H1147" s="8"/>
      <c r="I1147" s="8" t="s">
        <v>4000</v>
      </c>
      <c r="J1147" s="8" t="s">
        <v>72</v>
      </c>
      <c r="K1147" s="8" t="s">
        <v>3721</v>
      </c>
      <c r="L1147" s="8" t="s">
        <v>688</v>
      </c>
      <c r="M1147" s="8"/>
      <c r="N1147" s="8" t="s">
        <v>62</v>
      </c>
      <c r="O1147" s="8" t="s">
        <v>63</v>
      </c>
      <c r="P1147" s="4" t="n">
        <v>44</v>
      </c>
      <c r="Q1147" s="8"/>
      <c r="R1147" s="4" t="s">
        <v>3997</v>
      </c>
      <c r="S1147" s="4"/>
    </row>
    <row r="1148" customFormat="false" ht="26.85" hidden="false" customHeight="false" outlineLevel="0" collapsed="false">
      <c r="A1148" s="4" t="s">
        <v>4001</v>
      </c>
      <c r="B1148" s="8" t="s">
        <v>4002</v>
      </c>
      <c r="C1148" s="8"/>
      <c r="D1148" s="8"/>
      <c r="E1148" s="8" t="s">
        <v>68</v>
      </c>
      <c r="F1148" s="8" t="s">
        <v>4003</v>
      </c>
      <c r="G1148" s="8" t="s">
        <v>4004</v>
      </c>
      <c r="H1148" s="8"/>
      <c r="I1148" s="8" t="s">
        <v>4005</v>
      </c>
      <c r="J1148" s="8" t="s">
        <v>72</v>
      </c>
      <c r="K1148" s="8" t="s">
        <v>3721</v>
      </c>
      <c r="L1148" s="8" t="s">
        <v>688</v>
      </c>
      <c r="M1148" s="8"/>
      <c r="N1148" s="8" t="s">
        <v>62</v>
      </c>
      <c r="O1148" s="8" t="s">
        <v>63</v>
      </c>
      <c r="P1148" s="4" t="n">
        <v>44</v>
      </c>
      <c r="Q1148" s="8"/>
      <c r="R1148" s="4" t="s">
        <v>4002</v>
      </c>
      <c r="S1148" s="4"/>
    </row>
    <row r="1149" customFormat="false" ht="26.85" hidden="false" customHeight="false" outlineLevel="0" collapsed="false">
      <c r="A1149" s="4" t="s">
        <v>4006</v>
      </c>
      <c r="B1149" s="8" t="s">
        <v>4007</v>
      </c>
      <c r="C1149" s="8" t="s">
        <v>58</v>
      </c>
      <c r="D1149" s="8" t="s">
        <v>67</v>
      </c>
      <c r="E1149" s="8" t="s">
        <v>60</v>
      </c>
      <c r="F1149" s="8"/>
      <c r="G1149" s="8"/>
      <c r="H1149" s="8"/>
      <c r="I1149" s="8" t="s">
        <v>4008</v>
      </c>
      <c r="J1149" s="8" t="s">
        <v>72</v>
      </c>
      <c r="K1149" s="8" t="s">
        <v>4009</v>
      </c>
      <c r="L1149" s="8" t="s">
        <v>4010</v>
      </c>
      <c r="M1149" s="8"/>
      <c r="N1149" s="8" t="s">
        <v>62</v>
      </c>
      <c r="O1149" s="8" t="s">
        <v>63</v>
      </c>
      <c r="P1149" s="4" t="n">
        <v>45</v>
      </c>
      <c r="Q1149" s="8"/>
      <c r="R1149" s="4" t="s">
        <v>4011</v>
      </c>
      <c r="S1149" s="4"/>
    </row>
    <row r="1150" customFormat="false" ht="26.85" hidden="false" customHeight="false" outlineLevel="0" collapsed="false">
      <c r="A1150" s="4" t="s">
        <v>4012</v>
      </c>
      <c r="B1150" s="8" t="s">
        <v>4013</v>
      </c>
      <c r="C1150" s="8"/>
      <c r="D1150" s="8"/>
      <c r="E1150" s="8"/>
      <c r="F1150" s="8"/>
      <c r="G1150" s="8"/>
      <c r="H1150" s="8"/>
      <c r="I1150" s="8" t="s">
        <v>4014</v>
      </c>
      <c r="J1150" s="8" t="s">
        <v>72</v>
      </c>
      <c r="K1150" s="8" t="s">
        <v>4009</v>
      </c>
      <c r="L1150" s="8" t="s">
        <v>4010</v>
      </c>
      <c r="M1150" s="8"/>
      <c r="N1150" s="8" t="s">
        <v>62</v>
      </c>
      <c r="O1150" s="8" t="s">
        <v>63</v>
      </c>
      <c r="P1150" s="4" t="n">
        <v>45</v>
      </c>
      <c r="Q1150" s="8"/>
      <c r="R1150" s="4" t="s">
        <v>4013</v>
      </c>
      <c r="S1150" s="4"/>
    </row>
    <row r="1151" customFormat="false" ht="26.85" hidden="false" customHeight="false" outlineLevel="0" collapsed="false">
      <c r="A1151" s="4" t="s">
        <v>4015</v>
      </c>
      <c r="B1151" s="8" t="s">
        <v>4016</v>
      </c>
      <c r="C1151" s="8" t="s">
        <v>58</v>
      </c>
      <c r="D1151" s="8"/>
      <c r="E1151" s="8" t="s">
        <v>60</v>
      </c>
      <c r="F1151" s="8"/>
      <c r="G1151" s="8"/>
      <c r="H1151" s="8"/>
      <c r="I1151" s="8" t="s">
        <v>4017</v>
      </c>
      <c r="J1151" s="8" t="s">
        <v>72</v>
      </c>
      <c r="K1151" s="8" t="s">
        <v>4009</v>
      </c>
      <c r="L1151" s="8" t="s">
        <v>4010</v>
      </c>
      <c r="M1151" s="8"/>
      <c r="N1151" s="8" t="s">
        <v>62</v>
      </c>
      <c r="O1151" s="8" t="s">
        <v>63</v>
      </c>
      <c r="P1151" s="4" t="n">
        <v>45</v>
      </c>
      <c r="Q1151" s="8"/>
      <c r="R1151" s="4" t="s">
        <v>4018</v>
      </c>
      <c r="S1151" s="4"/>
    </row>
    <row r="1152" customFormat="false" ht="26.85" hidden="false" customHeight="false" outlineLevel="0" collapsed="false">
      <c r="A1152" s="4" t="s">
        <v>4019</v>
      </c>
      <c r="B1152" s="8" t="s">
        <v>4020</v>
      </c>
      <c r="C1152" s="8"/>
      <c r="D1152" s="8"/>
      <c r="E1152" s="8"/>
      <c r="F1152" s="8"/>
      <c r="G1152" s="8"/>
      <c r="H1152" s="8"/>
      <c r="I1152" s="8" t="s">
        <v>4021</v>
      </c>
      <c r="J1152" s="8" t="s">
        <v>72</v>
      </c>
      <c r="K1152" s="8" t="s">
        <v>4009</v>
      </c>
      <c r="L1152" s="8" t="s">
        <v>4010</v>
      </c>
      <c r="M1152" s="8"/>
      <c r="N1152" s="8" t="s">
        <v>62</v>
      </c>
      <c r="O1152" s="8" t="s">
        <v>63</v>
      </c>
      <c r="P1152" s="4" t="n">
        <v>45</v>
      </c>
      <c r="Q1152" s="8"/>
      <c r="R1152" s="4" t="s">
        <v>4020</v>
      </c>
      <c r="S1152" s="4"/>
    </row>
    <row r="1153" customFormat="false" ht="26.85" hidden="false" customHeight="false" outlineLevel="0" collapsed="false">
      <c r="A1153" s="4" t="s">
        <v>4022</v>
      </c>
      <c r="B1153" s="8" t="s">
        <v>4023</v>
      </c>
      <c r="C1153" s="8"/>
      <c r="D1153" s="8"/>
      <c r="E1153" s="8"/>
      <c r="F1153" s="8"/>
      <c r="G1153" s="8"/>
      <c r="H1153" s="8"/>
      <c r="I1153" s="8" t="s">
        <v>4024</v>
      </c>
      <c r="J1153" s="8" t="s">
        <v>72</v>
      </c>
      <c r="K1153" s="8" t="s">
        <v>4009</v>
      </c>
      <c r="L1153" s="8" t="s">
        <v>4025</v>
      </c>
      <c r="M1153" s="8"/>
      <c r="N1153" s="8" t="s">
        <v>62</v>
      </c>
      <c r="O1153" s="8" t="s">
        <v>63</v>
      </c>
      <c r="P1153" s="4" t="n">
        <v>45</v>
      </c>
      <c r="Q1153" s="8"/>
      <c r="R1153" s="4" t="s">
        <v>4023</v>
      </c>
      <c r="S1153" s="4"/>
    </row>
    <row r="1154" customFormat="false" ht="26.85" hidden="false" customHeight="false" outlineLevel="0" collapsed="false">
      <c r="A1154" s="4" t="s">
        <v>4026</v>
      </c>
      <c r="B1154" s="8" t="s">
        <v>4027</v>
      </c>
      <c r="C1154" s="8" t="s">
        <v>58</v>
      </c>
      <c r="D1154" s="8"/>
      <c r="E1154" s="8" t="s">
        <v>60</v>
      </c>
      <c r="F1154" s="8"/>
      <c r="G1154" s="8"/>
      <c r="H1154" s="8"/>
      <c r="I1154" s="8" t="s">
        <v>4028</v>
      </c>
      <c r="J1154" s="8" t="s">
        <v>72</v>
      </c>
      <c r="K1154" s="8" t="s">
        <v>4009</v>
      </c>
      <c r="L1154" s="8" t="s">
        <v>4025</v>
      </c>
      <c r="M1154" s="8"/>
      <c r="N1154" s="8" t="s">
        <v>62</v>
      </c>
      <c r="O1154" s="8" t="s">
        <v>63</v>
      </c>
      <c r="P1154" s="4" t="n">
        <v>45</v>
      </c>
      <c r="Q1154" s="8"/>
      <c r="R1154" s="4" t="s">
        <v>4029</v>
      </c>
      <c r="S1154" s="4"/>
    </row>
    <row r="1155" customFormat="false" ht="26.85" hidden="false" customHeight="false" outlineLevel="0" collapsed="false">
      <c r="A1155" s="4" t="s">
        <v>4030</v>
      </c>
      <c r="B1155" s="8" t="s">
        <v>4031</v>
      </c>
      <c r="C1155" s="8"/>
      <c r="D1155" s="8"/>
      <c r="E1155" s="8" t="s">
        <v>68</v>
      </c>
      <c r="F1155" s="8" t="s">
        <v>4032</v>
      </c>
      <c r="G1155" s="8" t="s">
        <v>4033</v>
      </c>
      <c r="H1155" s="8"/>
      <c r="I1155" s="8" t="s">
        <v>4034</v>
      </c>
      <c r="J1155" s="8" t="s">
        <v>72</v>
      </c>
      <c r="K1155" s="8" t="s">
        <v>4009</v>
      </c>
      <c r="L1155" s="8" t="s">
        <v>4025</v>
      </c>
      <c r="M1155" s="8"/>
      <c r="N1155" s="8" t="s">
        <v>62</v>
      </c>
      <c r="O1155" s="8" t="s">
        <v>63</v>
      </c>
      <c r="P1155" s="4" t="n">
        <v>45</v>
      </c>
      <c r="Q1155" s="8"/>
      <c r="R1155" s="4" t="s">
        <v>4031</v>
      </c>
      <c r="S1155" s="4"/>
    </row>
    <row r="1156" customFormat="false" ht="26.85" hidden="false" customHeight="false" outlineLevel="0" collapsed="false">
      <c r="A1156" s="4" t="s">
        <v>4035</v>
      </c>
      <c r="B1156" s="8" t="s">
        <v>4036</v>
      </c>
      <c r="C1156" s="8" t="s">
        <v>58</v>
      </c>
      <c r="D1156" s="8"/>
      <c r="E1156" s="8" t="s">
        <v>60</v>
      </c>
      <c r="F1156" s="8"/>
      <c r="G1156" s="8"/>
      <c r="H1156" s="8"/>
      <c r="I1156" s="8" t="s">
        <v>4037</v>
      </c>
      <c r="J1156" s="8" t="s">
        <v>72</v>
      </c>
      <c r="K1156" s="8" t="s">
        <v>4009</v>
      </c>
      <c r="L1156" s="8" t="s">
        <v>4025</v>
      </c>
      <c r="M1156" s="8"/>
      <c r="N1156" s="8" t="s">
        <v>62</v>
      </c>
      <c r="O1156" s="8" t="s">
        <v>63</v>
      </c>
      <c r="P1156" s="4" t="n">
        <v>45</v>
      </c>
      <c r="Q1156" s="8"/>
      <c r="R1156" s="4" t="s">
        <v>4038</v>
      </c>
      <c r="S1156" s="4"/>
    </row>
    <row r="1157" customFormat="false" ht="26.85" hidden="false" customHeight="false" outlineLevel="0" collapsed="false">
      <c r="A1157" s="4" t="s">
        <v>4039</v>
      </c>
      <c r="B1157" s="8" t="s">
        <v>4040</v>
      </c>
      <c r="C1157" s="8"/>
      <c r="D1157" s="8"/>
      <c r="E1157" s="8" t="s">
        <v>68</v>
      </c>
      <c r="F1157" s="8" t="s">
        <v>4041</v>
      </c>
      <c r="G1157" s="8" t="s">
        <v>4042</v>
      </c>
      <c r="H1157" s="8"/>
      <c r="I1157" s="8" t="s">
        <v>2171</v>
      </c>
      <c r="J1157" s="8" t="s">
        <v>72</v>
      </c>
      <c r="K1157" s="8" t="s">
        <v>4009</v>
      </c>
      <c r="L1157" s="8" t="s">
        <v>4025</v>
      </c>
      <c r="M1157" s="8"/>
      <c r="N1157" s="8" t="s">
        <v>62</v>
      </c>
      <c r="O1157" s="8" t="s">
        <v>63</v>
      </c>
      <c r="P1157" s="4" t="n">
        <v>45</v>
      </c>
      <c r="Q1157" s="8"/>
      <c r="R1157" s="4" t="s">
        <v>4040</v>
      </c>
      <c r="S1157" s="4"/>
    </row>
    <row r="1158" customFormat="false" ht="26.85" hidden="false" customHeight="false" outlineLevel="0" collapsed="false">
      <c r="A1158" s="4" t="s">
        <v>4043</v>
      </c>
      <c r="B1158" s="8" t="s">
        <v>4044</v>
      </c>
      <c r="C1158" s="8"/>
      <c r="D1158" s="8"/>
      <c r="E1158" s="8"/>
      <c r="F1158" s="8"/>
      <c r="G1158" s="8"/>
      <c r="H1158" s="8"/>
      <c r="I1158" s="8" t="s">
        <v>4045</v>
      </c>
      <c r="J1158" s="8" t="s">
        <v>72</v>
      </c>
      <c r="K1158" s="8" t="s">
        <v>4009</v>
      </c>
      <c r="L1158" s="8" t="s">
        <v>4025</v>
      </c>
      <c r="M1158" s="8"/>
      <c r="N1158" s="8" t="s">
        <v>62</v>
      </c>
      <c r="O1158" s="8" t="s">
        <v>63</v>
      </c>
      <c r="P1158" s="4" t="n">
        <v>45</v>
      </c>
      <c r="Q1158" s="8"/>
      <c r="R1158" s="4" t="s">
        <v>4044</v>
      </c>
      <c r="S1158" s="4"/>
    </row>
    <row r="1159" customFormat="false" ht="26.85" hidden="false" customHeight="false" outlineLevel="0" collapsed="false">
      <c r="A1159" s="4" t="s">
        <v>4046</v>
      </c>
      <c r="B1159" s="8" t="s">
        <v>4016</v>
      </c>
      <c r="C1159" s="8" t="s">
        <v>58</v>
      </c>
      <c r="D1159" s="8"/>
      <c r="E1159" s="8" t="s">
        <v>60</v>
      </c>
      <c r="F1159" s="8"/>
      <c r="G1159" s="8"/>
      <c r="H1159" s="8"/>
      <c r="I1159" s="8" t="s">
        <v>4017</v>
      </c>
      <c r="J1159" s="8" t="s">
        <v>72</v>
      </c>
      <c r="K1159" s="8" t="s">
        <v>4009</v>
      </c>
      <c r="L1159" s="8" t="s">
        <v>4025</v>
      </c>
      <c r="M1159" s="8"/>
      <c r="N1159" s="8" t="s">
        <v>62</v>
      </c>
      <c r="O1159" s="8" t="s">
        <v>63</v>
      </c>
      <c r="P1159" s="4" t="n">
        <v>45</v>
      </c>
      <c r="Q1159" s="8"/>
      <c r="R1159" s="4" t="s">
        <v>4047</v>
      </c>
      <c r="S1159" s="4"/>
    </row>
    <row r="1160" customFormat="false" ht="26.85" hidden="false" customHeight="false" outlineLevel="0" collapsed="false">
      <c r="A1160" s="4" t="s">
        <v>4048</v>
      </c>
      <c r="B1160" s="8" t="s">
        <v>4049</v>
      </c>
      <c r="C1160" s="8"/>
      <c r="D1160" s="8"/>
      <c r="E1160" s="8"/>
      <c r="F1160" s="8"/>
      <c r="G1160" s="8"/>
      <c r="H1160" s="8"/>
      <c r="I1160" s="8" t="s">
        <v>4050</v>
      </c>
      <c r="J1160" s="8" t="s">
        <v>72</v>
      </c>
      <c r="K1160" s="8" t="s">
        <v>4009</v>
      </c>
      <c r="L1160" s="8" t="s">
        <v>4025</v>
      </c>
      <c r="M1160" s="8"/>
      <c r="N1160" s="8" t="s">
        <v>62</v>
      </c>
      <c r="O1160" s="8" t="s">
        <v>63</v>
      </c>
      <c r="P1160" s="4" t="n">
        <v>45</v>
      </c>
      <c r="Q1160" s="8"/>
      <c r="R1160" s="4" t="s">
        <v>4049</v>
      </c>
      <c r="S1160" s="4"/>
    </row>
    <row r="1161" customFormat="false" ht="26.85" hidden="false" customHeight="false" outlineLevel="0" collapsed="false">
      <c r="A1161" s="4" t="s">
        <v>4051</v>
      </c>
      <c r="B1161" s="8" t="s">
        <v>4052</v>
      </c>
      <c r="C1161" s="8" t="s">
        <v>58</v>
      </c>
      <c r="D1161" s="8"/>
      <c r="E1161" s="8" t="s">
        <v>60</v>
      </c>
      <c r="F1161" s="8"/>
      <c r="G1161" s="8"/>
      <c r="H1161" s="8"/>
      <c r="I1161" s="8" t="s">
        <v>4053</v>
      </c>
      <c r="J1161" s="8" t="s">
        <v>72</v>
      </c>
      <c r="K1161" s="8" t="s">
        <v>4009</v>
      </c>
      <c r="L1161" s="8" t="s">
        <v>4025</v>
      </c>
      <c r="M1161" s="8"/>
      <c r="N1161" s="8" t="s">
        <v>62</v>
      </c>
      <c r="O1161" s="8" t="s">
        <v>63</v>
      </c>
      <c r="P1161" s="4" t="n">
        <v>45</v>
      </c>
      <c r="Q1161" s="8"/>
      <c r="R1161" s="4" t="s">
        <v>4054</v>
      </c>
      <c r="S1161" s="4"/>
    </row>
    <row r="1162" customFormat="false" ht="26.85" hidden="false" customHeight="false" outlineLevel="0" collapsed="false">
      <c r="A1162" s="4" t="s">
        <v>4055</v>
      </c>
      <c r="B1162" s="8" t="s">
        <v>4056</v>
      </c>
      <c r="C1162" s="8" t="s">
        <v>58</v>
      </c>
      <c r="D1162" s="8"/>
      <c r="E1162" s="8" t="s">
        <v>60</v>
      </c>
      <c r="F1162" s="8"/>
      <c r="G1162" s="8"/>
      <c r="H1162" s="8"/>
      <c r="I1162" s="8" t="s">
        <v>4057</v>
      </c>
      <c r="J1162" s="8" t="s">
        <v>72</v>
      </c>
      <c r="K1162" s="8" t="s">
        <v>4009</v>
      </c>
      <c r="L1162" s="8" t="s">
        <v>4025</v>
      </c>
      <c r="M1162" s="8"/>
      <c r="N1162" s="8" t="s">
        <v>62</v>
      </c>
      <c r="O1162" s="8" t="s">
        <v>63</v>
      </c>
      <c r="P1162" s="4" t="n">
        <v>45</v>
      </c>
      <c r="Q1162" s="8"/>
      <c r="R1162" s="4" t="s">
        <v>4058</v>
      </c>
      <c r="S1162" s="4"/>
    </row>
    <row r="1163" customFormat="false" ht="26.85" hidden="false" customHeight="false" outlineLevel="0" collapsed="false">
      <c r="A1163" s="4" t="s">
        <v>4059</v>
      </c>
      <c r="B1163" s="8" t="s">
        <v>4060</v>
      </c>
      <c r="C1163" s="8"/>
      <c r="D1163" s="8"/>
      <c r="E1163" s="8"/>
      <c r="F1163" s="8"/>
      <c r="G1163" s="8"/>
      <c r="H1163" s="8"/>
      <c r="I1163" s="8" t="s">
        <v>4061</v>
      </c>
      <c r="J1163" s="8" t="s">
        <v>72</v>
      </c>
      <c r="K1163" s="8" t="s">
        <v>4009</v>
      </c>
      <c r="L1163" s="8" t="s">
        <v>4025</v>
      </c>
      <c r="M1163" s="8"/>
      <c r="N1163" s="8" t="s">
        <v>62</v>
      </c>
      <c r="O1163" s="8" t="s">
        <v>63</v>
      </c>
      <c r="P1163" s="4" t="n">
        <v>45</v>
      </c>
      <c r="Q1163" s="8"/>
      <c r="R1163" s="4" t="s">
        <v>4060</v>
      </c>
      <c r="S1163" s="4"/>
    </row>
    <row r="1164" customFormat="false" ht="26.85" hidden="false" customHeight="false" outlineLevel="0" collapsed="false">
      <c r="A1164" s="4" t="s">
        <v>4062</v>
      </c>
      <c r="B1164" s="8" t="s">
        <v>4063</v>
      </c>
      <c r="C1164" s="8"/>
      <c r="D1164" s="8"/>
      <c r="E1164" s="8"/>
      <c r="F1164" s="8"/>
      <c r="G1164" s="8"/>
      <c r="H1164" s="8"/>
      <c r="I1164" s="8" t="s">
        <v>4064</v>
      </c>
      <c r="J1164" s="8" t="s">
        <v>72</v>
      </c>
      <c r="K1164" s="8" t="s">
        <v>4009</v>
      </c>
      <c r="L1164" s="8" t="s">
        <v>4025</v>
      </c>
      <c r="M1164" s="8"/>
      <c r="N1164" s="8" t="s">
        <v>62</v>
      </c>
      <c r="O1164" s="8" t="s">
        <v>63</v>
      </c>
      <c r="P1164" s="4" t="n">
        <v>45</v>
      </c>
      <c r="Q1164" s="8"/>
      <c r="R1164" s="4" t="s">
        <v>4063</v>
      </c>
      <c r="S1164" s="4"/>
    </row>
    <row r="1165" customFormat="false" ht="26.85" hidden="false" customHeight="false" outlineLevel="0" collapsed="false">
      <c r="A1165" s="4" t="s">
        <v>4065</v>
      </c>
      <c r="B1165" s="8" t="s">
        <v>4066</v>
      </c>
      <c r="C1165" s="8"/>
      <c r="D1165" s="8"/>
      <c r="E1165" s="8" t="s">
        <v>68</v>
      </c>
      <c r="F1165" s="8" t="s">
        <v>738</v>
      </c>
      <c r="G1165" s="8" t="s">
        <v>739</v>
      </c>
      <c r="H1165" s="8"/>
      <c r="I1165" s="8" t="s">
        <v>4067</v>
      </c>
      <c r="J1165" s="8" t="s">
        <v>72</v>
      </c>
      <c r="K1165" s="8" t="s">
        <v>4009</v>
      </c>
      <c r="L1165" s="8" t="s">
        <v>4025</v>
      </c>
      <c r="M1165" s="8"/>
      <c r="N1165" s="8" t="s">
        <v>62</v>
      </c>
      <c r="O1165" s="8" t="s">
        <v>63</v>
      </c>
      <c r="P1165" s="4" t="n">
        <v>45</v>
      </c>
      <c r="Q1165" s="8"/>
      <c r="R1165" s="4" t="s">
        <v>4066</v>
      </c>
      <c r="S1165" s="4"/>
    </row>
    <row r="1166" customFormat="false" ht="26.85" hidden="false" customHeight="false" outlineLevel="0" collapsed="false">
      <c r="A1166" s="4" t="s">
        <v>4068</v>
      </c>
      <c r="B1166" s="8" t="s">
        <v>4069</v>
      </c>
      <c r="C1166" s="8" t="s">
        <v>58</v>
      </c>
      <c r="D1166" s="8"/>
      <c r="E1166" s="8" t="s">
        <v>60</v>
      </c>
      <c r="F1166" s="8"/>
      <c r="G1166" s="8"/>
      <c r="H1166" s="8"/>
      <c r="I1166" s="8" t="s">
        <v>4070</v>
      </c>
      <c r="J1166" s="8" t="s">
        <v>72</v>
      </c>
      <c r="K1166" s="8" t="s">
        <v>4009</v>
      </c>
      <c r="L1166" s="8" t="s">
        <v>4025</v>
      </c>
      <c r="M1166" s="8"/>
      <c r="N1166" s="8" t="s">
        <v>62</v>
      </c>
      <c r="O1166" s="8" t="s">
        <v>63</v>
      </c>
      <c r="P1166" s="4" t="n">
        <v>45</v>
      </c>
      <c r="Q1166" s="8"/>
      <c r="R1166" s="4" t="s">
        <v>4071</v>
      </c>
      <c r="S1166" s="4"/>
    </row>
    <row r="1167" customFormat="false" ht="26.85" hidden="false" customHeight="false" outlineLevel="0" collapsed="false">
      <c r="A1167" s="4" t="s">
        <v>4072</v>
      </c>
      <c r="B1167" s="8" t="s">
        <v>2819</v>
      </c>
      <c r="C1167" s="8"/>
      <c r="D1167" s="8"/>
      <c r="E1167" s="8" t="s">
        <v>68</v>
      </c>
      <c r="F1167" s="8" t="s">
        <v>2820</v>
      </c>
      <c r="G1167" s="8" t="s">
        <v>2821</v>
      </c>
      <c r="H1167" s="8"/>
      <c r="I1167" s="8" t="s">
        <v>2822</v>
      </c>
      <c r="J1167" s="8" t="s">
        <v>72</v>
      </c>
      <c r="K1167" s="8" t="s">
        <v>4009</v>
      </c>
      <c r="L1167" s="8" t="s">
        <v>4025</v>
      </c>
      <c r="M1167" s="8"/>
      <c r="N1167" s="8" t="s">
        <v>62</v>
      </c>
      <c r="O1167" s="8" t="s">
        <v>63</v>
      </c>
      <c r="P1167" s="4" t="n">
        <v>45</v>
      </c>
      <c r="Q1167" s="8"/>
      <c r="R1167" s="4" t="s">
        <v>2819</v>
      </c>
      <c r="S1167" s="4" t="n">
        <v>1129</v>
      </c>
    </row>
    <row r="1168" customFormat="false" ht="26.85" hidden="false" customHeight="false" outlineLevel="0" collapsed="false">
      <c r="A1168" s="4" t="s">
        <v>4073</v>
      </c>
      <c r="B1168" s="8" t="s">
        <v>4074</v>
      </c>
      <c r="C1168" s="8"/>
      <c r="D1168" s="8"/>
      <c r="E1168" s="8" t="s">
        <v>68</v>
      </c>
      <c r="F1168" s="8" t="s">
        <v>4075</v>
      </c>
      <c r="G1168" s="8" t="s">
        <v>4076</v>
      </c>
      <c r="H1168" s="8"/>
      <c r="I1168" s="8" t="s">
        <v>4077</v>
      </c>
      <c r="J1168" s="8" t="s">
        <v>72</v>
      </c>
      <c r="K1168" s="8" t="s">
        <v>4009</v>
      </c>
      <c r="L1168" s="8" t="s">
        <v>4025</v>
      </c>
      <c r="M1168" s="8"/>
      <c r="N1168" s="8" t="s">
        <v>62</v>
      </c>
      <c r="O1168" s="8" t="s">
        <v>63</v>
      </c>
      <c r="P1168" s="4" t="n">
        <v>45</v>
      </c>
      <c r="Q1168" s="8"/>
      <c r="R1168" s="4" t="s">
        <v>4074</v>
      </c>
      <c r="S1168" s="4"/>
    </row>
    <row r="1169" customFormat="false" ht="26.85" hidden="false" customHeight="false" outlineLevel="0" collapsed="false">
      <c r="A1169" s="4" t="s">
        <v>4078</v>
      </c>
      <c r="B1169" s="8" t="s">
        <v>4079</v>
      </c>
      <c r="C1169" s="8"/>
      <c r="D1169" s="8"/>
      <c r="E1169" s="8"/>
      <c r="F1169" s="8"/>
      <c r="G1169" s="8"/>
      <c r="H1169" s="8"/>
      <c r="I1169" s="8" t="s">
        <v>4080</v>
      </c>
      <c r="J1169" s="8" t="s">
        <v>72</v>
      </c>
      <c r="K1169" s="8" t="s">
        <v>4009</v>
      </c>
      <c r="L1169" s="8" t="s">
        <v>4025</v>
      </c>
      <c r="M1169" s="8"/>
      <c r="N1169" s="8" t="s">
        <v>62</v>
      </c>
      <c r="O1169" s="8" t="s">
        <v>63</v>
      </c>
      <c r="P1169" s="4" t="n">
        <v>45</v>
      </c>
      <c r="Q1169" s="8"/>
      <c r="R1169" s="4" t="s">
        <v>4079</v>
      </c>
      <c r="S1169" s="4"/>
    </row>
    <row r="1170" customFormat="false" ht="26.85" hidden="false" customHeight="false" outlineLevel="0" collapsed="false">
      <c r="A1170" s="4" t="s">
        <v>4081</v>
      </c>
      <c r="B1170" s="8" t="s">
        <v>4082</v>
      </c>
      <c r="C1170" s="8"/>
      <c r="D1170" s="8"/>
      <c r="E1170" s="8"/>
      <c r="F1170" s="8"/>
      <c r="G1170" s="8"/>
      <c r="H1170" s="8"/>
      <c r="I1170" s="8" t="s">
        <v>4083</v>
      </c>
      <c r="J1170" s="8" t="s">
        <v>72</v>
      </c>
      <c r="K1170" s="8" t="s">
        <v>4009</v>
      </c>
      <c r="L1170" s="8" t="s">
        <v>4025</v>
      </c>
      <c r="M1170" s="8"/>
      <c r="N1170" s="8" t="s">
        <v>62</v>
      </c>
      <c r="O1170" s="8" t="s">
        <v>63</v>
      </c>
      <c r="P1170" s="4" t="n">
        <v>45</v>
      </c>
      <c r="Q1170" s="8"/>
      <c r="R1170" s="4" t="s">
        <v>4082</v>
      </c>
      <c r="S1170" s="4"/>
    </row>
    <row r="1171" customFormat="false" ht="26.85" hidden="false" customHeight="false" outlineLevel="0" collapsed="false">
      <c r="A1171" s="4" t="s">
        <v>4084</v>
      </c>
      <c r="B1171" s="8" t="s">
        <v>4085</v>
      </c>
      <c r="C1171" s="8" t="s">
        <v>58</v>
      </c>
      <c r="D1171" s="8"/>
      <c r="E1171" s="8" t="s">
        <v>60</v>
      </c>
      <c r="F1171" s="8"/>
      <c r="G1171" s="8"/>
      <c r="H1171" s="8"/>
      <c r="I1171" s="8" t="s">
        <v>4053</v>
      </c>
      <c r="J1171" s="8" t="s">
        <v>72</v>
      </c>
      <c r="K1171" s="8" t="s">
        <v>4009</v>
      </c>
      <c r="L1171" s="8" t="s">
        <v>4025</v>
      </c>
      <c r="M1171" s="8"/>
      <c r="N1171" s="8" t="s">
        <v>62</v>
      </c>
      <c r="O1171" s="8" t="s">
        <v>63</v>
      </c>
      <c r="P1171" s="4" t="n">
        <v>45</v>
      </c>
      <c r="Q1171" s="8"/>
      <c r="R1171" s="4" t="s">
        <v>4086</v>
      </c>
      <c r="S1171" s="4"/>
    </row>
    <row r="1172" customFormat="false" ht="26.85" hidden="false" customHeight="false" outlineLevel="0" collapsed="false">
      <c r="A1172" s="4" t="s">
        <v>4087</v>
      </c>
      <c r="B1172" s="8" t="s">
        <v>4088</v>
      </c>
      <c r="C1172" s="8" t="s">
        <v>58</v>
      </c>
      <c r="D1172" s="8"/>
      <c r="E1172" s="8" t="s">
        <v>60</v>
      </c>
      <c r="F1172" s="8"/>
      <c r="G1172" s="8"/>
      <c r="H1172" s="8"/>
      <c r="I1172" s="8" t="s">
        <v>4089</v>
      </c>
      <c r="J1172" s="8" t="s">
        <v>72</v>
      </c>
      <c r="K1172" s="8" t="s">
        <v>4009</v>
      </c>
      <c r="L1172" s="8" t="s">
        <v>4025</v>
      </c>
      <c r="M1172" s="8"/>
      <c r="N1172" s="8" t="s">
        <v>62</v>
      </c>
      <c r="O1172" s="8" t="s">
        <v>63</v>
      </c>
      <c r="P1172" s="4" t="n">
        <v>45</v>
      </c>
      <c r="Q1172" s="8"/>
      <c r="R1172" s="4" t="s">
        <v>4090</v>
      </c>
      <c r="S1172" s="4"/>
    </row>
    <row r="1173" customFormat="false" ht="26.85" hidden="false" customHeight="false" outlineLevel="0" collapsed="false">
      <c r="A1173" s="4" t="s">
        <v>4091</v>
      </c>
      <c r="B1173" s="8" t="s">
        <v>4092</v>
      </c>
      <c r="C1173" s="8" t="s">
        <v>58</v>
      </c>
      <c r="D1173" s="8"/>
      <c r="E1173" s="8" t="s">
        <v>60</v>
      </c>
      <c r="F1173" s="8"/>
      <c r="G1173" s="8"/>
      <c r="H1173" s="8"/>
      <c r="I1173" s="8" t="s">
        <v>4093</v>
      </c>
      <c r="J1173" s="8" t="s">
        <v>72</v>
      </c>
      <c r="K1173" s="8" t="s">
        <v>4009</v>
      </c>
      <c r="L1173" s="8" t="s">
        <v>4094</v>
      </c>
      <c r="M1173" s="8"/>
      <c r="N1173" s="8" t="s">
        <v>62</v>
      </c>
      <c r="O1173" s="8" t="s">
        <v>63</v>
      </c>
      <c r="P1173" s="4" t="n">
        <v>45</v>
      </c>
      <c r="Q1173" s="8"/>
      <c r="R1173" s="4" t="s">
        <v>4095</v>
      </c>
      <c r="S1173" s="4"/>
    </row>
    <row r="1174" customFormat="false" ht="26.85" hidden="false" customHeight="false" outlineLevel="0" collapsed="false">
      <c r="A1174" s="4" t="s">
        <v>4096</v>
      </c>
      <c r="B1174" s="8" t="s">
        <v>4097</v>
      </c>
      <c r="C1174" s="8"/>
      <c r="D1174" s="8"/>
      <c r="E1174" s="8" t="s">
        <v>68</v>
      </c>
      <c r="F1174" s="8" t="s">
        <v>4098</v>
      </c>
      <c r="G1174" s="8" t="s">
        <v>709</v>
      </c>
      <c r="H1174" s="8"/>
      <c r="I1174" s="8" t="s">
        <v>4099</v>
      </c>
      <c r="J1174" s="8" t="s">
        <v>72</v>
      </c>
      <c r="K1174" s="8" t="s">
        <v>4009</v>
      </c>
      <c r="L1174" s="8" t="s">
        <v>4094</v>
      </c>
      <c r="M1174" s="8"/>
      <c r="N1174" s="8" t="s">
        <v>62</v>
      </c>
      <c r="O1174" s="8" t="s">
        <v>63</v>
      </c>
      <c r="P1174" s="4" t="n">
        <v>45</v>
      </c>
      <c r="Q1174" s="8"/>
      <c r="R1174" s="4" t="s">
        <v>4097</v>
      </c>
      <c r="S1174" s="4" t="n">
        <v>1274</v>
      </c>
    </row>
    <row r="1175" customFormat="false" ht="26.85" hidden="false" customHeight="false" outlineLevel="0" collapsed="false">
      <c r="A1175" s="4" t="s">
        <v>4100</v>
      </c>
      <c r="B1175" s="8" t="s">
        <v>4101</v>
      </c>
      <c r="C1175" s="8"/>
      <c r="D1175" s="8"/>
      <c r="E1175" s="8"/>
      <c r="F1175" s="8"/>
      <c r="G1175" s="8"/>
      <c r="H1175" s="8"/>
      <c r="I1175" s="8" t="s">
        <v>4102</v>
      </c>
      <c r="J1175" s="8" t="s">
        <v>72</v>
      </c>
      <c r="K1175" s="8" t="s">
        <v>4009</v>
      </c>
      <c r="L1175" s="8" t="s">
        <v>4094</v>
      </c>
      <c r="M1175" s="8"/>
      <c r="N1175" s="8" t="s">
        <v>62</v>
      </c>
      <c r="O1175" s="8" t="s">
        <v>63</v>
      </c>
      <c r="P1175" s="4" t="n">
        <v>45</v>
      </c>
      <c r="Q1175" s="8"/>
      <c r="R1175" s="4" t="s">
        <v>4101</v>
      </c>
      <c r="S1175" s="4"/>
    </row>
    <row r="1176" customFormat="false" ht="26.85" hidden="false" customHeight="false" outlineLevel="0" collapsed="false">
      <c r="A1176" s="4" t="s">
        <v>4103</v>
      </c>
      <c r="B1176" s="8" t="s">
        <v>4104</v>
      </c>
      <c r="C1176" s="8"/>
      <c r="D1176" s="8"/>
      <c r="E1176" s="8" t="s">
        <v>68</v>
      </c>
      <c r="F1176" s="8" t="s">
        <v>4105</v>
      </c>
      <c r="G1176" s="8" t="s">
        <v>4106</v>
      </c>
      <c r="H1176" s="8"/>
      <c r="I1176" s="8" t="s">
        <v>4107</v>
      </c>
      <c r="J1176" s="8" t="s">
        <v>72</v>
      </c>
      <c r="K1176" s="8" t="s">
        <v>4009</v>
      </c>
      <c r="L1176" s="8" t="s">
        <v>4094</v>
      </c>
      <c r="M1176" s="8"/>
      <c r="N1176" s="8" t="s">
        <v>62</v>
      </c>
      <c r="O1176" s="8" t="s">
        <v>63</v>
      </c>
      <c r="P1176" s="4" t="n">
        <v>45</v>
      </c>
      <c r="Q1176" s="8"/>
      <c r="R1176" s="4" t="s">
        <v>4104</v>
      </c>
      <c r="S1176" s="4"/>
    </row>
    <row r="1177" customFormat="false" ht="26.85" hidden="false" customHeight="false" outlineLevel="0" collapsed="false">
      <c r="A1177" s="4" t="s">
        <v>4108</v>
      </c>
      <c r="B1177" s="8" t="s">
        <v>4109</v>
      </c>
      <c r="C1177" s="8"/>
      <c r="D1177" s="8"/>
      <c r="E1177" s="8"/>
      <c r="F1177" s="8"/>
      <c r="G1177" s="8"/>
      <c r="H1177" s="8"/>
      <c r="I1177" s="8" t="s">
        <v>4110</v>
      </c>
      <c r="J1177" s="8" t="s">
        <v>72</v>
      </c>
      <c r="K1177" s="8" t="s">
        <v>4009</v>
      </c>
      <c r="L1177" s="8" t="s">
        <v>4094</v>
      </c>
      <c r="M1177" s="8"/>
      <c r="N1177" s="8" t="s">
        <v>62</v>
      </c>
      <c r="O1177" s="8" t="s">
        <v>63</v>
      </c>
      <c r="P1177" s="4" t="n">
        <v>45</v>
      </c>
      <c r="Q1177" s="8"/>
      <c r="R1177" s="4" t="s">
        <v>4109</v>
      </c>
      <c r="S1177" s="4"/>
    </row>
    <row r="1178" customFormat="false" ht="26.85" hidden="false" customHeight="false" outlineLevel="0" collapsed="false">
      <c r="A1178" s="4" t="s">
        <v>4111</v>
      </c>
      <c r="B1178" s="8" t="s">
        <v>4112</v>
      </c>
      <c r="C1178" s="8" t="s">
        <v>58</v>
      </c>
      <c r="D1178" s="8"/>
      <c r="E1178" s="8" t="s">
        <v>60</v>
      </c>
      <c r="F1178" s="8"/>
      <c r="G1178" s="8"/>
      <c r="H1178" s="8"/>
      <c r="I1178" s="8" t="s">
        <v>4113</v>
      </c>
      <c r="J1178" s="8" t="s">
        <v>72</v>
      </c>
      <c r="K1178" s="8" t="s">
        <v>4009</v>
      </c>
      <c r="L1178" s="8" t="s">
        <v>4094</v>
      </c>
      <c r="M1178" s="8"/>
      <c r="N1178" s="8" t="s">
        <v>62</v>
      </c>
      <c r="O1178" s="8" t="s">
        <v>63</v>
      </c>
      <c r="P1178" s="4" t="n">
        <v>45</v>
      </c>
      <c r="Q1178" s="8"/>
      <c r="R1178" s="4" t="s">
        <v>4114</v>
      </c>
      <c r="S1178" s="4"/>
    </row>
    <row r="1179" customFormat="false" ht="26.85" hidden="false" customHeight="false" outlineLevel="0" collapsed="false">
      <c r="A1179" s="4" t="s">
        <v>4115</v>
      </c>
      <c r="B1179" s="8" t="s">
        <v>4116</v>
      </c>
      <c r="C1179" s="8"/>
      <c r="D1179" s="8"/>
      <c r="E1179" s="8" t="s">
        <v>68</v>
      </c>
      <c r="F1179" s="8" t="s">
        <v>4117</v>
      </c>
      <c r="G1179" s="8" t="s">
        <v>4118</v>
      </c>
      <c r="H1179" s="8"/>
      <c r="I1179" s="8" t="s">
        <v>4119</v>
      </c>
      <c r="J1179" s="8" t="s">
        <v>72</v>
      </c>
      <c r="K1179" s="8" t="s">
        <v>4009</v>
      </c>
      <c r="L1179" s="8" t="s">
        <v>4094</v>
      </c>
      <c r="M1179" s="8"/>
      <c r="N1179" s="8" t="s">
        <v>62</v>
      </c>
      <c r="O1179" s="8" t="s">
        <v>63</v>
      </c>
      <c r="P1179" s="4" t="n">
        <v>45</v>
      </c>
      <c r="Q1179" s="8"/>
      <c r="R1179" s="4" t="s">
        <v>4116</v>
      </c>
      <c r="S1179" s="4"/>
    </row>
    <row r="1180" customFormat="false" ht="26.85" hidden="false" customHeight="false" outlineLevel="0" collapsed="false">
      <c r="A1180" s="4" t="s">
        <v>4120</v>
      </c>
      <c r="B1180" s="8" t="s">
        <v>4121</v>
      </c>
      <c r="C1180" s="8"/>
      <c r="D1180" s="8"/>
      <c r="E1180" s="8" t="s">
        <v>68</v>
      </c>
      <c r="F1180" s="8" t="s">
        <v>4122</v>
      </c>
      <c r="G1180" s="8" t="s">
        <v>4123</v>
      </c>
      <c r="H1180" s="8"/>
      <c r="I1180" s="8" t="s">
        <v>4124</v>
      </c>
      <c r="J1180" s="8" t="s">
        <v>72</v>
      </c>
      <c r="K1180" s="8" t="s">
        <v>4009</v>
      </c>
      <c r="L1180" s="8" t="s">
        <v>4094</v>
      </c>
      <c r="M1180" s="8"/>
      <c r="N1180" s="8" t="s">
        <v>62</v>
      </c>
      <c r="O1180" s="8" t="s">
        <v>63</v>
      </c>
      <c r="P1180" s="4" t="n">
        <v>45</v>
      </c>
      <c r="Q1180" s="8"/>
      <c r="R1180" s="4" t="s">
        <v>4121</v>
      </c>
      <c r="S1180" s="4"/>
    </row>
    <row r="1181" customFormat="false" ht="26.85" hidden="false" customHeight="false" outlineLevel="0" collapsed="false">
      <c r="A1181" s="4" t="s">
        <v>4125</v>
      </c>
      <c r="B1181" s="8" t="s">
        <v>4126</v>
      </c>
      <c r="C1181" s="8" t="s">
        <v>58</v>
      </c>
      <c r="D1181" s="8"/>
      <c r="E1181" s="8" t="s">
        <v>60</v>
      </c>
      <c r="F1181" s="8"/>
      <c r="G1181" s="8"/>
      <c r="H1181" s="8"/>
      <c r="I1181" s="8" t="s">
        <v>4127</v>
      </c>
      <c r="J1181" s="8" t="s">
        <v>72</v>
      </c>
      <c r="K1181" s="8" t="s">
        <v>4009</v>
      </c>
      <c r="L1181" s="8" t="s">
        <v>4094</v>
      </c>
      <c r="M1181" s="8"/>
      <c r="N1181" s="8" t="s">
        <v>62</v>
      </c>
      <c r="O1181" s="8" t="s">
        <v>63</v>
      </c>
      <c r="P1181" s="4" t="n">
        <v>45</v>
      </c>
      <c r="Q1181" s="8"/>
      <c r="R1181" s="4" t="s">
        <v>4128</v>
      </c>
      <c r="S1181" s="4" t="n">
        <v>1047</v>
      </c>
    </row>
    <row r="1182" customFormat="false" ht="26.85" hidden="false" customHeight="false" outlineLevel="0" collapsed="false">
      <c r="A1182" s="4" t="s">
        <v>4129</v>
      </c>
      <c r="B1182" s="8" t="s">
        <v>4130</v>
      </c>
      <c r="C1182" s="8" t="s">
        <v>58</v>
      </c>
      <c r="D1182" s="8"/>
      <c r="E1182" s="8" t="s">
        <v>60</v>
      </c>
      <c r="F1182" s="8"/>
      <c r="G1182" s="8"/>
      <c r="H1182" s="8"/>
      <c r="I1182" s="8" t="s">
        <v>4131</v>
      </c>
      <c r="J1182" s="8" t="s">
        <v>72</v>
      </c>
      <c r="K1182" s="8" t="s">
        <v>4009</v>
      </c>
      <c r="L1182" s="8" t="s">
        <v>4094</v>
      </c>
      <c r="M1182" s="8"/>
      <c r="N1182" s="8" t="s">
        <v>62</v>
      </c>
      <c r="O1182" s="8" t="s">
        <v>63</v>
      </c>
      <c r="P1182" s="4" t="n">
        <v>45</v>
      </c>
      <c r="Q1182" s="8"/>
      <c r="R1182" s="4" t="s">
        <v>4132</v>
      </c>
      <c r="S1182" s="4"/>
    </row>
    <row r="1183" customFormat="false" ht="26.85" hidden="false" customHeight="false" outlineLevel="0" collapsed="false">
      <c r="A1183" s="4" t="s">
        <v>4133</v>
      </c>
      <c r="B1183" s="8" t="s">
        <v>4134</v>
      </c>
      <c r="C1183" s="8"/>
      <c r="D1183" s="8"/>
      <c r="E1183" s="8" t="s">
        <v>68</v>
      </c>
      <c r="F1183" s="8" t="s">
        <v>4135</v>
      </c>
      <c r="G1183" s="8" t="s">
        <v>4136</v>
      </c>
      <c r="H1183" s="8"/>
      <c r="I1183" s="8" t="s">
        <v>4137</v>
      </c>
      <c r="J1183" s="8" t="s">
        <v>72</v>
      </c>
      <c r="K1183" s="8" t="s">
        <v>4009</v>
      </c>
      <c r="L1183" s="8" t="s">
        <v>4094</v>
      </c>
      <c r="M1183" s="8"/>
      <c r="N1183" s="8" t="s">
        <v>62</v>
      </c>
      <c r="O1183" s="8" t="s">
        <v>63</v>
      </c>
      <c r="P1183" s="4" t="n">
        <v>45</v>
      </c>
      <c r="Q1183" s="8"/>
      <c r="R1183" s="4" t="s">
        <v>4134</v>
      </c>
      <c r="S1183" s="4"/>
    </row>
    <row r="1184" customFormat="false" ht="26.85" hidden="false" customHeight="false" outlineLevel="0" collapsed="false">
      <c r="A1184" s="4" t="s">
        <v>4138</v>
      </c>
      <c r="B1184" s="8" t="s">
        <v>4139</v>
      </c>
      <c r="C1184" s="8"/>
      <c r="D1184" s="8"/>
      <c r="E1184" s="8"/>
      <c r="F1184" s="8"/>
      <c r="G1184" s="8"/>
      <c r="H1184" s="8"/>
      <c r="I1184" s="8" t="s">
        <v>4140</v>
      </c>
      <c r="J1184" s="8" t="s">
        <v>72</v>
      </c>
      <c r="K1184" s="8" t="s">
        <v>4009</v>
      </c>
      <c r="L1184" s="8" t="s">
        <v>4094</v>
      </c>
      <c r="M1184" s="8"/>
      <c r="N1184" s="8" t="s">
        <v>62</v>
      </c>
      <c r="O1184" s="8" t="s">
        <v>63</v>
      </c>
      <c r="P1184" s="4" t="n">
        <v>45</v>
      </c>
      <c r="Q1184" s="8"/>
      <c r="R1184" s="4" t="s">
        <v>4139</v>
      </c>
      <c r="S1184" s="4"/>
    </row>
    <row r="1185" customFormat="false" ht="26.85" hidden="false" customHeight="false" outlineLevel="0" collapsed="false">
      <c r="A1185" s="4" t="s">
        <v>4141</v>
      </c>
      <c r="B1185" s="8" t="s">
        <v>4142</v>
      </c>
      <c r="C1185" s="8"/>
      <c r="D1185" s="8"/>
      <c r="E1185" s="8"/>
      <c r="F1185" s="8"/>
      <c r="G1185" s="8"/>
      <c r="H1185" s="8"/>
      <c r="I1185" s="8" t="s">
        <v>4143</v>
      </c>
      <c r="J1185" s="8" t="s">
        <v>72</v>
      </c>
      <c r="K1185" s="8" t="s">
        <v>4009</v>
      </c>
      <c r="L1185" s="8" t="s">
        <v>4094</v>
      </c>
      <c r="M1185" s="8"/>
      <c r="N1185" s="8" t="s">
        <v>62</v>
      </c>
      <c r="O1185" s="8" t="s">
        <v>63</v>
      </c>
      <c r="P1185" s="4" t="n">
        <v>45</v>
      </c>
      <c r="Q1185" s="8"/>
      <c r="R1185" s="4" t="s">
        <v>4142</v>
      </c>
      <c r="S1185" s="4"/>
    </row>
    <row r="1186" customFormat="false" ht="26.85" hidden="false" customHeight="false" outlineLevel="0" collapsed="false">
      <c r="A1186" s="4" t="s">
        <v>4144</v>
      </c>
      <c r="B1186" s="8" t="s">
        <v>4145</v>
      </c>
      <c r="C1186" s="8"/>
      <c r="D1186" s="8"/>
      <c r="E1186" s="8" t="s">
        <v>68</v>
      </c>
      <c r="F1186" s="8" t="s">
        <v>4146</v>
      </c>
      <c r="G1186" s="8" t="s">
        <v>4147</v>
      </c>
      <c r="H1186" s="8"/>
      <c r="I1186" s="8" t="s">
        <v>4137</v>
      </c>
      <c r="J1186" s="8" t="s">
        <v>72</v>
      </c>
      <c r="K1186" s="8" t="s">
        <v>4009</v>
      </c>
      <c r="L1186" s="8" t="s">
        <v>4094</v>
      </c>
      <c r="M1186" s="8"/>
      <c r="N1186" s="8" t="s">
        <v>62</v>
      </c>
      <c r="O1186" s="8" t="s">
        <v>63</v>
      </c>
      <c r="P1186" s="4" t="n">
        <v>45</v>
      </c>
      <c r="Q1186" s="8"/>
      <c r="R1186" s="4" t="s">
        <v>4145</v>
      </c>
      <c r="S1186" s="4"/>
    </row>
    <row r="1187" customFormat="false" ht="26.85" hidden="false" customHeight="false" outlineLevel="0" collapsed="false">
      <c r="A1187" s="4" t="s">
        <v>4148</v>
      </c>
      <c r="B1187" s="8" t="s">
        <v>4149</v>
      </c>
      <c r="C1187" s="8"/>
      <c r="D1187" s="8"/>
      <c r="E1187" s="8"/>
      <c r="F1187" s="8"/>
      <c r="G1187" s="8"/>
      <c r="H1187" s="8"/>
      <c r="I1187" s="8" t="s">
        <v>4150</v>
      </c>
      <c r="J1187" s="8" t="s">
        <v>72</v>
      </c>
      <c r="K1187" s="8" t="s">
        <v>4009</v>
      </c>
      <c r="L1187" s="8" t="s">
        <v>4094</v>
      </c>
      <c r="M1187" s="8"/>
      <c r="N1187" s="8" t="s">
        <v>62</v>
      </c>
      <c r="O1187" s="8" t="s">
        <v>63</v>
      </c>
      <c r="P1187" s="4" t="n">
        <v>45</v>
      </c>
      <c r="Q1187" s="8"/>
      <c r="R1187" s="4" t="s">
        <v>4149</v>
      </c>
      <c r="S1187" s="4"/>
    </row>
    <row r="1188" customFormat="false" ht="26.85" hidden="false" customHeight="false" outlineLevel="0" collapsed="false">
      <c r="A1188" s="4" t="s">
        <v>4151</v>
      </c>
      <c r="B1188" s="8" t="s">
        <v>4152</v>
      </c>
      <c r="C1188" s="8" t="s">
        <v>58</v>
      </c>
      <c r="D1188" s="8" t="s">
        <v>67</v>
      </c>
      <c r="E1188" s="8" t="s">
        <v>60</v>
      </c>
      <c r="F1188" s="8"/>
      <c r="G1188" s="8"/>
      <c r="H1188" s="8"/>
      <c r="I1188" s="8" t="s">
        <v>4153</v>
      </c>
      <c r="J1188" s="8" t="s">
        <v>72</v>
      </c>
      <c r="K1188" s="8" t="s">
        <v>4154</v>
      </c>
      <c r="L1188" s="8" t="s">
        <v>4155</v>
      </c>
      <c r="M1188" s="8"/>
      <c r="N1188" s="8" t="s">
        <v>62</v>
      </c>
      <c r="O1188" s="8" t="s">
        <v>63</v>
      </c>
      <c r="P1188" s="4" t="n">
        <v>46</v>
      </c>
      <c r="Q1188" s="8"/>
      <c r="R1188" s="4" t="s">
        <v>4156</v>
      </c>
      <c r="S1188" s="4"/>
    </row>
    <row r="1189" customFormat="false" ht="26.85" hidden="false" customHeight="false" outlineLevel="0" collapsed="false">
      <c r="A1189" s="4" t="s">
        <v>4157</v>
      </c>
      <c r="B1189" s="8" t="s">
        <v>1348</v>
      </c>
      <c r="C1189" s="8"/>
      <c r="D1189" s="8"/>
      <c r="E1189" s="8"/>
      <c r="F1189" s="8"/>
      <c r="G1189" s="8"/>
      <c r="H1189" s="8"/>
      <c r="I1189" s="8" t="s">
        <v>1349</v>
      </c>
      <c r="J1189" s="8" t="s">
        <v>72</v>
      </c>
      <c r="K1189" s="8" t="s">
        <v>4154</v>
      </c>
      <c r="L1189" s="8" t="s">
        <v>4155</v>
      </c>
      <c r="M1189" s="8"/>
      <c r="N1189" s="8" t="s">
        <v>62</v>
      </c>
      <c r="O1189" s="8" t="s">
        <v>63</v>
      </c>
      <c r="P1189" s="4" t="n">
        <v>46</v>
      </c>
      <c r="Q1189" s="8"/>
      <c r="R1189" s="4" t="s">
        <v>1348</v>
      </c>
      <c r="S1189" s="4" t="n">
        <v>14680</v>
      </c>
    </row>
    <row r="1190" customFormat="false" ht="26.85" hidden="false" customHeight="false" outlineLevel="0" collapsed="false">
      <c r="A1190" s="4" t="s">
        <v>4158</v>
      </c>
      <c r="B1190" s="8" t="s">
        <v>4159</v>
      </c>
      <c r="C1190" s="8" t="s">
        <v>58</v>
      </c>
      <c r="D1190" s="8"/>
      <c r="E1190" s="8" t="s">
        <v>60</v>
      </c>
      <c r="F1190" s="8"/>
      <c r="G1190" s="8"/>
      <c r="H1190" s="8"/>
      <c r="I1190" s="8" t="s">
        <v>4160</v>
      </c>
      <c r="J1190" s="8" t="s">
        <v>72</v>
      </c>
      <c r="K1190" s="8" t="s">
        <v>4154</v>
      </c>
      <c r="L1190" s="8" t="s">
        <v>4155</v>
      </c>
      <c r="M1190" s="8"/>
      <c r="N1190" s="8" t="s">
        <v>62</v>
      </c>
      <c r="O1190" s="8" t="s">
        <v>63</v>
      </c>
      <c r="P1190" s="4" t="n">
        <v>46</v>
      </c>
      <c r="Q1190" s="8"/>
      <c r="R1190" s="4" t="s">
        <v>4161</v>
      </c>
      <c r="S1190" s="4"/>
    </row>
    <row r="1191" customFormat="false" ht="26.85" hidden="false" customHeight="false" outlineLevel="0" collapsed="false">
      <c r="A1191" s="4" t="s">
        <v>4162</v>
      </c>
      <c r="B1191" s="8" t="s">
        <v>4163</v>
      </c>
      <c r="C1191" s="8"/>
      <c r="D1191" s="8"/>
      <c r="E1191" s="8"/>
      <c r="F1191" s="8"/>
      <c r="G1191" s="8"/>
      <c r="H1191" s="8"/>
      <c r="I1191" s="8" t="s">
        <v>4164</v>
      </c>
      <c r="J1191" s="8" t="s">
        <v>72</v>
      </c>
      <c r="K1191" s="8" t="s">
        <v>4154</v>
      </c>
      <c r="L1191" s="8" t="s">
        <v>4155</v>
      </c>
      <c r="M1191" s="8"/>
      <c r="N1191" s="8" t="s">
        <v>62</v>
      </c>
      <c r="O1191" s="8" t="s">
        <v>63</v>
      </c>
      <c r="P1191" s="4" t="n">
        <v>46</v>
      </c>
      <c r="Q1191" s="8"/>
      <c r="R1191" s="4" t="s">
        <v>4163</v>
      </c>
      <c r="S1191" s="4"/>
    </row>
    <row r="1192" customFormat="false" ht="26.85" hidden="false" customHeight="false" outlineLevel="0" collapsed="false">
      <c r="A1192" s="4" t="s">
        <v>4165</v>
      </c>
      <c r="B1192" s="8" t="s">
        <v>4166</v>
      </c>
      <c r="C1192" s="8"/>
      <c r="D1192" s="8"/>
      <c r="E1192" s="8"/>
      <c r="F1192" s="8"/>
      <c r="G1192" s="8"/>
      <c r="H1192" s="8"/>
      <c r="I1192" s="8" t="s">
        <v>4167</v>
      </c>
      <c r="J1192" s="8" t="s">
        <v>72</v>
      </c>
      <c r="K1192" s="8" t="s">
        <v>4154</v>
      </c>
      <c r="L1192" s="8" t="s">
        <v>4155</v>
      </c>
      <c r="M1192" s="8"/>
      <c r="N1192" s="8" t="s">
        <v>62</v>
      </c>
      <c r="O1192" s="8" t="s">
        <v>63</v>
      </c>
      <c r="P1192" s="4" t="n">
        <v>46</v>
      </c>
      <c r="Q1192" s="8"/>
      <c r="R1192" s="4" t="s">
        <v>4166</v>
      </c>
      <c r="S1192" s="4" t="n">
        <v>641</v>
      </c>
    </row>
    <row r="1193" customFormat="false" ht="26.85" hidden="false" customHeight="false" outlineLevel="0" collapsed="false">
      <c r="A1193" s="4" t="s">
        <v>4168</v>
      </c>
      <c r="B1193" s="8" t="s">
        <v>1433</v>
      </c>
      <c r="C1193" s="8" t="s">
        <v>58</v>
      </c>
      <c r="D1193" s="8"/>
      <c r="E1193" s="8" t="s">
        <v>60</v>
      </c>
      <c r="F1193" s="8"/>
      <c r="G1193" s="8"/>
      <c r="H1193" s="8"/>
      <c r="I1193" s="8" t="s">
        <v>4169</v>
      </c>
      <c r="J1193" s="8" t="s">
        <v>72</v>
      </c>
      <c r="K1193" s="8" t="s">
        <v>4154</v>
      </c>
      <c r="L1193" s="8" t="s">
        <v>4155</v>
      </c>
      <c r="M1193" s="8"/>
      <c r="N1193" s="8" t="s">
        <v>62</v>
      </c>
      <c r="O1193" s="8" t="s">
        <v>63</v>
      </c>
      <c r="P1193" s="4" t="n">
        <v>46</v>
      </c>
      <c r="Q1193" s="8"/>
      <c r="R1193" s="4" t="s">
        <v>1435</v>
      </c>
      <c r="S1193" s="4"/>
    </row>
    <row r="1194" customFormat="false" ht="26.85" hidden="false" customHeight="false" outlineLevel="0" collapsed="false">
      <c r="A1194" s="4" t="s">
        <v>4170</v>
      </c>
      <c r="B1194" s="8" t="s">
        <v>1440</v>
      </c>
      <c r="C1194" s="8" t="s">
        <v>58</v>
      </c>
      <c r="D1194" s="8"/>
      <c r="E1194" s="8" t="s">
        <v>60</v>
      </c>
      <c r="F1194" s="8"/>
      <c r="G1194" s="8"/>
      <c r="H1194" s="8"/>
      <c r="I1194" s="8" t="s">
        <v>4171</v>
      </c>
      <c r="J1194" s="8" t="s">
        <v>72</v>
      </c>
      <c r="K1194" s="8" t="s">
        <v>4154</v>
      </c>
      <c r="L1194" s="8" t="s">
        <v>4155</v>
      </c>
      <c r="M1194" s="8"/>
      <c r="N1194" s="8" t="s">
        <v>62</v>
      </c>
      <c r="O1194" s="8" t="s">
        <v>63</v>
      </c>
      <c r="P1194" s="4" t="n">
        <v>46</v>
      </c>
      <c r="Q1194" s="8"/>
      <c r="R1194" s="4" t="s">
        <v>1442</v>
      </c>
      <c r="S1194" s="4" t="n">
        <v>1966</v>
      </c>
    </row>
    <row r="1195" customFormat="false" ht="26.85" hidden="false" customHeight="false" outlineLevel="0" collapsed="false">
      <c r="A1195" s="4" t="s">
        <v>4172</v>
      </c>
      <c r="B1195" s="8" t="s">
        <v>4173</v>
      </c>
      <c r="C1195" s="8"/>
      <c r="D1195" s="8"/>
      <c r="E1195" s="8"/>
      <c r="F1195" s="8"/>
      <c r="G1195" s="8"/>
      <c r="H1195" s="8"/>
      <c r="I1195" s="8" t="s">
        <v>4174</v>
      </c>
      <c r="J1195" s="8" t="s">
        <v>72</v>
      </c>
      <c r="K1195" s="8" t="s">
        <v>4154</v>
      </c>
      <c r="L1195" s="8" t="s">
        <v>4155</v>
      </c>
      <c r="M1195" s="8"/>
      <c r="N1195" s="8" t="s">
        <v>62</v>
      </c>
      <c r="O1195" s="8" t="s">
        <v>63</v>
      </c>
      <c r="P1195" s="4" t="n">
        <v>46</v>
      </c>
      <c r="Q1195" s="8"/>
      <c r="R1195" s="4" t="s">
        <v>4173</v>
      </c>
      <c r="S1195" s="4"/>
    </row>
    <row r="1196" customFormat="false" ht="26.85" hidden="false" customHeight="false" outlineLevel="0" collapsed="false">
      <c r="A1196" s="4" t="s">
        <v>4175</v>
      </c>
      <c r="B1196" s="8" t="s">
        <v>4176</v>
      </c>
      <c r="C1196" s="8" t="s">
        <v>66</v>
      </c>
      <c r="D1196" s="8" t="s">
        <v>67</v>
      </c>
      <c r="E1196" s="8" t="s">
        <v>60</v>
      </c>
      <c r="F1196" s="8"/>
      <c r="G1196" s="8"/>
      <c r="H1196" s="8"/>
      <c r="I1196" s="8" t="s">
        <v>4177</v>
      </c>
      <c r="J1196" s="8" t="s">
        <v>72</v>
      </c>
      <c r="K1196" s="8" t="s">
        <v>4154</v>
      </c>
      <c r="L1196" s="8" t="s">
        <v>4155</v>
      </c>
      <c r="M1196" s="8"/>
      <c r="N1196" s="8" t="s">
        <v>62</v>
      </c>
      <c r="O1196" s="8" t="s">
        <v>63</v>
      </c>
      <c r="P1196" s="4" t="n">
        <v>46</v>
      </c>
      <c r="Q1196" s="8"/>
      <c r="R1196" s="4" t="s">
        <v>4178</v>
      </c>
      <c r="S1196" s="4"/>
    </row>
    <row r="1197" customFormat="false" ht="26.85" hidden="false" customHeight="false" outlineLevel="0" collapsed="false">
      <c r="A1197" s="4" t="s">
        <v>4179</v>
      </c>
      <c r="B1197" s="8" t="s">
        <v>4180</v>
      </c>
      <c r="C1197" s="8"/>
      <c r="D1197" s="8"/>
      <c r="E1197" s="8"/>
      <c r="F1197" s="8"/>
      <c r="G1197" s="8"/>
      <c r="H1197" s="8"/>
      <c r="I1197" s="8" t="s">
        <v>4181</v>
      </c>
      <c r="J1197" s="8" t="s">
        <v>72</v>
      </c>
      <c r="K1197" s="8" t="s">
        <v>4154</v>
      </c>
      <c r="L1197" s="8" t="s">
        <v>4155</v>
      </c>
      <c r="M1197" s="8"/>
      <c r="N1197" s="8" t="s">
        <v>62</v>
      </c>
      <c r="O1197" s="8" t="s">
        <v>63</v>
      </c>
      <c r="P1197" s="4" t="n">
        <v>46</v>
      </c>
      <c r="Q1197" s="8"/>
      <c r="R1197" s="4" t="s">
        <v>4180</v>
      </c>
      <c r="S1197" s="4"/>
    </row>
    <row r="1198" customFormat="false" ht="26.85" hidden="false" customHeight="false" outlineLevel="0" collapsed="false">
      <c r="A1198" s="4" t="s">
        <v>4182</v>
      </c>
      <c r="B1198" s="8" t="s">
        <v>4183</v>
      </c>
      <c r="C1198" s="8"/>
      <c r="D1198" s="8"/>
      <c r="E1198" s="8"/>
      <c r="F1198" s="8"/>
      <c r="G1198" s="8"/>
      <c r="H1198" s="8"/>
      <c r="I1198" s="8" t="s">
        <v>4184</v>
      </c>
      <c r="J1198" s="8" t="s">
        <v>72</v>
      </c>
      <c r="K1198" s="8" t="s">
        <v>4154</v>
      </c>
      <c r="L1198" s="8" t="s">
        <v>4155</v>
      </c>
      <c r="M1198" s="8"/>
      <c r="N1198" s="8" t="s">
        <v>62</v>
      </c>
      <c r="O1198" s="8" t="s">
        <v>63</v>
      </c>
      <c r="P1198" s="4" t="n">
        <v>46</v>
      </c>
      <c r="Q1198" s="8"/>
      <c r="R1198" s="4" t="s">
        <v>4183</v>
      </c>
      <c r="S1198" s="4"/>
    </row>
    <row r="1199" customFormat="false" ht="26.85" hidden="false" customHeight="false" outlineLevel="0" collapsed="false">
      <c r="A1199" s="4" t="s">
        <v>4185</v>
      </c>
      <c r="B1199" s="8" t="s">
        <v>4186</v>
      </c>
      <c r="C1199" s="8"/>
      <c r="D1199" s="8"/>
      <c r="E1199" s="8"/>
      <c r="F1199" s="8"/>
      <c r="G1199" s="8"/>
      <c r="H1199" s="8"/>
      <c r="I1199" s="8" t="s">
        <v>4187</v>
      </c>
      <c r="J1199" s="8" t="s">
        <v>72</v>
      </c>
      <c r="K1199" s="8" t="s">
        <v>4154</v>
      </c>
      <c r="L1199" s="8" t="s">
        <v>4155</v>
      </c>
      <c r="M1199" s="8"/>
      <c r="N1199" s="8" t="s">
        <v>62</v>
      </c>
      <c r="O1199" s="8" t="s">
        <v>63</v>
      </c>
      <c r="P1199" s="4" t="n">
        <v>46</v>
      </c>
      <c r="Q1199" s="8"/>
      <c r="R1199" s="4" t="s">
        <v>4186</v>
      </c>
      <c r="S1199" s="4"/>
    </row>
    <row r="1200" customFormat="false" ht="26.85" hidden="false" customHeight="false" outlineLevel="0" collapsed="false">
      <c r="A1200" s="4" t="s">
        <v>4188</v>
      </c>
      <c r="B1200" s="8" t="s">
        <v>4189</v>
      </c>
      <c r="C1200" s="8"/>
      <c r="D1200" s="8"/>
      <c r="E1200" s="8"/>
      <c r="F1200" s="8"/>
      <c r="G1200" s="8"/>
      <c r="H1200" s="8"/>
      <c r="I1200" s="8" t="s">
        <v>4190</v>
      </c>
      <c r="J1200" s="8" t="s">
        <v>72</v>
      </c>
      <c r="K1200" s="8" t="s">
        <v>4154</v>
      </c>
      <c r="L1200" s="8" t="s">
        <v>4155</v>
      </c>
      <c r="M1200" s="8"/>
      <c r="N1200" s="8" t="s">
        <v>62</v>
      </c>
      <c r="O1200" s="8" t="s">
        <v>63</v>
      </c>
      <c r="P1200" s="4" t="n">
        <v>46</v>
      </c>
      <c r="Q1200" s="8"/>
      <c r="R1200" s="4" t="s">
        <v>4189</v>
      </c>
      <c r="S1200" s="4"/>
    </row>
    <row r="1201" customFormat="false" ht="26.85" hidden="false" customHeight="false" outlineLevel="0" collapsed="false">
      <c r="A1201" s="4" t="s">
        <v>4191</v>
      </c>
      <c r="B1201" s="8" t="s">
        <v>4192</v>
      </c>
      <c r="C1201" s="8"/>
      <c r="D1201" s="8"/>
      <c r="E1201" s="8"/>
      <c r="F1201" s="8"/>
      <c r="G1201" s="8"/>
      <c r="H1201" s="8"/>
      <c r="I1201" s="8" t="s">
        <v>4193</v>
      </c>
      <c r="J1201" s="8" t="s">
        <v>72</v>
      </c>
      <c r="K1201" s="8" t="s">
        <v>4154</v>
      </c>
      <c r="L1201" s="8" t="s">
        <v>4155</v>
      </c>
      <c r="M1201" s="8"/>
      <c r="N1201" s="8" t="s">
        <v>62</v>
      </c>
      <c r="O1201" s="8" t="s">
        <v>63</v>
      </c>
      <c r="P1201" s="4" t="n">
        <v>46</v>
      </c>
      <c r="Q1201" s="8"/>
      <c r="R1201" s="4" t="s">
        <v>4192</v>
      </c>
      <c r="S1201" s="4"/>
    </row>
    <row r="1202" customFormat="false" ht="26.85" hidden="false" customHeight="false" outlineLevel="0" collapsed="false">
      <c r="A1202" s="4" t="s">
        <v>4194</v>
      </c>
      <c r="B1202" s="8" t="s">
        <v>1505</v>
      </c>
      <c r="C1202" s="8"/>
      <c r="D1202" s="8"/>
      <c r="E1202" s="8"/>
      <c r="F1202" s="8"/>
      <c r="G1202" s="8"/>
      <c r="H1202" s="8"/>
      <c r="I1202" s="8" t="s">
        <v>1506</v>
      </c>
      <c r="J1202" s="8" t="s">
        <v>72</v>
      </c>
      <c r="K1202" s="8" t="s">
        <v>4154</v>
      </c>
      <c r="L1202" s="8" t="s">
        <v>4155</v>
      </c>
      <c r="M1202" s="8"/>
      <c r="N1202" s="8" t="s">
        <v>62</v>
      </c>
      <c r="O1202" s="8" t="s">
        <v>63</v>
      </c>
      <c r="P1202" s="4" t="n">
        <v>46</v>
      </c>
      <c r="Q1202" s="8"/>
      <c r="R1202" s="4" t="s">
        <v>1505</v>
      </c>
      <c r="S1202" s="4" t="n">
        <v>426</v>
      </c>
    </row>
    <row r="1203" customFormat="false" ht="26.85" hidden="false" customHeight="false" outlineLevel="0" collapsed="false">
      <c r="A1203" s="4" t="s">
        <v>4195</v>
      </c>
      <c r="B1203" s="8" t="s">
        <v>4196</v>
      </c>
      <c r="C1203" s="8" t="s">
        <v>58</v>
      </c>
      <c r="D1203" s="8"/>
      <c r="E1203" s="8" t="s">
        <v>60</v>
      </c>
      <c r="F1203" s="8"/>
      <c r="G1203" s="8"/>
      <c r="H1203" s="8"/>
      <c r="I1203" s="8" t="s">
        <v>4197</v>
      </c>
      <c r="J1203" s="8" t="s">
        <v>72</v>
      </c>
      <c r="K1203" s="8" t="s">
        <v>4154</v>
      </c>
      <c r="L1203" s="8" t="s">
        <v>4155</v>
      </c>
      <c r="M1203" s="8"/>
      <c r="N1203" s="8" t="s">
        <v>62</v>
      </c>
      <c r="O1203" s="8" t="s">
        <v>63</v>
      </c>
      <c r="P1203" s="4" t="n">
        <v>46</v>
      </c>
      <c r="Q1203" s="8"/>
      <c r="R1203" s="4" t="s">
        <v>4198</v>
      </c>
      <c r="S1203" s="4"/>
    </row>
    <row r="1204" customFormat="false" ht="26.85" hidden="false" customHeight="false" outlineLevel="0" collapsed="false">
      <c r="A1204" s="4" t="s">
        <v>4199</v>
      </c>
      <c r="B1204" s="8" t="s">
        <v>1558</v>
      </c>
      <c r="C1204" s="8"/>
      <c r="D1204" s="8"/>
      <c r="E1204" s="8"/>
      <c r="F1204" s="8"/>
      <c r="G1204" s="8"/>
      <c r="H1204" s="8"/>
      <c r="I1204" s="8" t="s">
        <v>1559</v>
      </c>
      <c r="J1204" s="8" t="s">
        <v>72</v>
      </c>
      <c r="K1204" s="8" t="s">
        <v>4154</v>
      </c>
      <c r="L1204" s="8" t="s">
        <v>4155</v>
      </c>
      <c r="M1204" s="8"/>
      <c r="N1204" s="8" t="s">
        <v>62</v>
      </c>
      <c r="O1204" s="8" t="s">
        <v>63</v>
      </c>
      <c r="P1204" s="4" t="n">
        <v>46</v>
      </c>
      <c r="Q1204" s="8"/>
      <c r="R1204" s="4" t="s">
        <v>1558</v>
      </c>
      <c r="S1204" s="4"/>
    </row>
    <row r="1205" customFormat="false" ht="26.85" hidden="false" customHeight="false" outlineLevel="0" collapsed="false">
      <c r="A1205" s="4" t="s">
        <v>4200</v>
      </c>
      <c r="B1205" s="8" t="s">
        <v>4201</v>
      </c>
      <c r="C1205" s="8"/>
      <c r="D1205" s="8"/>
      <c r="E1205" s="8"/>
      <c r="F1205" s="8"/>
      <c r="G1205" s="8"/>
      <c r="H1205" s="8"/>
      <c r="I1205" s="8" t="s">
        <v>1566</v>
      </c>
      <c r="J1205" s="8" t="s">
        <v>72</v>
      </c>
      <c r="K1205" s="8" t="s">
        <v>4154</v>
      </c>
      <c r="L1205" s="8" t="s">
        <v>4155</v>
      </c>
      <c r="M1205" s="8"/>
      <c r="N1205" s="8" t="s">
        <v>62</v>
      </c>
      <c r="O1205" s="8" t="s">
        <v>63</v>
      </c>
      <c r="P1205" s="4" t="n">
        <v>46</v>
      </c>
      <c r="Q1205" s="8"/>
      <c r="R1205" s="4" t="s">
        <v>4201</v>
      </c>
      <c r="S1205" s="4" t="n">
        <v>8161</v>
      </c>
    </row>
    <row r="1206" customFormat="false" ht="26.85" hidden="false" customHeight="false" outlineLevel="0" collapsed="false">
      <c r="A1206" s="4" t="s">
        <v>4202</v>
      </c>
      <c r="B1206" s="8" t="s">
        <v>1600</v>
      </c>
      <c r="C1206" s="8"/>
      <c r="D1206" s="8"/>
      <c r="E1206" s="8"/>
      <c r="F1206" s="8"/>
      <c r="G1206" s="8"/>
      <c r="H1206" s="8"/>
      <c r="I1206" s="8" t="s">
        <v>1291</v>
      </c>
      <c r="J1206" s="8" t="s">
        <v>72</v>
      </c>
      <c r="K1206" s="8" t="s">
        <v>4154</v>
      </c>
      <c r="L1206" s="8" t="s">
        <v>4155</v>
      </c>
      <c r="M1206" s="8"/>
      <c r="N1206" s="8" t="s">
        <v>62</v>
      </c>
      <c r="O1206" s="8" t="s">
        <v>63</v>
      </c>
      <c r="P1206" s="4" t="n">
        <v>46</v>
      </c>
      <c r="Q1206" s="8"/>
      <c r="R1206" s="4" t="s">
        <v>1600</v>
      </c>
      <c r="S1206" s="4"/>
    </row>
    <row r="1207" customFormat="false" ht="26.85" hidden="false" customHeight="false" outlineLevel="0" collapsed="false">
      <c r="A1207" s="4" t="s">
        <v>4203</v>
      </c>
      <c r="B1207" s="8" t="s">
        <v>3270</v>
      </c>
      <c r="C1207" s="8"/>
      <c r="D1207" s="8"/>
      <c r="E1207" s="8"/>
      <c r="F1207" s="8"/>
      <c r="G1207" s="8"/>
      <c r="H1207" s="8"/>
      <c r="I1207" s="8" t="s">
        <v>1603</v>
      </c>
      <c r="J1207" s="8" t="s">
        <v>72</v>
      </c>
      <c r="K1207" s="8" t="s">
        <v>4154</v>
      </c>
      <c r="L1207" s="8" t="s">
        <v>4155</v>
      </c>
      <c r="M1207" s="8"/>
      <c r="N1207" s="8" t="s">
        <v>62</v>
      </c>
      <c r="O1207" s="8" t="s">
        <v>63</v>
      </c>
      <c r="P1207" s="4" t="n">
        <v>46</v>
      </c>
      <c r="Q1207" s="8"/>
      <c r="R1207" s="4" t="s">
        <v>3270</v>
      </c>
      <c r="S1207" s="4"/>
    </row>
    <row r="1208" customFormat="false" ht="26.85" hidden="false" customHeight="false" outlineLevel="0" collapsed="false">
      <c r="A1208" s="4" t="s">
        <v>4204</v>
      </c>
      <c r="B1208" s="8" t="s">
        <v>4205</v>
      </c>
      <c r="C1208" s="8"/>
      <c r="D1208" s="8"/>
      <c r="E1208" s="8"/>
      <c r="F1208" s="8"/>
      <c r="G1208" s="8"/>
      <c r="H1208" s="8"/>
      <c r="I1208" s="8" t="s">
        <v>4206</v>
      </c>
      <c r="J1208" s="8" t="s">
        <v>72</v>
      </c>
      <c r="K1208" s="8" t="s">
        <v>4154</v>
      </c>
      <c r="L1208" s="8" t="s">
        <v>4155</v>
      </c>
      <c r="M1208" s="8"/>
      <c r="N1208" s="8" t="s">
        <v>62</v>
      </c>
      <c r="O1208" s="8" t="s">
        <v>63</v>
      </c>
      <c r="P1208" s="4" t="n">
        <v>46</v>
      </c>
      <c r="Q1208" s="8"/>
      <c r="R1208" s="4" t="s">
        <v>4205</v>
      </c>
      <c r="S1208" s="4"/>
    </row>
    <row r="1209" customFormat="false" ht="26.85" hidden="false" customHeight="false" outlineLevel="0" collapsed="false">
      <c r="A1209" s="4" t="s">
        <v>4207</v>
      </c>
      <c r="B1209" s="8" t="s">
        <v>4208</v>
      </c>
      <c r="C1209" s="8"/>
      <c r="D1209" s="8"/>
      <c r="E1209" s="8"/>
      <c r="F1209" s="8"/>
      <c r="G1209" s="8"/>
      <c r="H1209" s="8"/>
      <c r="I1209" s="8" t="s">
        <v>4209</v>
      </c>
      <c r="J1209" s="8" t="s">
        <v>72</v>
      </c>
      <c r="K1209" s="8" t="s">
        <v>4154</v>
      </c>
      <c r="L1209" s="8" t="s">
        <v>4155</v>
      </c>
      <c r="M1209" s="8"/>
      <c r="N1209" s="8" t="s">
        <v>62</v>
      </c>
      <c r="O1209" s="8" t="s">
        <v>63</v>
      </c>
      <c r="P1209" s="4" t="n">
        <v>46</v>
      </c>
      <c r="Q1209" s="8"/>
      <c r="R1209" s="4" t="s">
        <v>4208</v>
      </c>
      <c r="S1209" s="4"/>
    </row>
    <row r="1210" customFormat="false" ht="26.85" hidden="false" customHeight="false" outlineLevel="0" collapsed="false">
      <c r="A1210" s="4" t="s">
        <v>4210</v>
      </c>
      <c r="B1210" s="8" t="s">
        <v>4211</v>
      </c>
      <c r="C1210" s="8" t="s">
        <v>58</v>
      </c>
      <c r="D1210" s="8"/>
      <c r="E1210" s="8" t="s">
        <v>60</v>
      </c>
      <c r="F1210" s="8"/>
      <c r="G1210" s="8"/>
      <c r="H1210" s="8"/>
      <c r="I1210" s="8" t="s">
        <v>4212</v>
      </c>
      <c r="J1210" s="8" t="s">
        <v>72</v>
      </c>
      <c r="K1210" s="8" t="s">
        <v>4154</v>
      </c>
      <c r="L1210" s="8" t="s">
        <v>4155</v>
      </c>
      <c r="M1210" s="8"/>
      <c r="N1210" s="8" t="s">
        <v>62</v>
      </c>
      <c r="O1210" s="8" t="s">
        <v>63</v>
      </c>
      <c r="P1210" s="4" t="n">
        <v>46</v>
      </c>
      <c r="Q1210" s="8"/>
      <c r="R1210" s="4" t="s">
        <v>4213</v>
      </c>
      <c r="S1210" s="4"/>
    </row>
    <row r="1211" customFormat="false" ht="26.85" hidden="false" customHeight="false" outlineLevel="0" collapsed="false">
      <c r="A1211" s="4" t="s">
        <v>4214</v>
      </c>
      <c r="B1211" s="8" t="s">
        <v>1645</v>
      </c>
      <c r="C1211" s="8" t="s">
        <v>58</v>
      </c>
      <c r="D1211" s="8"/>
      <c r="E1211" s="8" t="s">
        <v>60</v>
      </c>
      <c r="F1211" s="8"/>
      <c r="G1211" s="8"/>
      <c r="H1211" s="8"/>
      <c r="I1211" s="8" t="s">
        <v>1646</v>
      </c>
      <c r="J1211" s="8" t="s">
        <v>72</v>
      </c>
      <c r="K1211" s="8" t="s">
        <v>4154</v>
      </c>
      <c r="L1211" s="8" t="s">
        <v>4155</v>
      </c>
      <c r="M1211" s="8"/>
      <c r="N1211" s="8" t="s">
        <v>62</v>
      </c>
      <c r="O1211" s="8" t="s">
        <v>63</v>
      </c>
      <c r="P1211" s="4" t="n">
        <v>46</v>
      </c>
      <c r="Q1211" s="8"/>
      <c r="R1211" s="4" t="s">
        <v>1647</v>
      </c>
      <c r="S1211" s="4"/>
    </row>
    <row r="1212" customFormat="false" ht="26.85" hidden="false" customHeight="false" outlineLevel="0" collapsed="false">
      <c r="A1212" s="4" t="s">
        <v>4215</v>
      </c>
      <c r="B1212" s="8" t="s">
        <v>4216</v>
      </c>
      <c r="C1212" s="8"/>
      <c r="D1212" s="8"/>
      <c r="E1212" s="8"/>
      <c r="F1212" s="8"/>
      <c r="G1212" s="8"/>
      <c r="H1212" s="8"/>
      <c r="I1212" s="8" t="s">
        <v>4217</v>
      </c>
      <c r="J1212" s="8" t="s">
        <v>72</v>
      </c>
      <c r="K1212" s="8" t="s">
        <v>4154</v>
      </c>
      <c r="L1212" s="8" t="s">
        <v>4155</v>
      </c>
      <c r="M1212" s="8"/>
      <c r="N1212" s="8" t="s">
        <v>62</v>
      </c>
      <c r="O1212" s="8" t="s">
        <v>63</v>
      </c>
      <c r="P1212" s="4" t="n">
        <v>46</v>
      </c>
      <c r="Q1212" s="8"/>
      <c r="R1212" s="4" t="s">
        <v>4216</v>
      </c>
      <c r="S1212" s="4"/>
    </row>
    <row r="1213" customFormat="false" ht="26.85" hidden="false" customHeight="false" outlineLevel="0" collapsed="false">
      <c r="A1213" s="4" t="s">
        <v>4218</v>
      </c>
      <c r="B1213" s="8" t="s">
        <v>4219</v>
      </c>
      <c r="C1213" s="8"/>
      <c r="D1213" s="8"/>
      <c r="E1213" s="8"/>
      <c r="F1213" s="8"/>
      <c r="G1213" s="8"/>
      <c r="H1213" s="8"/>
      <c r="I1213" s="8" t="s">
        <v>4220</v>
      </c>
      <c r="J1213" s="8" t="s">
        <v>72</v>
      </c>
      <c r="K1213" s="8" t="s">
        <v>4154</v>
      </c>
      <c r="L1213" s="8" t="s">
        <v>4155</v>
      </c>
      <c r="M1213" s="8"/>
      <c r="N1213" s="8" t="s">
        <v>62</v>
      </c>
      <c r="O1213" s="8" t="s">
        <v>63</v>
      </c>
      <c r="P1213" s="4" t="n">
        <v>46</v>
      </c>
      <c r="Q1213" s="8"/>
      <c r="R1213" s="4" t="s">
        <v>4219</v>
      </c>
      <c r="S1213" s="4"/>
    </row>
    <row r="1214" customFormat="false" ht="26.85" hidden="false" customHeight="false" outlineLevel="0" collapsed="false">
      <c r="A1214" s="4" t="s">
        <v>4221</v>
      </c>
      <c r="B1214" s="8" t="s">
        <v>1660</v>
      </c>
      <c r="C1214" s="8"/>
      <c r="D1214" s="8"/>
      <c r="E1214" s="8"/>
      <c r="F1214" s="8"/>
      <c r="G1214" s="8"/>
      <c r="H1214" s="8"/>
      <c r="I1214" s="8" t="s">
        <v>1661</v>
      </c>
      <c r="J1214" s="8" t="s">
        <v>72</v>
      </c>
      <c r="K1214" s="8" t="s">
        <v>4154</v>
      </c>
      <c r="L1214" s="8" t="s">
        <v>4155</v>
      </c>
      <c r="M1214" s="8"/>
      <c r="N1214" s="8" t="s">
        <v>62</v>
      </c>
      <c r="O1214" s="8" t="s">
        <v>63</v>
      </c>
      <c r="P1214" s="4" t="n">
        <v>46</v>
      </c>
      <c r="Q1214" s="8"/>
      <c r="R1214" s="4" t="s">
        <v>1660</v>
      </c>
      <c r="S1214" s="4"/>
    </row>
    <row r="1215" customFormat="false" ht="26.85" hidden="false" customHeight="false" outlineLevel="0" collapsed="false">
      <c r="A1215" s="4" t="s">
        <v>4222</v>
      </c>
      <c r="B1215" s="8" t="s">
        <v>4223</v>
      </c>
      <c r="C1215" s="8" t="s">
        <v>58</v>
      </c>
      <c r="D1215" s="8"/>
      <c r="E1215" s="8" t="s">
        <v>60</v>
      </c>
      <c r="F1215" s="8"/>
      <c r="G1215" s="8"/>
      <c r="H1215" s="8"/>
      <c r="I1215" s="8" t="s">
        <v>4224</v>
      </c>
      <c r="J1215" s="8" t="s">
        <v>72</v>
      </c>
      <c r="K1215" s="8" t="s">
        <v>4154</v>
      </c>
      <c r="L1215" s="8" t="s">
        <v>4155</v>
      </c>
      <c r="M1215" s="8"/>
      <c r="N1215" s="8" t="s">
        <v>62</v>
      </c>
      <c r="O1215" s="8" t="s">
        <v>63</v>
      </c>
      <c r="P1215" s="4" t="n">
        <v>46</v>
      </c>
      <c r="Q1215" s="8"/>
      <c r="R1215" s="4" t="s">
        <v>4225</v>
      </c>
      <c r="S1215" s="4"/>
    </row>
    <row r="1216" customFormat="false" ht="26.85" hidden="false" customHeight="false" outlineLevel="0" collapsed="false">
      <c r="A1216" s="4" t="s">
        <v>4226</v>
      </c>
      <c r="B1216" s="8" t="s">
        <v>4227</v>
      </c>
      <c r="C1216" s="8"/>
      <c r="D1216" s="8"/>
      <c r="E1216" s="8"/>
      <c r="F1216" s="8"/>
      <c r="G1216" s="8"/>
      <c r="H1216" s="8"/>
      <c r="I1216" s="8" t="s">
        <v>4228</v>
      </c>
      <c r="J1216" s="8" t="s">
        <v>72</v>
      </c>
      <c r="K1216" s="8" t="s">
        <v>4154</v>
      </c>
      <c r="L1216" s="8" t="s">
        <v>4155</v>
      </c>
      <c r="M1216" s="8"/>
      <c r="N1216" s="8" t="s">
        <v>62</v>
      </c>
      <c r="O1216" s="8" t="s">
        <v>63</v>
      </c>
      <c r="P1216" s="4" t="n">
        <v>46</v>
      </c>
      <c r="Q1216" s="8"/>
      <c r="R1216" s="4" t="s">
        <v>4227</v>
      </c>
      <c r="S1216" s="4"/>
    </row>
    <row r="1217" customFormat="false" ht="26.85" hidden="false" customHeight="false" outlineLevel="0" collapsed="false">
      <c r="A1217" s="4" t="s">
        <v>4229</v>
      </c>
      <c r="B1217" s="8" t="s">
        <v>4230</v>
      </c>
      <c r="C1217" s="8"/>
      <c r="D1217" s="8"/>
      <c r="E1217" s="8"/>
      <c r="F1217" s="8"/>
      <c r="G1217" s="8"/>
      <c r="H1217" s="8"/>
      <c r="I1217" s="8" t="s">
        <v>4231</v>
      </c>
      <c r="J1217" s="8" t="s">
        <v>72</v>
      </c>
      <c r="K1217" s="8" t="s">
        <v>4154</v>
      </c>
      <c r="L1217" s="8" t="s">
        <v>4155</v>
      </c>
      <c r="M1217" s="8"/>
      <c r="N1217" s="8" t="s">
        <v>62</v>
      </c>
      <c r="O1217" s="8" t="s">
        <v>63</v>
      </c>
      <c r="P1217" s="4" t="n">
        <v>46</v>
      </c>
      <c r="Q1217" s="8"/>
      <c r="R1217" s="4" t="s">
        <v>4230</v>
      </c>
      <c r="S1217" s="4"/>
    </row>
    <row r="1218" customFormat="false" ht="26.85" hidden="false" customHeight="false" outlineLevel="0" collapsed="false">
      <c r="A1218" s="4" t="s">
        <v>4232</v>
      </c>
      <c r="B1218" s="8" t="s">
        <v>4233</v>
      </c>
      <c r="C1218" s="8"/>
      <c r="D1218" s="8"/>
      <c r="E1218" s="8"/>
      <c r="F1218" s="8"/>
      <c r="G1218" s="8"/>
      <c r="H1218" s="8"/>
      <c r="I1218" s="8" t="s">
        <v>4234</v>
      </c>
      <c r="J1218" s="8" t="s">
        <v>72</v>
      </c>
      <c r="K1218" s="8" t="s">
        <v>4154</v>
      </c>
      <c r="L1218" s="8" t="s">
        <v>4155</v>
      </c>
      <c r="M1218" s="8"/>
      <c r="N1218" s="8" t="s">
        <v>62</v>
      </c>
      <c r="O1218" s="8" t="s">
        <v>63</v>
      </c>
      <c r="P1218" s="4" t="n">
        <v>46</v>
      </c>
      <c r="Q1218" s="8"/>
      <c r="R1218" s="4" t="s">
        <v>4233</v>
      </c>
      <c r="S1218" s="4"/>
    </row>
    <row r="1219" customFormat="false" ht="26.85" hidden="false" customHeight="false" outlineLevel="0" collapsed="false">
      <c r="A1219" s="4" t="s">
        <v>4235</v>
      </c>
      <c r="B1219" s="8" t="s">
        <v>4236</v>
      </c>
      <c r="C1219" s="8" t="s">
        <v>58</v>
      </c>
      <c r="D1219" s="8"/>
      <c r="E1219" s="8" t="s">
        <v>60</v>
      </c>
      <c r="F1219" s="8"/>
      <c r="G1219" s="8"/>
      <c r="H1219" s="8"/>
      <c r="I1219" s="8" t="s">
        <v>4237</v>
      </c>
      <c r="J1219" s="8" t="s">
        <v>72</v>
      </c>
      <c r="K1219" s="8" t="s">
        <v>4154</v>
      </c>
      <c r="L1219" s="8" t="s">
        <v>4155</v>
      </c>
      <c r="M1219" s="8"/>
      <c r="N1219" s="8" t="s">
        <v>62</v>
      </c>
      <c r="O1219" s="8" t="s">
        <v>63</v>
      </c>
      <c r="P1219" s="4" t="n">
        <v>46</v>
      </c>
      <c r="Q1219" s="8"/>
      <c r="R1219" s="4" t="s">
        <v>4238</v>
      </c>
      <c r="S1219" s="4"/>
    </row>
    <row r="1220" customFormat="false" ht="26.85" hidden="false" customHeight="false" outlineLevel="0" collapsed="false">
      <c r="A1220" s="4" t="s">
        <v>4239</v>
      </c>
      <c r="B1220" s="8" t="s">
        <v>4240</v>
      </c>
      <c r="C1220" s="8" t="s">
        <v>58</v>
      </c>
      <c r="D1220" s="8"/>
      <c r="E1220" s="8" t="s">
        <v>60</v>
      </c>
      <c r="F1220" s="8"/>
      <c r="G1220" s="8"/>
      <c r="H1220" s="8"/>
      <c r="I1220" s="8" t="s">
        <v>4241</v>
      </c>
      <c r="J1220" s="8" t="s">
        <v>72</v>
      </c>
      <c r="K1220" s="8" t="s">
        <v>4154</v>
      </c>
      <c r="L1220" s="8" t="s">
        <v>4155</v>
      </c>
      <c r="M1220" s="8"/>
      <c r="N1220" s="8" t="s">
        <v>62</v>
      </c>
      <c r="O1220" s="8" t="s">
        <v>63</v>
      </c>
      <c r="P1220" s="4" t="n">
        <v>46</v>
      </c>
      <c r="Q1220" s="8"/>
      <c r="R1220" s="4" t="s">
        <v>4242</v>
      </c>
      <c r="S1220" s="4"/>
    </row>
    <row r="1221" customFormat="false" ht="26.85" hidden="false" customHeight="false" outlineLevel="0" collapsed="false">
      <c r="A1221" s="4" t="s">
        <v>4243</v>
      </c>
      <c r="B1221" s="8" t="s">
        <v>4244</v>
      </c>
      <c r="C1221" s="8" t="s">
        <v>58</v>
      </c>
      <c r="D1221" s="8"/>
      <c r="E1221" s="8" t="s">
        <v>60</v>
      </c>
      <c r="F1221" s="8"/>
      <c r="G1221" s="8"/>
      <c r="H1221" s="8"/>
      <c r="I1221" s="8" t="s">
        <v>4245</v>
      </c>
      <c r="J1221" s="8" t="s">
        <v>72</v>
      </c>
      <c r="K1221" s="8" t="s">
        <v>4154</v>
      </c>
      <c r="L1221" s="8" t="s">
        <v>4155</v>
      </c>
      <c r="M1221" s="8"/>
      <c r="N1221" s="8" t="s">
        <v>62</v>
      </c>
      <c r="O1221" s="8" t="s">
        <v>63</v>
      </c>
      <c r="P1221" s="4" t="n">
        <v>46</v>
      </c>
      <c r="Q1221" s="8"/>
      <c r="R1221" s="4" t="s">
        <v>4246</v>
      </c>
      <c r="S1221" s="4"/>
    </row>
    <row r="1222" customFormat="false" ht="26.85" hidden="false" customHeight="false" outlineLevel="0" collapsed="false">
      <c r="A1222" s="4" t="s">
        <v>4247</v>
      </c>
      <c r="B1222" s="8" t="s">
        <v>4248</v>
      </c>
      <c r="C1222" s="8"/>
      <c r="D1222" s="8"/>
      <c r="E1222" s="8"/>
      <c r="F1222" s="8"/>
      <c r="G1222" s="8"/>
      <c r="H1222" s="8"/>
      <c r="I1222" s="8" t="s">
        <v>4249</v>
      </c>
      <c r="J1222" s="8" t="s">
        <v>72</v>
      </c>
      <c r="K1222" s="8" t="s">
        <v>4154</v>
      </c>
      <c r="L1222" s="8" t="s">
        <v>4155</v>
      </c>
      <c r="M1222" s="8"/>
      <c r="N1222" s="8" t="s">
        <v>62</v>
      </c>
      <c r="O1222" s="8" t="s">
        <v>63</v>
      </c>
      <c r="P1222" s="4" t="n">
        <v>46</v>
      </c>
      <c r="Q1222" s="8"/>
      <c r="R1222" s="4" t="s">
        <v>4248</v>
      </c>
      <c r="S1222" s="4"/>
    </row>
    <row r="1223" customFormat="false" ht="26.85" hidden="false" customHeight="false" outlineLevel="0" collapsed="false">
      <c r="A1223" s="4" t="s">
        <v>4250</v>
      </c>
      <c r="B1223" s="8" t="s">
        <v>4251</v>
      </c>
      <c r="C1223" s="8" t="s">
        <v>58</v>
      </c>
      <c r="D1223" s="8"/>
      <c r="E1223" s="8" t="s">
        <v>60</v>
      </c>
      <c r="F1223" s="8"/>
      <c r="G1223" s="8"/>
      <c r="H1223" s="8"/>
      <c r="I1223" s="8" t="s">
        <v>4252</v>
      </c>
      <c r="J1223" s="8" t="s">
        <v>72</v>
      </c>
      <c r="K1223" s="8" t="s">
        <v>4154</v>
      </c>
      <c r="L1223" s="8" t="s">
        <v>4155</v>
      </c>
      <c r="M1223" s="8"/>
      <c r="N1223" s="8" t="s">
        <v>62</v>
      </c>
      <c r="O1223" s="8" t="s">
        <v>63</v>
      </c>
      <c r="P1223" s="4" t="n">
        <v>46</v>
      </c>
      <c r="Q1223" s="8"/>
      <c r="R1223" s="4" t="s">
        <v>4253</v>
      </c>
      <c r="S1223" s="4" t="n">
        <v>223</v>
      </c>
    </row>
    <row r="1224" customFormat="false" ht="26.85" hidden="false" customHeight="false" outlineLevel="0" collapsed="false">
      <c r="A1224" s="4" t="s">
        <v>4254</v>
      </c>
      <c r="B1224" s="8" t="s">
        <v>4255</v>
      </c>
      <c r="C1224" s="8"/>
      <c r="D1224" s="8"/>
      <c r="E1224" s="8"/>
      <c r="F1224" s="8"/>
      <c r="G1224" s="8"/>
      <c r="H1224" s="8"/>
      <c r="I1224" s="8" t="s">
        <v>4256</v>
      </c>
      <c r="J1224" s="8" t="s">
        <v>72</v>
      </c>
      <c r="K1224" s="8" t="s">
        <v>4154</v>
      </c>
      <c r="L1224" s="8" t="s">
        <v>4155</v>
      </c>
      <c r="M1224" s="8"/>
      <c r="N1224" s="8" t="s">
        <v>62</v>
      </c>
      <c r="O1224" s="8" t="s">
        <v>63</v>
      </c>
      <c r="P1224" s="4" t="n">
        <v>46</v>
      </c>
      <c r="Q1224" s="8"/>
      <c r="R1224" s="4" t="s">
        <v>4255</v>
      </c>
      <c r="S1224" s="4"/>
    </row>
    <row r="1225" customFormat="false" ht="26.85" hidden="false" customHeight="false" outlineLevel="0" collapsed="false">
      <c r="A1225" s="4" t="s">
        <v>4257</v>
      </c>
      <c r="B1225" s="8" t="s">
        <v>4258</v>
      </c>
      <c r="C1225" s="8"/>
      <c r="D1225" s="8"/>
      <c r="E1225" s="8"/>
      <c r="F1225" s="8"/>
      <c r="G1225" s="8"/>
      <c r="H1225" s="8"/>
      <c r="I1225" s="8" t="s">
        <v>4259</v>
      </c>
      <c r="J1225" s="8" t="s">
        <v>72</v>
      </c>
      <c r="K1225" s="8" t="s">
        <v>4154</v>
      </c>
      <c r="L1225" s="8" t="s">
        <v>4155</v>
      </c>
      <c r="M1225" s="8"/>
      <c r="N1225" s="8" t="s">
        <v>62</v>
      </c>
      <c r="O1225" s="8" t="s">
        <v>63</v>
      </c>
      <c r="P1225" s="4" t="n">
        <v>46</v>
      </c>
      <c r="Q1225" s="8"/>
      <c r="R1225" s="4" t="s">
        <v>4258</v>
      </c>
      <c r="S1225" s="4"/>
    </row>
    <row r="1226" customFormat="false" ht="26.85" hidden="false" customHeight="false" outlineLevel="0" collapsed="false">
      <c r="A1226" s="4" t="s">
        <v>4260</v>
      </c>
      <c r="B1226" s="8" t="s">
        <v>1724</v>
      </c>
      <c r="C1226" s="8" t="s">
        <v>58</v>
      </c>
      <c r="D1226" s="8"/>
      <c r="E1226" s="8" t="s">
        <v>60</v>
      </c>
      <c r="F1226" s="8"/>
      <c r="G1226" s="8"/>
      <c r="H1226" s="8"/>
      <c r="I1226" s="8" t="s">
        <v>4261</v>
      </c>
      <c r="J1226" s="8" t="s">
        <v>72</v>
      </c>
      <c r="K1226" s="8" t="s">
        <v>4154</v>
      </c>
      <c r="L1226" s="8" t="s">
        <v>4155</v>
      </c>
      <c r="M1226" s="8"/>
      <c r="N1226" s="8" t="s">
        <v>62</v>
      </c>
      <c r="O1226" s="8" t="s">
        <v>63</v>
      </c>
      <c r="P1226" s="4" t="n">
        <v>46</v>
      </c>
      <c r="Q1226" s="8"/>
      <c r="R1226" s="4" t="s">
        <v>1726</v>
      </c>
      <c r="S1226" s="4"/>
    </row>
    <row r="1227" customFormat="false" ht="26.85" hidden="false" customHeight="false" outlineLevel="0" collapsed="false">
      <c r="A1227" s="4" t="s">
        <v>4262</v>
      </c>
      <c r="B1227" s="8" t="s">
        <v>4263</v>
      </c>
      <c r="C1227" s="8"/>
      <c r="D1227" s="8"/>
      <c r="E1227" s="8"/>
      <c r="F1227" s="8"/>
      <c r="G1227" s="8"/>
      <c r="H1227" s="8"/>
      <c r="I1227" s="8" t="s">
        <v>4264</v>
      </c>
      <c r="J1227" s="8" t="s">
        <v>72</v>
      </c>
      <c r="K1227" s="8" t="s">
        <v>4154</v>
      </c>
      <c r="L1227" s="8" t="s">
        <v>4155</v>
      </c>
      <c r="M1227" s="8"/>
      <c r="N1227" s="8" t="s">
        <v>62</v>
      </c>
      <c r="O1227" s="8" t="s">
        <v>63</v>
      </c>
      <c r="P1227" s="4" t="n">
        <v>46</v>
      </c>
      <c r="Q1227" s="8"/>
      <c r="R1227" s="4" t="s">
        <v>4263</v>
      </c>
      <c r="S1227" s="4"/>
    </row>
    <row r="1228" customFormat="false" ht="26.85" hidden="false" customHeight="false" outlineLevel="0" collapsed="false">
      <c r="A1228" s="4" t="s">
        <v>4265</v>
      </c>
      <c r="B1228" s="8" t="s">
        <v>657</v>
      </c>
      <c r="C1228" s="8"/>
      <c r="D1228" s="8"/>
      <c r="E1228" s="8"/>
      <c r="F1228" s="8"/>
      <c r="G1228" s="8"/>
      <c r="H1228" s="8"/>
      <c r="I1228" s="8" t="s">
        <v>658</v>
      </c>
      <c r="J1228" s="8" t="s">
        <v>72</v>
      </c>
      <c r="K1228" s="8" t="s">
        <v>4154</v>
      </c>
      <c r="L1228" s="8" t="s">
        <v>4155</v>
      </c>
      <c r="M1228" s="8"/>
      <c r="N1228" s="8" t="s">
        <v>62</v>
      </c>
      <c r="O1228" s="8" t="s">
        <v>63</v>
      </c>
      <c r="P1228" s="4" t="n">
        <v>46</v>
      </c>
      <c r="Q1228" s="8"/>
      <c r="R1228" s="4" t="s">
        <v>657</v>
      </c>
      <c r="S1228" s="4"/>
    </row>
    <row r="1229" customFormat="false" ht="26.85" hidden="false" customHeight="false" outlineLevel="0" collapsed="false">
      <c r="A1229" s="4" t="s">
        <v>4266</v>
      </c>
      <c r="B1229" s="8" t="s">
        <v>4267</v>
      </c>
      <c r="C1229" s="8" t="s">
        <v>58</v>
      </c>
      <c r="D1229" s="8"/>
      <c r="E1229" s="8" t="s">
        <v>60</v>
      </c>
      <c r="F1229" s="8"/>
      <c r="G1229" s="8"/>
      <c r="H1229" s="8"/>
      <c r="I1229" s="8" t="s">
        <v>4268</v>
      </c>
      <c r="J1229" s="8" t="s">
        <v>72</v>
      </c>
      <c r="K1229" s="8" t="s">
        <v>4154</v>
      </c>
      <c r="L1229" s="8" t="s">
        <v>4155</v>
      </c>
      <c r="M1229" s="8"/>
      <c r="N1229" s="8" t="s">
        <v>62</v>
      </c>
      <c r="O1229" s="8" t="s">
        <v>63</v>
      </c>
      <c r="P1229" s="4" t="n">
        <v>46</v>
      </c>
      <c r="Q1229" s="8"/>
      <c r="R1229" s="4" t="s">
        <v>4269</v>
      </c>
      <c r="S1229" s="4"/>
    </row>
    <row r="1230" customFormat="false" ht="26.85" hidden="false" customHeight="false" outlineLevel="0" collapsed="false">
      <c r="A1230" s="4" t="s">
        <v>4270</v>
      </c>
      <c r="B1230" s="8" t="s">
        <v>4271</v>
      </c>
      <c r="C1230" s="8"/>
      <c r="D1230" s="8"/>
      <c r="E1230" s="8"/>
      <c r="F1230" s="8"/>
      <c r="G1230" s="8"/>
      <c r="H1230" s="8"/>
      <c r="I1230" s="8" t="s">
        <v>4272</v>
      </c>
      <c r="J1230" s="8" t="s">
        <v>72</v>
      </c>
      <c r="K1230" s="8" t="s">
        <v>4154</v>
      </c>
      <c r="L1230" s="8" t="s">
        <v>4155</v>
      </c>
      <c r="M1230" s="8"/>
      <c r="N1230" s="8" t="s">
        <v>62</v>
      </c>
      <c r="O1230" s="8" t="s">
        <v>63</v>
      </c>
      <c r="P1230" s="4" t="n">
        <v>46</v>
      </c>
      <c r="Q1230" s="8"/>
      <c r="R1230" s="4" t="s">
        <v>4271</v>
      </c>
      <c r="S1230" s="4"/>
    </row>
    <row r="1231" customFormat="false" ht="26.85" hidden="false" customHeight="false" outlineLevel="0" collapsed="false">
      <c r="A1231" s="4" t="s">
        <v>4273</v>
      </c>
      <c r="B1231" s="8" t="s">
        <v>4274</v>
      </c>
      <c r="C1231" s="8"/>
      <c r="D1231" s="8"/>
      <c r="E1231" s="8"/>
      <c r="F1231" s="8"/>
      <c r="G1231" s="8"/>
      <c r="H1231" s="8"/>
      <c r="I1231" s="8" t="s">
        <v>4275</v>
      </c>
      <c r="J1231" s="8" t="s">
        <v>72</v>
      </c>
      <c r="K1231" s="8" t="s">
        <v>4154</v>
      </c>
      <c r="L1231" s="8" t="s">
        <v>4155</v>
      </c>
      <c r="M1231" s="8"/>
      <c r="N1231" s="8" t="s">
        <v>62</v>
      </c>
      <c r="O1231" s="8" t="s">
        <v>63</v>
      </c>
      <c r="P1231" s="4" t="n">
        <v>46</v>
      </c>
      <c r="Q1231" s="8"/>
      <c r="R1231" s="4" t="s">
        <v>4274</v>
      </c>
      <c r="S1231" s="4"/>
    </row>
    <row r="1232" customFormat="false" ht="26.85" hidden="false" customHeight="false" outlineLevel="0" collapsed="false">
      <c r="A1232" s="4" t="s">
        <v>4276</v>
      </c>
      <c r="B1232" s="8" t="s">
        <v>4277</v>
      </c>
      <c r="C1232" s="8"/>
      <c r="D1232" s="8"/>
      <c r="E1232" s="8"/>
      <c r="F1232" s="8"/>
      <c r="G1232" s="8"/>
      <c r="H1232" s="8"/>
      <c r="I1232" s="8" t="s">
        <v>4278</v>
      </c>
      <c r="J1232" s="8" t="s">
        <v>72</v>
      </c>
      <c r="K1232" s="8" t="s">
        <v>4154</v>
      </c>
      <c r="L1232" s="8" t="s">
        <v>4155</v>
      </c>
      <c r="M1232" s="8"/>
      <c r="N1232" s="8" t="s">
        <v>62</v>
      </c>
      <c r="O1232" s="8" t="s">
        <v>63</v>
      </c>
      <c r="P1232" s="4" t="n">
        <v>46</v>
      </c>
      <c r="Q1232" s="8"/>
      <c r="R1232" s="4" t="s">
        <v>4277</v>
      </c>
      <c r="S1232" s="4"/>
    </row>
    <row r="1233" customFormat="false" ht="26.85" hidden="false" customHeight="false" outlineLevel="0" collapsed="false">
      <c r="A1233" s="4" t="s">
        <v>4279</v>
      </c>
      <c r="B1233" s="8" t="s">
        <v>4280</v>
      </c>
      <c r="C1233" s="8"/>
      <c r="D1233" s="8"/>
      <c r="E1233" s="8"/>
      <c r="F1233" s="8"/>
      <c r="G1233" s="8"/>
      <c r="H1233" s="8"/>
      <c r="I1233" s="8" t="s">
        <v>4281</v>
      </c>
      <c r="J1233" s="8" t="s">
        <v>72</v>
      </c>
      <c r="K1233" s="8" t="s">
        <v>4154</v>
      </c>
      <c r="L1233" s="8" t="s">
        <v>4282</v>
      </c>
      <c r="M1233" s="8"/>
      <c r="N1233" s="8" t="s">
        <v>62</v>
      </c>
      <c r="O1233" s="8" t="s">
        <v>63</v>
      </c>
      <c r="P1233" s="4" t="n">
        <v>47</v>
      </c>
      <c r="Q1233" s="8"/>
      <c r="R1233" s="4" t="s">
        <v>4280</v>
      </c>
      <c r="S1233" s="4"/>
    </row>
    <row r="1234" customFormat="false" ht="26.85" hidden="false" customHeight="false" outlineLevel="0" collapsed="false">
      <c r="A1234" s="4" t="s">
        <v>4283</v>
      </c>
      <c r="B1234" s="8" t="s">
        <v>1896</v>
      </c>
      <c r="C1234" s="8"/>
      <c r="D1234" s="8"/>
      <c r="E1234" s="8"/>
      <c r="F1234" s="8"/>
      <c r="G1234" s="8"/>
      <c r="H1234" s="8"/>
      <c r="I1234" s="8" t="s">
        <v>1897</v>
      </c>
      <c r="J1234" s="8" t="s">
        <v>72</v>
      </c>
      <c r="K1234" s="8" t="s">
        <v>4154</v>
      </c>
      <c r="L1234" s="8" t="s">
        <v>4282</v>
      </c>
      <c r="M1234" s="8"/>
      <c r="N1234" s="8" t="s">
        <v>62</v>
      </c>
      <c r="O1234" s="8" t="s">
        <v>63</v>
      </c>
      <c r="P1234" s="4" t="n">
        <v>47</v>
      </c>
      <c r="Q1234" s="8"/>
      <c r="R1234" s="4" t="s">
        <v>1896</v>
      </c>
      <c r="S1234" s="4"/>
    </row>
    <row r="1235" customFormat="false" ht="26.85" hidden="false" customHeight="false" outlineLevel="0" collapsed="false">
      <c r="A1235" s="4" t="s">
        <v>4284</v>
      </c>
      <c r="B1235" s="8" t="s">
        <v>4285</v>
      </c>
      <c r="C1235" s="8"/>
      <c r="D1235" s="8"/>
      <c r="E1235" s="8"/>
      <c r="F1235" s="8"/>
      <c r="G1235" s="8"/>
      <c r="H1235" s="8"/>
      <c r="I1235" s="8" t="s">
        <v>4286</v>
      </c>
      <c r="J1235" s="8" t="s">
        <v>72</v>
      </c>
      <c r="K1235" s="8" t="s">
        <v>4154</v>
      </c>
      <c r="L1235" s="8" t="s">
        <v>4282</v>
      </c>
      <c r="M1235" s="8"/>
      <c r="N1235" s="8" t="s">
        <v>62</v>
      </c>
      <c r="O1235" s="8" t="s">
        <v>63</v>
      </c>
      <c r="P1235" s="4" t="n">
        <v>47</v>
      </c>
      <c r="Q1235" s="8"/>
      <c r="R1235" s="4" t="s">
        <v>4285</v>
      </c>
      <c r="S1235" s="4"/>
    </row>
    <row r="1236" customFormat="false" ht="26.85" hidden="false" customHeight="false" outlineLevel="0" collapsed="false">
      <c r="A1236" s="4" t="s">
        <v>4287</v>
      </c>
      <c r="B1236" s="8" t="s">
        <v>4288</v>
      </c>
      <c r="C1236" s="8"/>
      <c r="D1236" s="8"/>
      <c r="E1236" s="8"/>
      <c r="F1236" s="8"/>
      <c r="G1236" s="8"/>
      <c r="H1236" s="8"/>
      <c r="I1236" s="8" t="s">
        <v>4289</v>
      </c>
      <c r="J1236" s="8" t="s">
        <v>72</v>
      </c>
      <c r="K1236" s="8" t="s">
        <v>4154</v>
      </c>
      <c r="L1236" s="8" t="s">
        <v>4282</v>
      </c>
      <c r="M1236" s="8"/>
      <c r="N1236" s="8" t="s">
        <v>62</v>
      </c>
      <c r="O1236" s="8" t="s">
        <v>63</v>
      </c>
      <c r="P1236" s="4" t="n">
        <v>47</v>
      </c>
      <c r="Q1236" s="8"/>
      <c r="R1236" s="4" t="s">
        <v>4288</v>
      </c>
      <c r="S1236" s="4"/>
    </row>
    <row r="1237" customFormat="false" ht="26.85" hidden="false" customHeight="false" outlineLevel="0" collapsed="false">
      <c r="A1237" s="4" t="s">
        <v>4290</v>
      </c>
      <c r="B1237" s="8" t="s">
        <v>4291</v>
      </c>
      <c r="C1237" s="8"/>
      <c r="D1237" s="8"/>
      <c r="E1237" s="8"/>
      <c r="F1237" s="8"/>
      <c r="G1237" s="8"/>
      <c r="H1237" s="8"/>
      <c r="I1237" s="8" t="s">
        <v>4292</v>
      </c>
      <c r="J1237" s="8" t="s">
        <v>72</v>
      </c>
      <c r="K1237" s="8" t="s">
        <v>4154</v>
      </c>
      <c r="L1237" s="8" t="s">
        <v>4282</v>
      </c>
      <c r="M1237" s="8"/>
      <c r="N1237" s="8" t="s">
        <v>62</v>
      </c>
      <c r="O1237" s="8" t="s">
        <v>63</v>
      </c>
      <c r="P1237" s="4" t="n">
        <v>47</v>
      </c>
      <c r="Q1237" s="8"/>
      <c r="R1237" s="4" t="s">
        <v>4291</v>
      </c>
      <c r="S1237" s="4"/>
    </row>
    <row r="1238" customFormat="false" ht="26.85" hidden="false" customHeight="false" outlineLevel="0" collapsed="false">
      <c r="A1238" s="4" t="s">
        <v>4293</v>
      </c>
      <c r="B1238" s="8" t="s">
        <v>4294</v>
      </c>
      <c r="C1238" s="8" t="s">
        <v>58</v>
      </c>
      <c r="D1238" s="8"/>
      <c r="E1238" s="8" t="s">
        <v>60</v>
      </c>
      <c r="F1238" s="8"/>
      <c r="G1238" s="8"/>
      <c r="H1238" s="8"/>
      <c r="I1238" s="8" t="s">
        <v>4295</v>
      </c>
      <c r="J1238" s="8" t="s">
        <v>72</v>
      </c>
      <c r="K1238" s="8" t="s">
        <v>4154</v>
      </c>
      <c r="L1238" s="8" t="s">
        <v>4282</v>
      </c>
      <c r="M1238" s="8"/>
      <c r="N1238" s="8" t="s">
        <v>62</v>
      </c>
      <c r="O1238" s="8" t="s">
        <v>63</v>
      </c>
      <c r="P1238" s="4" t="n">
        <v>47</v>
      </c>
      <c r="Q1238" s="8"/>
      <c r="R1238" s="4" t="s">
        <v>4296</v>
      </c>
      <c r="S1238" s="4"/>
    </row>
    <row r="1239" customFormat="false" ht="26.85" hidden="false" customHeight="false" outlineLevel="0" collapsed="false">
      <c r="A1239" s="4" t="s">
        <v>4297</v>
      </c>
      <c r="B1239" s="8" t="s">
        <v>4298</v>
      </c>
      <c r="C1239" s="8" t="s">
        <v>58</v>
      </c>
      <c r="D1239" s="8"/>
      <c r="E1239" s="8" t="s">
        <v>60</v>
      </c>
      <c r="F1239" s="8"/>
      <c r="G1239" s="8"/>
      <c r="H1239" s="8"/>
      <c r="I1239" s="8" t="s">
        <v>4299</v>
      </c>
      <c r="J1239" s="8" t="s">
        <v>72</v>
      </c>
      <c r="K1239" s="8" t="s">
        <v>4154</v>
      </c>
      <c r="L1239" s="8" t="s">
        <v>4282</v>
      </c>
      <c r="M1239" s="8"/>
      <c r="N1239" s="8" t="s">
        <v>62</v>
      </c>
      <c r="O1239" s="8" t="s">
        <v>63</v>
      </c>
      <c r="P1239" s="4" t="n">
        <v>47</v>
      </c>
      <c r="Q1239" s="8"/>
      <c r="R1239" s="4" t="s">
        <v>4300</v>
      </c>
      <c r="S1239" s="4"/>
    </row>
    <row r="1240" customFormat="false" ht="26.85" hidden="false" customHeight="false" outlineLevel="0" collapsed="false">
      <c r="A1240" s="4" t="s">
        <v>4301</v>
      </c>
      <c r="B1240" s="8" t="s">
        <v>4302</v>
      </c>
      <c r="C1240" s="8" t="s">
        <v>58</v>
      </c>
      <c r="D1240" s="8"/>
      <c r="E1240" s="8" t="s">
        <v>60</v>
      </c>
      <c r="F1240" s="8"/>
      <c r="G1240" s="8"/>
      <c r="H1240" s="8"/>
      <c r="I1240" s="8" t="s">
        <v>4303</v>
      </c>
      <c r="J1240" s="8" t="s">
        <v>72</v>
      </c>
      <c r="K1240" s="8" t="s">
        <v>4154</v>
      </c>
      <c r="L1240" s="8" t="s">
        <v>4282</v>
      </c>
      <c r="M1240" s="8"/>
      <c r="N1240" s="8" t="s">
        <v>62</v>
      </c>
      <c r="O1240" s="8" t="s">
        <v>63</v>
      </c>
      <c r="P1240" s="4" t="n">
        <v>47</v>
      </c>
      <c r="Q1240" s="8"/>
      <c r="R1240" s="4" t="s">
        <v>4304</v>
      </c>
      <c r="S1240" s="4" t="n">
        <v>6216</v>
      </c>
    </row>
    <row r="1241" customFormat="false" ht="26.85" hidden="false" customHeight="false" outlineLevel="0" collapsed="false">
      <c r="A1241" s="4" t="s">
        <v>4305</v>
      </c>
      <c r="B1241" s="8" t="s">
        <v>4306</v>
      </c>
      <c r="C1241" s="8" t="s">
        <v>58</v>
      </c>
      <c r="D1241" s="8"/>
      <c r="E1241" s="8" t="s">
        <v>60</v>
      </c>
      <c r="F1241" s="8"/>
      <c r="G1241" s="8"/>
      <c r="H1241" s="8"/>
      <c r="I1241" s="8" t="s">
        <v>4307</v>
      </c>
      <c r="J1241" s="8" t="s">
        <v>72</v>
      </c>
      <c r="K1241" s="8" t="s">
        <v>4154</v>
      </c>
      <c r="L1241" s="8" t="s">
        <v>4282</v>
      </c>
      <c r="M1241" s="8"/>
      <c r="N1241" s="8" t="s">
        <v>62</v>
      </c>
      <c r="O1241" s="8" t="s">
        <v>63</v>
      </c>
      <c r="P1241" s="4" t="n">
        <v>47</v>
      </c>
      <c r="Q1241" s="8"/>
      <c r="R1241" s="4" t="s">
        <v>4308</v>
      </c>
      <c r="S1241" s="4"/>
    </row>
    <row r="1242" customFormat="false" ht="26.85" hidden="false" customHeight="false" outlineLevel="0" collapsed="false">
      <c r="A1242" s="4" t="s">
        <v>4309</v>
      </c>
      <c r="B1242" s="8" t="s">
        <v>4310</v>
      </c>
      <c r="C1242" s="8"/>
      <c r="D1242" s="8"/>
      <c r="E1242" s="8"/>
      <c r="F1242" s="8"/>
      <c r="G1242" s="8"/>
      <c r="H1242" s="8"/>
      <c r="I1242" s="8" t="s">
        <v>4311</v>
      </c>
      <c r="J1242" s="8" t="s">
        <v>72</v>
      </c>
      <c r="K1242" s="8" t="s">
        <v>4154</v>
      </c>
      <c r="L1242" s="8" t="s">
        <v>4282</v>
      </c>
      <c r="M1242" s="8"/>
      <c r="N1242" s="8" t="s">
        <v>62</v>
      </c>
      <c r="O1242" s="8" t="s">
        <v>63</v>
      </c>
      <c r="P1242" s="4" t="n">
        <v>47</v>
      </c>
      <c r="Q1242" s="8"/>
      <c r="R1242" s="4" t="s">
        <v>4310</v>
      </c>
      <c r="S1242" s="4"/>
    </row>
    <row r="1243" customFormat="false" ht="26.85" hidden="false" customHeight="false" outlineLevel="0" collapsed="false">
      <c r="A1243" s="4" t="s">
        <v>4312</v>
      </c>
      <c r="B1243" s="8" t="s">
        <v>4313</v>
      </c>
      <c r="C1243" s="8"/>
      <c r="D1243" s="8"/>
      <c r="E1243" s="8"/>
      <c r="F1243" s="8"/>
      <c r="G1243" s="8"/>
      <c r="H1243" s="8"/>
      <c r="I1243" s="8" t="s">
        <v>4314</v>
      </c>
      <c r="J1243" s="8" t="s">
        <v>72</v>
      </c>
      <c r="K1243" s="8" t="s">
        <v>4154</v>
      </c>
      <c r="L1243" s="8" t="s">
        <v>4282</v>
      </c>
      <c r="M1243" s="8"/>
      <c r="N1243" s="8" t="s">
        <v>62</v>
      </c>
      <c r="O1243" s="8" t="s">
        <v>63</v>
      </c>
      <c r="P1243" s="4" t="n">
        <v>47</v>
      </c>
      <c r="Q1243" s="8"/>
      <c r="R1243" s="4" t="s">
        <v>4313</v>
      </c>
      <c r="S1243" s="4"/>
    </row>
    <row r="1244" customFormat="false" ht="26.85" hidden="false" customHeight="false" outlineLevel="0" collapsed="false">
      <c r="A1244" s="4" t="s">
        <v>4315</v>
      </c>
      <c r="B1244" s="8" t="s">
        <v>4316</v>
      </c>
      <c r="C1244" s="8" t="s">
        <v>58</v>
      </c>
      <c r="D1244" s="8"/>
      <c r="E1244" s="8" t="s">
        <v>60</v>
      </c>
      <c r="F1244" s="8"/>
      <c r="G1244" s="8"/>
      <c r="H1244" s="8"/>
      <c r="I1244" s="8" t="s">
        <v>4317</v>
      </c>
      <c r="J1244" s="8" t="s">
        <v>72</v>
      </c>
      <c r="K1244" s="8" t="s">
        <v>4154</v>
      </c>
      <c r="L1244" s="8" t="s">
        <v>4282</v>
      </c>
      <c r="M1244" s="8"/>
      <c r="N1244" s="8" t="s">
        <v>62</v>
      </c>
      <c r="O1244" s="8" t="s">
        <v>63</v>
      </c>
      <c r="P1244" s="4" t="n">
        <v>47</v>
      </c>
      <c r="Q1244" s="8"/>
      <c r="R1244" s="4" t="s">
        <v>4318</v>
      </c>
      <c r="S1244" s="4"/>
    </row>
    <row r="1245" customFormat="false" ht="26.85" hidden="false" customHeight="false" outlineLevel="0" collapsed="false">
      <c r="A1245" s="4" t="s">
        <v>4319</v>
      </c>
      <c r="B1245" s="8" t="s">
        <v>4320</v>
      </c>
      <c r="C1245" s="8"/>
      <c r="D1245" s="8"/>
      <c r="E1245" s="8"/>
      <c r="F1245" s="8"/>
      <c r="G1245" s="8"/>
      <c r="H1245" s="8"/>
      <c r="I1245" s="8" t="s">
        <v>4320</v>
      </c>
      <c r="J1245" s="8" t="s">
        <v>72</v>
      </c>
      <c r="K1245" s="8" t="s">
        <v>4154</v>
      </c>
      <c r="L1245" s="8" t="s">
        <v>4282</v>
      </c>
      <c r="M1245" s="8"/>
      <c r="N1245" s="8" t="s">
        <v>62</v>
      </c>
      <c r="O1245" s="8" t="s">
        <v>63</v>
      </c>
      <c r="P1245" s="4" t="n">
        <v>47</v>
      </c>
      <c r="Q1245" s="8"/>
      <c r="R1245" s="4" t="s">
        <v>4320</v>
      </c>
      <c r="S1245" s="4"/>
    </row>
    <row r="1246" customFormat="false" ht="26.85" hidden="false" customHeight="false" outlineLevel="0" collapsed="false">
      <c r="A1246" s="4" t="s">
        <v>4321</v>
      </c>
      <c r="B1246" s="8" t="s">
        <v>4322</v>
      </c>
      <c r="C1246" s="8" t="s">
        <v>58</v>
      </c>
      <c r="D1246" s="8"/>
      <c r="E1246" s="8" t="s">
        <v>60</v>
      </c>
      <c r="F1246" s="8"/>
      <c r="G1246" s="8"/>
      <c r="H1246" s="8"/>
      <c r="I1246" s="8" t="s">
        <v>4323</v>
      </c>
      <c r="J1246" s="8" t="s">
        <v>72</v>
      </c>
      <c r="K1246" s="8" t="s">
        <v>4154</v>
      </c>
      <c r="L1246" s="8" t="s">
        <v>4282</v>
      </c>
      <c r="M1246" s="8"/>
      <c r="N1246" s="8" t="s">
        <v>62</v>
      </c>
      <c r="O1246" s="8" t="s">
        <v>63</v>
      </c>
      <c r="P1246" s="4" t="n">
        <v>47</v>
      </c>
      <c r="Q1246" s="8"/>
      <c r="R1246" s="4" t="s">
        <v>4324</v>
      </c>
      <c r="S1246" s="4"/>
    </row>
    <row r="1247" customFormat="false" ht="26.85" hidden="false" customHeight="false" outlineLevel="0" collapsed="false">
      <c r="A1247" s="4" t="s">
        <v>4325</v>
      </c>
      <c r="B1247" s="8" t="s">
        <v>4326</v>
      </c>
      <c r="C1247" s="8" t="s">
        <v>58</v>
      </c>
      <c r="D1247" s="8"/>
      <c r="E1247" s="8" t="s">
        <v>60</v>
      </c>
      <c r="F1247" s="8"/>
      <c r="G1247" s="8"/>
      <c r="H1247" s="8"/>
      <c r="I1247" s="8" t="s">
        <v>4327</v>
      </c>
      <c r="J1247" s="8" t="s">
        <v>72</v>
      </c>
      <c r="K1247" s="8" t="s">
        <v>4154</v>
      </c>
      <c r="L1247" s="8" t="s">
        <v>4282</v>
      </c>
      <c r="M1247" s="8"/>
      <c r="N1247" s="8" t="s">
        <v>62</v>
      </c>
      <c r="O1247" s="8" t="s">
        <v>63</v>
      </c>
      <c r="P1247" s="4" t="n">
        <v>47</v>
      </c>
      <c r="Q1247" s="8"/>
      <c r="R1247" s="4" t="s">
        <v>4328</v>
      </c>
      <c r="S1247" s="4" t="n">
        <v>1844</v>
      </c>
    </row>
    <row r="1248" customFormat="false" ht="26.85" hidden="false" customHeight="false" outlineLevel="0" collapsed="false">
      <c r="A1248" s="4" t="s">
        <v>4329</v>
      </c>
      <c r="B1248" s="8" t="s">
        <v>4330</v>
      </c>
      <c r="C1248" s="8"/>
      <c r="D1248" s="8"/>
      <c r="E1248" s="8"/>
      <c r="F1248" s="8"/>
      <c r="G1248" s="8"/>
      <c r="H1248" s="8"/>
      <c r="I1248" s="8" t="s">
        <v>4331</v>
      </c>
      <c r="J1248" s="8" t="s">
        <v>72</v>
      </c>
      <c r="K1248" s="8" t="s">
        <v>4154</v>
      </c>
      <c r="L1248" s="8" t="s">
        <v>4282</v>
      </c>
      <c r="M1248" s="8"/>
      <c r="N1248" s="8" t="s">
        <v>62</v>
      </c>
      <c r="O1248" s="8" t="s">
        <v>63</v>
      </c>
      <c r="P1248" s="4" t="n">
        <v>47</v>
      </c>
      <c r="Q1248" s="8"/>
      <c r="R1248" s="4" t="s">
        <v>4330</v>
      </c>
      <c r="S1248" s="4"/>
    </row>
    <row r="1249" customFormat="false" ht="26.85" hidden="false" customHeight="false" outlineLevel="0" collapsed="false">
      <c r="A1249" s="4" t="s">
        <v>4332</v>
      </c>
      <c r="B1249" s="8" t="s">
        <v>1307</v>
      </c>
      <c r="C1249" s="8"/>
      <c r="D1249" s="8"/>
      <c r="E1249" s="8"/>
      <c r="F1249" s="8"/>
      <c r="G1249" s="8"/>
      <c r="H1249" s="8"/>
      <c r="I1249" s="8" t="s">
        <v>1308</v>
      </c>
      <c r="J1249" s="8" t="s">
        <v>72</v>
      </c>
      <c r="K1249" s="8" t="s">
        <v>4154</v>
      </c>
      <c r="L1249" s="8" t="s">
        <v>4282</v>
      </c>
      <c r="M1249" s="8"/>
      <c r="N1249" s="8" t="s">
        <v>62</v>
      </c>
      <c r="O1249" s="8" t="s">
        <v>63</v>
      </c>
      <c r="P1249" s="4" t="n">
        <v>47</v>
      </c>
      <c r="Q1249" s="8"/>
      <c r="R1249" s="4" t="s">
        <v>1307</v>
      </c>
      <c r="S1249" s="4"/>
    </row>
    <row r="1250" customFormat="false" ht="26.85" hidden="false" customHeight="false" outlineLevel="0" collapsed="false">
      <c r="A1250" s="4" t="s">
        <v>4333</v>
      </c>
      <c r="B1250" s="8" t="s">
        <v>4334</v>
      </c>
      <c r="C1250" s="8"/>
      <c r="D1250" s="8"/>
      <c r="E1250" s="8"/>
      <c r="F1250" s="8"/>
      <c r="G1250" s="8"/>
      <c r="H1250" s="8"/>
      <c r="I1250" s="8" t="s">
        <v>4335</v>
      </c>
      <c r="J1250" s="8" t="s">
        <v>72</v>
      </c>
      <c r="K1250" s="8" t="s">
        <v>4154</v>
      </c>
      <c r="L1250" s="8" t="s">
        <v>4282</v>
      </c>
      <c r="M1250" s="8"/>
      <c r="N1250" s="8" t="s">
        <v>62</v>
      </c>
      <c r="O1250" s="8" t="s">
        <v>63</v>
      </c>
      <c r="P1250" s="4" t="n">
        <v>47</v>
      </c>
      <c r="Q1250" s="8"/>
      <c r="R1250" s="4" t="s">
        <v>4334</v>
      </c>
      <c r="S1250" s="4"/>
    </row>
    <row r="1251" customFormat="false" ht="26.85" hidden="false" customHeight="false" outlineLevel="0" collapsed="false">
      <c r="A1251" s="4" t="s">
        <v>4336</v>
      </c>
      <c r="B1251" s="8" t="s">
        <v>4337</v>
      </c>
      <c r="C1251" s="8" t="s">
        <v>58</v>
      </c>
      <c r="D1251" s="8" t="s">
        <v>67</v>
      </c>
      <c r="E1251" s="8" t="s">
        <v>60</v>
      </c>
      <c r="F1251" s="8"/>
      <c r="G1251" s="8"/>
      <c r="H1251" s="8"/>
      <c r="I1251" s="8" t="s">
        <v>4338</v>
      </c>
      <c r="J1251" s="8" t="s">
        <v>72</v>
      </c>
      <c r="K1251" s="8" t="s">
        <v>4154</v>
      </c>
      <c r="L1251" s="8" t="s">
        <v>4282</v>
      </c>
      <c r="M1251" s="8"/>
      <c r="N1251" s="8" t="s">
        <v>62</v>
      </c>
      <c r="O1251" s="8" t="s">
        <v>63</v>
      </c>
      <c r="P1251" s="4" t="n">
        <v>47</v>
      </c>
      <c r="Q1251" s="8"/>
      <c r="R1251" s="4" t="s">
        <v>4339</v>
      </c>
      <c r="S1251" s="4"/>
    </row>
    <row r="1252" customFormat="false" ht="26.85" hidden="false" customHeight="false" outlineLevel="0" collapsed="false">
      <c r="A1252" s="4" t="s">
        <v>4340</v>
      </c>
      <c r="B1252" s="8" t="s">
        <v>4341</v>
      </c>
      <c r="C1252" s="8" t="s">
        <v>58</v>
      </c>
      <c r="D1252" s="8"/>
      <c r="E1252" s="8" t="s">
        <v>60</v>
      </c>
      <c r="F1252" s="8"/>
      <c r="G1252" s="8"/>
      <c r="H1252" s="8"/>
      <c r="I1252" s="8" t="s">
        <v>4342</v>
      </c>
      <c r="J1252" s="8" t="s">
        <v>72</v>
      </c>
      <c r="K1252" s="8" t="s">
        <v>4154</v>
      </c>
      <c r="L1252" s="8" t="s">
        <v>4282</v>
      </c>
      <c r="M1252" s="8"/>
      <c r="N1252" s="8" t="s">
        <v>62</v>
      </c>
      <c r="O1252" s="8" t="s">
        <v>63</v>
      </c>
      <c r="P1252" s="4" t="n">
        <v>47</v>
      </c>
      <c r="Q1252" s="8"/>
      <c r="R1252" s="4" t="s">
        <v>4343</v>
      </c>
      <c r="S1252" s="4" t="n">
        <v>815</v>
      </c>
    </row>
    <row r="1253" customFormat="false" ht="26.85" hidden="false" customHeight="false" outlineLevel="0" collapsed="false">
      <c r="A1253" s="4" t="s">
        <v>4344</v>
      </c>
      <c r="B1253" s="8" t="s">
        <v>4345</v>
      </c>
      <c r="C1253" s="8" t="s">
        <v>58</v>
      </c>
      <c r="D1253" s="8"/>
      <c r="E1253" s="8" t="s">
        <v>60</v>
      </c>
      <c r="F1253" s="8"/>
      <c r="G1253" s="8"/>
      <c r="H1253" s="8"/>
      <c r="I1253" s="8" t="s">
        <v>4346</v>
      </c>
      <c r="J1253" s="8" t="s">
        <v>72</v>
      </c>
      <c r="K1253" s="8" t="s">
        <v>4154</v>
      </c>
      <c r="L1253" s="8" t="s">
        <v>4282</v>
      </c>
      <c r="M1253" s="8"/>
      <c r="N1253" s="8" t="s">
        <v>62</v>
      </c>
      <c r="O1253" s="8" t="s">
        <v>63</v>
      </c>
      <c r="P1253" s="4" t="n">
        <v>47</v>
      </c>
      <c r="Q1253" s="8"/>
      <c r="R1253" s="4" t="s">
        <v>4347</v>
      </c>
      <c r="S1253" s="4"/>
    </row>
    <row r="1254" customFormat="false" ht="26.85" hidden="false" customHeight="false" outlineLevel="0" collapsed="false">
      <c r="A1254" s="4" t="s">
        <v>4348</v>
      </c>
      <c r="B1254" s="8" t="s">
        <v>4349</v>
      </c>
      <c r="C1254" s="8" t="s">
        <v>58</v>
      </c>
      <c r="D1254" s="8"/>
      <c r="E1254" s="8" t="s">
        <v>60</v>
      </c>
      <c r="F1254" s="8"/>
      <c r="G1254" s="8"/>
      <c r="H1254" s="8"/>
      <c r="I1254" s="8" t="s">
        <v>4350</v>
      </c>
      <c r="J1254" s="8" t="s">
        <v>72</v>
      </c>
      <c r="K1254" s="8" t="s">
        <v>4154</v>
      </c>
      <c r="L1254" s="8" t="s">
        <v>4282</v>
      </c>
      <c r="M1254" s="8"/>
      <c r="N1254" s="8" t="s">
        <v>62</v>
      </c>
      <c r="O1254" s="8" t="s">
        <v>63</v>
      </c>
      <c r="P1254" s="4" t="n">
        <v>47</v>
      </c>
      <c r="Q1254" s="8"/>
      <c r="R1254" s="4" t="s">
        <v>4351</v>
      </c>
      <c r="S1254" s="4"/>
    </row>
    <row r="1255" customFormat="false" ht="26.85" hidden="false" customHeight="false" outlineLevel="0" collapsed="false">
      <c r="A1255" s="4" t="s">
        <v>4352</v>
      </c>
      <c r="B1255" s="8" t="s">
        <v>4353</v>
      </c>
      <c r="C1255" s="8" t="s">
        <v>58</v>
      </c>
      <c r="D1255" s="8"/>
      <c r="E1255" s="8" t="s">
        <v>60</v>
      </c>
      <c r="F1255" s="8"/>
      <c r="G1255" s="8"/>
      <c r="H1255" s="8"/>
      <c r="I1255" s="8" t="s">
        <v>4354</v>
      </c>
      <c r="J1255" s="8" t="s">
        <v>72</v>
      </c>
      <c r="K1255" s="8" t="s">
        <v>4154</v>
      </c>
      <c r="L1255" s="8" t="s">
        <v>4282</v>
      </c>
      <c r="M1255" s="8"/>
      <c r="N1255" s="8" t="s">
        <v>62</v>
      </c>
      <c r="O1255" s="8" t="s">
        <v>63</v>
      </c>
      <c r="P1255" s="4" t="n">
        <v>47</v>
      </c>
      <c r="Q1255" s="8"/>
      <c r="R1255" s="4" t="s">
        <v>4355</v>
      </c>
      <c r="S1255" s="4"/>
    </row>
    <row r="1256" customFormat="false" ht="26.85" hidden="false" customHeight="false" outlineLevel="0" collapsed="false">
      <c r="A1256" s="4" t="s">
        <v>4356</v>
      </c>
      <c r="B1256" s="8" t="s">
        <v>1316</v>
      </c>
      <c r="C1256" s="8" t="s">
        <v>58</v>
      </c>
      <c r="D1256" s="8"/>
      <c r="E1256" s="8" t="s">
        <v>60</v>
      </c>
      <c r="F1256" s="8"/>
      <c r="G1256" s="8"/>
      <c r="H1256" s="8"/>
      <c r="I1256" s="8" t="s">
        <v>1317</v>
      </c>
      <c r="J1256" s="8" t="s">
        <v>72</v>
      </c>
      <c r="K1256" s="8" t="s">
        <v>4154</v>
      </c>
      <c r="L1256" s="8" t="s">
        <v>4282</v>
      </c>
      <c r="M1256" s="8"/>
      <c r="N1256" s="8" t="s">
        <v>62</v>
      </c>
      <c r="O1256" s="8" t="s">
        <v>63</v>
      </c>
      <c r="P1256" s="4" t="n">
        <v>47</v>
      </c>
      <c r="Q1256" s="8"/>
      <c r="R1256" s="4" t="s">
        <v>1318</v>
      </c>
      <c r="S1256" s="4"/>
    </row>
    <row r="1257" customFormat="false" ht="26.85" hidden="false" customHeight="false" outlineLevel="0" collapsed="false">
      <c r="A1257" s="4" t="s">
        <v>4357</v>
      </c>
      <c r="B1257" s="8" t="s">
        <v>1328</v>
      </c>
      <c r="C1257" s="8" t="s">
        <v>58</v>
      </c>
      <c r="D1257" s="8"/>
      <c r="E1257" s="8" t="s">
        <v>60</v>
      </c>
      <c r="F1257" s="8"/>
      <c r="G1257" s="8"/>
      <c r="H1257" s="8"/>
      <c r="I1257" s="8" t="s">
        <v>1329</v>
      </c>
      <c r="J1257" s="8" t="s">
        <v>72</v>
      </c>
      <c r="K1257" s="8" t="s">
        <v>4154</v>
      </c>
      <c r="L1257" s="8" t="s">
        <v>4282</v>
      </c>
      <c r="M1257" s="8"/>
      <c r="N1257" s="8" t="s">
        <v>62</v>
      </c>
      <c r="O1257" s="8" t="s">
        <v>63</v>
      </c>
      <c r="P1257" s="4" t="n">
        <v>47</v>
      </c>
      <c r="Q1257" s="8"/>
      <c r="R1257" s="4" t="s">
        <v>1330</v>
      </c>
      <c r="S1257" s="4" t="n">
        <v>6302</v>
      </c>
    </row>
    <row r="1258" customFormat="false" ht="26.85" hidden="false" customHeight="false" outlineLevel="0" collapsed="false">
      <c r="A1258" s="4" t="s">
        <v>4358</v>
      </c>
      <c r="B1258" s="8" t="s">
        <v>4359</v>
      </c>
      <c r="C1258" s="8"/>
      <c r="D1258" s="8"/>
      <c r="E1258" s="8"/>
      <c r="F1258" s="8"/>
      <c r="G1258" s="8"/>
      <c r="H1258" s="8"/>
      <c r="I1258" s="8" t="s">
        <v>4360</v>
      </c>
      <c r="J1258" s="8" t="s">
        <v>72</v>
      </c>
      <c r="K1258" s="8" t="s">
        <v>4154</v>
      </c>
      <c r="L1258" s="8" t="s">
        <v>4282</v>
      </c>
      <c r="M1258" s="8"/>
      <c r="N1258" s="8" t="s">
        <v>62</v>
      </c>
      <c r="O1258" s="8" t="s">
        <v>63</v>
      </c>
      <c r="P1258" s="4" t="n">
        <v>47</v>
      </c>
      <c r="Q1258" s="8"/>
      <c r="R1258" s="4" t="s">
        <v>4359</v>
      </c>
      <c r="S1258" s="4"/>
    </row>
    <row r="1259" customFormat="false" ht="26.85" hidden="false" customHeight="false" outlineLevel="0" collapsed="false">
      <c r="A1259" s="4" t="s">
        <v>4361</v>
      </c>
      <c r="B1259" s="8" t="s">
        <v>4362</v>
      </c>
      <c r="C1259" s="8" t="s">
        <v>58</v>
      </c>
      <c r="D1259" s="8" t="s">
        <v>67</v>
      </c>
      <c r="E1259" s="8" t="s">
        <v>60</v>
      </c>
      <c r="F1259" s="8"/>
      <c r="G1259" s="8"/>
      <c r="H1259" s="8"/>
      <c r="I1259" s="8" t="s">
        <v>4363</v>
      </c>
      <c r="J1259" s="8" t="s">
        <v>72</v>
      </c>
      <c r="K1259" s="8" t="s">
        <v>4154</v>
      </c>
      <c r="L1259" s="8" t="s">
        <v>4282</v>
      </c>
      <c r="M1259" s="8"/>
      <c r="N1259" s="8" t="s">
        <v>62</v>
      </c>
      <c r="O1259" s="8" t="s">
        <v>63</v>
      </c>
      <c r="P1259" s="4" t="n">
        <v>47</v>
      </c>
      <c r="Q1259" s="8"/>
      <c r="R1259" s="4" t="s">
        <v>4364</v>
      </c>
      <c r="S1259" s="4"/>
    </row>
    <row r="1260" customFormat="false" ht="26.85" hidden="false" customHeight="false" outlineLevel="0" collapsed="false">
      <c r="A1260" s="4" t="s">
        <v>4365</v>
      </c>
      <c r="B1260" s="8" t="s">
        <v>4366</v>
      </c>
      <c r="C1260" s="8" t="s">
        <v>58</v>
      </c>
      <c r="D1260" s="8"/>
      <c r="E1260" s="8" t="s">
        <v>60</v>
      </c>
      <c r="F1260" s="8"/>
      <c r="G1260" s="8"/>
      <c r="H1260" s="8"/>
      <c r="I1260" s="8" t="s">
        <v>4367</v>
      </c>
      <c r="J1260" s="8" t="s">
        <v>72</v>
      </c>
      <c r="K1260" s="8" t="s">
        <v>4154</v>
      </c>
      <c r="L1260" s="8" t="s">
        <v>4282</v>
      </c>
      <c r="M1260" s="8"/>
      <c r="N1260" s="8" t="s">
        <v>62</v>
      </c>
      <c r="O1260" s="8" t="s">
        <v>63</v>
      </c>
      <c r="P1260" s="4" t="n">
        <v>47</v>
      </c>
      <c r="Q1260" s="8"/>
      <c r="R1260" s="4" t="s">
        <v>4368</v>
      </c>
      <c r="S1260" s="4"/>
    </row>
    <row r="1261" customFormat="false" ht="26.85" hidden="false" customHeight="false" outlineLevel="0" collapsed="false">
      <c r="A1261" s="4" t="s">
        <v>4369</v>
      </c>
      <c r="B1261" s="8" t="s">
        <v>4370</v>
      </c>
      <c r="C1261" s="8" t="s">
        <v>58</v>
      </c>
      <c r="D1261" s="8"/>
      <c r="E1261" s="8" t="s">
        <v>60</v>
      </c>
      <c r="F1261" s="8"/>
      <c r="G1261" s="8"/>
      <c r="H1261" s="8"/>
      <c r="I1261" s="8" t="s">
        <v>4371</v>
      </c>
      <c r="J1261" s="8" t="s">
        <v>72</v>
      </c>
      <c r="K1261" s="8" t="s">
        <v>4154</v>
      </c>
      <c r="L1261" s="8" t="s">
        <v>4282</v>
      </c>
      <c r="M1261" s="8"/>
      <c r="N1261" s="8" t="s">
        <v>62</v>
      </c>
      <c r="O1261" s="8" t="s">
        <v>63</v>
      </c>
      <c r="P1261" s="4" t="n">
        <v>47</v>
      </c>
      <c r="Q1261" s="8"/>
      <c r="R1261" s="4" t="s">
        <v>4372</v>
      </c>
      <c r="S1261" s="4"/>
    </row>
    <row r="1262" customFormat="false" ht="26.85" hidden="false" customHeight="false" outlineLevel="0" collapsed="false">
      <c r="A1262" s="4" t="s">
        <v>4373</v>
      </c>
      <c r="B1262" s="8" t="s">
        <v>4374</v>
      </c>
      <c r="C1262" s="8" t="s">
        <v>58</v>
      </c>
      <c r="D1262" s="8"/>
      <c r="E1262" s="8" t="s">
        <v>60</v>
      </c>
      <c r="F1262" s="8"/>
      <c r="G1262" s="8"/>
      <c r="H1262" s="8"/>
      <c r="I1262" s="8" t="s">
        <v>4375</v>
      </c>
      <c r="J1262" s="8" t="s">
        <v>72</v>
      </c>
      <c r="K1262" s="8" t="s">
        <v>4154</v>
      </c>
      <c r="L1262" s="8" t="s">
        <v>4282</v>
      </c>
      <c r="M1262" s="8"/>
      <c r="N1262" s="8" t="s">
        <v>62</v>
      </c>
      <c r="O1262" s="8" t="s">
        <v>63</v>
      </c>
      <c r="P1262" s="4" t="n">
        <v>47</v>
      </c>
      <c r="Q1262" s="8"/>
      <c r="R1262" s="4" t="s">
        <v>4376</v>
      </c>
      <c r="S1262" s="4"/>
    </row>
    <row r="1263" customFormat="false" ht="26.85" hidden="false" customHeight="false" outlineLevel="0" collapsed="false">
      <c r="A1263" s="4" t="s">
        <v>4377</v>
      </c>
      <c r="B1263" s="8" t="s">
        <v>4378</v>
      </c>
      <c r="C1263" s="8" t="s">
        <v>58</v>
      </c>
      <c r="D1263" s="8"/>
      <c r="E1263" s="8" t="s">
        <v>60</v>
      </c>
      <c r="F1263" s="8"/>
      <c r="G1263" s="8"/>
      <c r="H1263" s="8"/>
      <c r="I1263" s="8" t="s">
        <v>4379</v>
      </c>
      <c r="J1263" s="8" t="s">
        <v>72</v>
      </c>
      <c r="K1263" s="8" t="s">
        <v>4154</v>
      </c>
      <c r="L1263" s="8" t="s">
        <v>4282</v>
      </c>
      <c r="M1263" s="8"/>
      <c r="N1263" s="8" t="s">
        <v>62</v>
      </c>
      <c r="O1263" s="8" t="s">
        <v>63</v>
      </c>
      <c r="P1263" s="4" t="n">
        <v>47</v>
      </c>
      <c r="Q1263" s="8"/>
      <c r="R1263" s="4" t="s">
        <v>4380</v>
      </c>
      <c r="S1263" s="4"/>
    </row>
    <row r="1264" customFormat="false" ht="26.85" hidden="false" customHeight="false" outlineLevel="0" collapsed="false">
      <c r="A1264" s="4" t="s">
        <v>4381</v>
      </c>
      <c r="B1264" s="8" t="s">
        <v>4382</v>
      </c>
      <c r="C1264" s="8" t="s">
        <v>58</v>
      </c>
      <c r="D1264" s="8"/>
      <c r="E1264" s="8" t="s">
        <v>60</v>
      </c>
      <c r="F1264" s="8"/>
      <c r="G1264" s="8"/>
      <c r="H1264" s="8"/>
      <c r="I1264" s="8" t="s">
        <v>2556</v>
      </c>
      <c r="J1264" s="8" t="s">
        <v>72</v>
      </c>
      <c r="K1264" s="8" t="s">
        <v>4154</v>
      </c>
      <c r="L1264" s="8" t="s">
        <v>4282</v>
      </c>
      <c r="M1264" s="8"/>
      <c r="N1264" s="8" t="s">
        <v>62</v>
      </c>
      <c r="O1264" s="8" t="s">
        <v>63</v>
      </c>
      <c r="P1264" s="4" t="n">
        <v>47</v>
      </c>
      <c r="Q1264" s="8"/>
      <c r="R1264" s="4" t="s">
        <v>4383</v>
      </c>
      <c r="S1264" s="4"/>
    </row>
    <row r="1265" customFormat="false" ht="26.85" hidden="false" customHeight="false" outlineLevel="0" collapsed="false">
      <c r="A1265" s="4" t="s">
        <v>4384</v>
      </c>
      <c r="B1265" s="8" t="s">
        <v>4385</v>
      </c>
      <c r="C1265" s="8" t="s">
        <v>58</v>
      </c>
      <c r="D1265" s="8"/>
      <c r="E1265" s="8" t="s">
        <v>60</v>
      </c>
      <c r="F1265" s="8"/>
      <c r="G1265" s="8"/>
      <c r="H1265" s="8"/>
      <c r="I1265" s="8" t="s">
        <v>4386</v>
      </c>
      <c r="J1265" s="8" t="s">
        <v>72</v>
      </c>
      <c r="K1265" s="8" t="s">
        <v>4154</v>
      </c>
      <c r="L1265" s="8" t="s">
        <v>4282</v>
      </c>
      <c r="M1265" s="8"/>
      <c r="N1265" s="8" t="s">
        <v>62</v>
      </c>
      <c r="O1265" s="8" t="s">
        <v>63</v>
      </c>
      <c r="P1265" s="4" t="n">
        <v>47</v>
      </c>
      <c r="Q1265" s="8"/>
      <c r="R1265" s="4" t="s">
        <v>4387</v>
      </c>
      <c r="S1265" s="4" t="n">
        <v>3669</v>
      </c>
    </row>
    <row r="1266" customFormat="false" ht="26.85" hidden="false" customHeight="false" outlineLevel="0" collapsed="false">
      <c r="A1266" s="4" t="s">
        <v>4388</v>
      </c>
      <c r="B1266" s="8" t="s">
        <v>4389</v>
      </c>
      <c r="C1266" s="8" t="s">
        <v>58</v>
      </c>
      <c r="D1266" s="8"/>
      <c r="E1266" s="8" t="s">
        <v>60</v>
      </c>
      <c r="F1266" s="8"/>
      <c r="G1266" s="8"/>
      <c r="H1266" s="8"/>
      <c r="I1266" s="8" t="s">
        <v>4390</v>
      </c>
      <c r="J1266" s="8" t="s">
        <v>72</v>
      </c>
      <c r="K1266" s="8" t="s">
        <v>4154</v>
      </c>
      <c r="L1266" s="8" t="s">
        <v>4282</v>
      </c>
      <c r="M1266" s="8"/>
      <c r="N1266" s="8" t="s">
        <v>62</v>
      </c>
      <c r="O1266" s="8" t="s">
        <v>63</v>
      </c>
      <c r="P1266" s="4" t="n">
        <v>47</v>
      </c>
      <c r="Q1266" s="8"/>
      <c r="R1266" s="4" t="s">
        <v>4391</v>
      </c>
      <c r="S1266" s="4"/>
    </row>
    <row r="1267" customFormat="false" ht="26.85" hidden="false" customHeight="false" outlineLevel="0" collapsed="false">
      <c r="A1267" s="4" t="s">
        <v>4392</v>
      </c>
      <c r="B1267" s="8" t="s">
        <v>4393</v>
      </c>
      <c r="C1267" s="8"/>
      <c r="D1267" s="8"/>
      <c r="E1267" s="8"/>
      <c r="F1267" s="8"/>
      <c r="G1267" s="8"/>
      <c r="H1267" s="8"/>
      <c r="I1267" s="8" t="s">
        <v>4394</v>
      </c>
      <c r="J1267" s="8" t="s">
        <v>72</v>
      </c>
      <c r="K1267" s="8" t="s">
        <v>4154</v>
      </c>
      <c r="L1267" s="8" t="s">
        <v>4282</v>
      </c>
      <c r="M1267" s="8"/>
      <c r="N1267" s="8" t="s">
        <v>62</v>
      </c>
      <c r="O1267" s="8" t="s">
        <v>63</v>
      </c>
      <c r="P1267" s="4" t="n">
        <v>47</v>
      </c>
      <c r="Q1267" s="8"/>
      <c r="R1267" s="4" t="s">
        <v>4393</v>
      </c>
      <c r="S1267" s="4"/>
    </row>
    <row r="1268" customFormat="false" ht="26.85" hidden="false" customHeight="false" outlineLevel="0" collapsed="false">
      <c r="A1268" s="4" t="s">
        <v>4395</v>
      </c>
      <c r="B1268" s="8" t="s">
        <v>4396</v>
      </c>
      <c r="C1268" s="8" t="s">
        <v>58</v>
      </c>
      <c r="D1268" s="8"/>
      <c r="E1268" s="8" t="s">
        <v>60</v>
      </c>
      <c r="F1268" s="8"/>
      <c r="G1268" s="8"/>
      <c r="H1268" s="8"/>
      <c r="I1268" s="8" t="s">
        <v>4397</v>
      </c>
      <c r="J1268" s="8" t="s">
        <v>72</v>
      </c>
      <c r="K1268" s="8" t="s">
        <v>4154</v>
      </c>
      <c r="L1268" s="8" t="s">
        <v>4282</v>
      </c>
      <c r="M1268" s="8"/>
      <c r="N1268" s="8" t="s">
        <v>62</v>
      </c>
      <c r="O1268" s="8" t="s">
        <v>63</v>
      </c>
      <c r="P1268" s="4" t="n">
        <v>47</v>
      </c>
      <c r="Q1268" s="8"/>
      <c r="R1268" s="4" t="s">
        <v>4398</v>
      </c>
      <c r="S1268" s="4"/>
    </row>
    <row r="1269" customFormat="false" ht="26.85" hidden="false" customHeight="false" outlineLevel="0" collapsed="false">
      <c r="A1269" s="4" t="s">
        <v>4399</v>
      </c>
      <c r="B1269" s="8" t="s">
        <v>4400</v>
      </c>
      <c r="C1269" s="8" t="s">
        <v>58</v>
      </c>
      <c r="D1269" s="8"/>
      <c r="E1269" s="8" t="s">
        <v>60</v>
      </c>
      <c r="F1269" s="8"/>
      <c r="G1269" s="8"/>
      <c r="H1269" s="8"/>
      <c r="I1269" s="8" t="s">
        <v>4401</v>
      </c>
      <c r="J1269" s="8" t="s">
        <v>72</v>
      </c>
      <c r="K1269" s="8" t="s">
        <v>4154</v>
      </c>
      <c r="L1269" s="8" t="s">
        <v>4282</v>
      </c>
      <c r="M1269" s="8"/>
      <c r="N1269" s="8" t="s">
        <v>62</v>
      </c>
      <c r="O1269" s="8" t="s">
        <v>63</v>
      </c>
      <c r="P1269" s="4" t="n">
        <v>47</v>
      </c>
      <c r="Q1269" s="8"/>
      <c r="R1269" s="4" t="s">
        <v>4402</v>
      </c>
      <c r="S1269" s="4" t="n">
        <v>13587</v>
      </c>
    </row>
    <row r="1270" customFormat="false" ht="26.85" hidden="false" customHeight="false" outlineLevel="0" collapsed="false">
      <c r="A1270" s="4" t="s">
        <v>4403</v>
      </c>
      <c r="B1270" s="8" t="s">
        <v>4404</v>
      </c>
      <c r="C1270" s="8" t="s">
        <v>58</v>
      </c>
      <c r="D1270" s="8"/>
      <c r="E1270" s="8" t="s">
        <v>60</v>
      </c>
      <c r="F1270" s="8"/>
      <c r="G1270" s="8"/>
      <c r="H1270" s="8"/>
      <c r="I1270" s="8" t="s">
        <v>4405</v>
      </c>
      <c r="J1270" s="8" t="s">
        <v>72</v>
      </c>
      <c r="K1270" s="8" t="s">
        <v>4154</v>
      </c>
      <c r="L1270" s="8" t="s">
        <v>4282</v>
      </c>
      <c r="M1270" s="8"/>
      <c r="N1270" s="8" t="s">
        <v>62</v>
      </c>
      <c r="O1270" s="8" t="s">
        <v>63</v>
      </c>
      <c r="P1270" s="4" t="n">
        <v>47</v>
      </c>
      <c r="Q1270" s="8"/>
      <c r="R1270" s="4" t="s">
        <v>4406</v>
      </c>
      <c r="S1270" s="4"/>
    </row>
    <row r="1271" customFormat="false" ht="26.85" hidden="false" customHeight="false" outlineLevel="0" collapsed="false">
      <c r="A1271" s="4" t="s">
        <v>4407</v>
      </c>
      <c r="B1271" s="8" t="s">
        <v>2563</v>
      </c>
      <c r="C1271" s="8" t="s">
        <v>58</v>
      </c>
      <c r="D1271" s="8" t="s">
        <v>67</v>
      </c>
      <c r="E1271" s="8" t="s">
        <v>60</v>
      </c>
      <c r="F1271" s="8"/>
      <c r="G1271" s="8"/>
      <c r="H1271" s="8"/>
      <c r="I1271" s="8" t="s">
        <v>2564</v>
      </c>
      <c r="J1271" s="8" t="s">
        <v>72</v>
      </c>
      <c r="K1271" s="8" t="s">
        <v>4154</v>
      </c>
      <c r="L1271" s="8" t="s">
        <v>4282</v>
      </c>
      <c r="M1271" s="8"/>
      <c r="N1271" s="8" t="s">
        <v>62</v>
      </c>
      <c r="O1271" s="8" t="s">
        <v>63</v>
      </c>
      <c r="P1271" s="4" t="n">
        <v>47</v>
      </c>
      <c r="Q1271" s="8"/>
      <c r="R1271" s="4" t="s">
        <v>2565</v>
      </c>
      <c r="S1271" s="4"/>
    </row>
    <row r="1272" customFormat="false" ht="26.85" hidden="false" customHeight="false" outlineLevel="0" collapsed="false">
      <c r="A1272" s="4" t="s">
        <v>4408</v>
      </c>
      <c r="B1272" s="8" t="s">
        <v>4409</v>
      </c>
      <c r="C1272" s="8" t="s">
        <v>58</v>
      </c>
      <c r="D1272" s="8"/>
      <c r="E1272" s="8" t="s">
        <v>60</v>
      </c>
      <c r="F1272" s="8"/>
      <c r="G1272" s="8"/>
      <c r="H1272" s="8"/>
      <c r="I1272" s="8" t="s">
        <v>4410</v>
      </c>
      <c r="J1272" s="8" t="s">
        <v>72</v>
      </c>
      <c r="K1272" s="8" t="s">
        <v>4154</v>
      </c>
      <c r="L1272" s="8" t="s">
        <v>4282</v>
      </c>
      <c r="M1272" s="8"/>
      <c r="N1272" s="8" t="s">
        <v>62</v>
      </c>
      <c r="O1272" s="8" t="s">
        <v>63</v>
      </c>
      <c r="P1272" s="4" t="n">
        <v>47</v>
      </c>
      <c r="Q1272" s="8"/>
      <c r="R1272" s="4" t="s">
        <v>4411</v>
      </c>
      <c r="S1272" s="4"/>
    </row>
    <row r="1273" customFormat="false" ht="26.85" hidden="false" customHeight="false" outlineLevel="0" collapsed="false">
      <c r="A1273" s="4" t="s">
        <v>4412</v>
      </c>
      <c r="B1273" s="8" t="s">
        <v>4413</v>
      </c>
      <c r="C1273" s="8"/>
      <c r="D1273" s="8"/>
      <c r="E1273" s="8"/>
      <c r="F1273" s="8"/>
      <c r="G1273" s="8"/>
      <c r="H1273" s="8"/>
      <c r="I1273" s="8" t="s">
        <v>4414</v>
      </c>
      <c r="J1273" s="8" t="s">
        <v>72</v>
      </c>
      <c r="K1273" s="8" t="s">
        <v>4154</v>
      </c>
      <c r="L1273" s="8" t="s">
        <v>4282</v>
      </c>
      <c r="M1273" s="8"/>
      <c r="N1273" s="8" t="s">
        <v>62</v>
      </c>
      <c r="O1273" s="8" t="s">
        <v>63</v>
      </c>
      <c r="P1273" s="4" t="n">
        <v>47</v>
      </c>
      <c r="Q1273" s="8"/>
      <c r="R1273" s="4" t="s">
        <v>4413</v>
      </c>
      <c r="S1273" s="4"/>
    </row>
    <row r="1274" customFormat="false" ht="26.85" hidden="false" customHeight="false" outlineLevel="0" collapsed="false">
      <c r="A1274" s="4" t="s">
        <v>4415</v>
      </c>
      <c r="B1274" s="8" t="s">
        <v>4416</v>
      </c>
      <c r="C1274" s="8" t="s">
        <v>58</v>
      </c>
      <c r="D1274" s="8"/>
      <c r="E1274" s="8" t="s">
        <v>60</v>
      </c>
      <c r="F1274" s="8"/>
      <c r="G1274" s="8"/>
      <c r="H1274" s="8"/>
      <c r="I1274" s="8" t="s">
        <v>4417</v>
      </c>
      <c r="J1274" s="8" t="s">
        <v>72</v>
      </c>
      <c r="K1274" s="8" t="s">
        <v>4154</v>
      </c>
      <c r="L1274" s="8" t="s">
        <v>4282</v>
      </c>
      <c r="M1274" s="8"/>
      <c r="N1274" s="8" t="s">
        <v>62</v>
      </c>
      <c r="O1274" s="8" t="s">
        <v>63</v>
      </c>
      <c r="P1274" s="4" t="n">
        <v>47</v>
      </c>
      <c r="Q1274" s="8"/>
      <c r="R1274" s="4" t="s">
        <v>4418</v>
      </c>
      <c r="S1274" s="4"/>
    </row>
    <row r="1275" customFormat="false" ht="26.85" hidden="false" customHeight="false" outlineLevel="0" collapsed="false">
      <c r="A1275" s="4" t="s">
        <v>4419</v>
      </c>
      <c r="B1275" s="8" t="s">
        <v>4420</v>
      </c>
      <c r="C1275" s="8" t="s">
        <v>58</v>
      </c>
      <c r="D1275" s="8"/>
      <c r="E1275" s="8" t="s">
        <v>60</v>
      </c>
      <c r="F1275" s="8"/>
      <c r="G1275" s="8"/>
      <c r="H1275" s="8"/>
      <c r="I1275" s="8" t="s">
        <v>4421</v>
      </c>
      <c r="J1275" s="8" t="s">
        <v>72</v>
      </c>
      <c r="K1275" s="8" t="s">
        <v>4154</v>
      </c>
      <c r="L1275" s="8" t="s">
        <v>4282</v>
      </c>
      <c r="M1275" s="8"/>
      <c r="N1275" s="8" t="s">
        <v>62</v>
      </c>
      <c r="O1275" s="8" t="s">
        <v>63</v>
      </c>
      <c r="P1275" s="4" t="n">
        <v>47</v>
      </c>
      <c r="Q1275" s="8"/>
      <c r="R1275" s="4" t="s">
        <v>4422</v>
      </c>
      <c r="S1275" s="4"/>
    </row>
    <row r="1276" customFormat="false" ht="26.85" hidden="false" customHeight="false" outlineLevel="0" collapsed="false">
      <c r="A1276" s="4" t="s">
        <v>4423</v>
      </c>
      <c r="B1276" s="8" t="s">
        <v>4424</v>
      </c>
      <c r="C1276" s="8" t="s">
        <v>58</v>
      </c>
      <c r="D1276" s="8"/>
      <c r="E1276" s="8" t="s">
        <v>60</v>
      </c>
      <c r="F1276" s="8"/>
      <c r="G1276" s="8"/>
      <c r="H1276" s="8"/>
      <c r="I1276" s="8" t="s">
        <v>4425</v>
      </c>
      <c r="J1276" s="8" t="s">
        <v>72</v>
      </c>
      <c r="K1276" s="8" t="s">
        <v>4154</v>
      </c>
      <c r="L1276" s="8" t="s">
        <v>4282</v>
      </c>
      <c r="M1276" s="8"/>
      <c r="N1276" s="8" t="s">
        <v>62</v>
      </c>
      <c r="O1276" s="8" t="s">
        <v>63</v>
      </c>
      <c r="P1276" s="4" t="n">
        <v>47</v>
      </c>
      <c r="Q1276" s="8"/>
      <c r="R1276" s="4" t="s">
        <v>4426</v>
      </c>
      <c r="S1276" s="4"/>
    </row>
    <row r="1277" customFormat="false" ht="26.85" hidden="false" customHeight="false" outlineLevel="0" collapsed="false">
      <c r="A1277" s="4" t="s">
        <v>4427</v>
      </c>
      <c r="B1277" s="8" t="s">
        <v>4428</v>
      </c>
      <c r="C1277" s="8" t="s">
        <v>58</v>
      </c>
      <c r="D1277" s="8"/>
      <c r="E1277" s="8" t="s">
        <v>60</v>
      </c>
      <c r="F1277" s="8"/>
      <c r="G1277" s="8"/>
      <c r="H1277" s="8"/>
      <c r="I1277" s="8" t="s">
        <v>4429</v>
      </c>
      <c r="J1277" s="8" t="s">
        <v>72</v>
      </c>
      <c r="K1277" s="8" t="s">
        <v>4154</v>
      </c>
      <c r="L1277" s="8" t="s">
        <v>4282</v>
      </c>
      <c r="M1277" s="8"/>
      <c r="N1277" s="8" t="s">
        <v>62</v>
      </c>
      <c r="O1277" s="8" t="s">
        <v>63</v>
      </c>
      <c r="P1277" s="4" t="n">
        <v>47</v>
      </c>
      <c r="Q1277" s="8"/>
      <c r="R1277" s="4" t="s">
        <v>4430</v>
      </c>
      <c r="S1277" s="4"/>
    </row>
    <row r="1278" customFormat="false" ht="26.85" hidden="false" customHeight="false" outlineLevel="0" collapsed="false">
      <c r="A1278" s="4" t="s">
        <v>4431</v>
      </c>
      <c r="B1278" s="8" t="s">
        <v>4432</v>
      </c>
      <c r="C1278" s="8" t="s">
        <v>58</v>
      </c>
      <c r="D1278" s="8"/>
      <c r="E1278" s="8" t="s">
        <v>60</v>
      </c>
      <c r="F1278" s="8"/>
      <c r="G1278" s="8"/>
      <c r="H1278" s="8"/>
      <c r="I1278" s="8" t="s">
        <v>4433</v>
      </c>
      <c r="J1278" s="8" t="s">
        <v>72</v>
      </c>
      <c r="K1278" s="8" t="s">
        <v>4154</v>
      </c>
      <c r="L1278" s="8" t="s">
        <v>4282</v>
      </c>
      <c r="M1278" s="8"/>
      <c r="N1278" s="8" t="s">
        <v>62</v>
      </c>
      <c r="O1278" s="8" t="s">
        <v>63</v>
      </c>
      <c r="P1278" s="4" t="n">
        <v>47</v>
      </c>
      <c r="Q1278" s="8"/>
      <c r="R1278" s="4" t="s">
        <v>4434</v>
      </c>
      <c r="S1278" s="4"/>
    </row>
    <row r="1279" customFormat="false" ht="26.85" hidden="false" customHeight="false" outlineLevel="0" collapsed="false">
      <c r="A1279" s="4" t="s">
        <v>4435</v>
      </c>
      <c r="B1279" s="8" t="s">
        <v>4436</v>
      </c>
      <c r="C1279" s="8" t="s">
        <v>58</v>
      </c>
      <c r="D1279" s="8"/>
      <c r="E1279" s="8" t="s">
        <v>60</v>
      </c>
      <c r="F1279" s="8"/>
      <c r="G1279" s="8"/>
      <c r="H1279" s="8"/>
      <c r="I1279" s="8" t="s">
        <v>4437</v>
      </c>
      <c r="J1279" s="8" t="s">
        <v>72</v>
      </c>
      <c r="K1279" s="8" t="s">
        <v>4154</v>
      </c>
      <c r="L1279" s="8" t="s">
        <v>4282</v>
      </c>
      <c r="M1279" s="8"/>
      <c r="N1279" s="8" t="s">
        <v>62</v>
      </c>
      <c r="O1279" s="8" t="s">
        <v>63</v>
      </c>
      <c r="P1279" s="4" t="n">
        <v>48</v>
      </c>
      <c r="Q1279" s="8"/>
      <c r="R1279" s="4" t="s">
        <v>4438</v>
      </c>
      <c r="S1279" s="4"/>
    </row>
    <row r="1280" customFormat="false" ht="26.85" hidden="false" customHeight="false" outlineLevel="0" collapsed="false">
      <c r="A1280" s="4" t="s">
        <v>4439</v>
      </c>
      <c r="B1280" s="8" t="s">
        <v>4440</v>
      </c>
      <c r="C1280" s="8"/>
      <c r="D1280" s="8"/>
      <c r="E1280" s="8"/>
      <c r="F1280" s="8"/>
      <c r="G1280" s="8"/>
      <c r="H1280" s="8"/>
      <c r="I1280" s="8" t="s">
        <v>4441</v>
      </c>
      <c r="J1280" s="8" t="s">
        <v>72</v>
      </c>
      <c r="K1280" s="8" t="s">
        <v>4154</v>
      </c>
      <c r="L1280" s="8" t="s">
        <v>4282</v>
      </c>
      <c r="M1280" s="8"/>
      <c r="N1280" s="8" t="s">
        <v>62</v>
      </c>
      <c r="O1280" s="8" t="s">
        <v>63</v>
      </c>
      <c r="P1280" s="4" t="n">
        <v>48</v>
      </c>
      <c r="Q1280" s="8"/>
      <c r="R1280" s="4" t="s">
        <v>4440</v>
      </c>
      <c r="S1280" s="4"/>
    </row>
    <row r="1281" customFormat="false" ht="26.85" hidden="false" customHeight="false" outlineLevel="0" collapsed="false">
      <c r="A1281" s="4" t="s">
        <v>4442</v>
      </c>
      <c r="B1281" s="8" t="s">
        <v>4443</v>
      </c>
      <c r="C1281" s="8"/>
      <c r="D1281" s="8"/>
      <c r="E1281" s="8"/>
      <c r="F1281" s="8"/>
      <c r="G1281" s="8"/>
      <c r="H1281" s="8"/>
      <c r="I1281" s="8" t="s">
        <v>4444</v>
      </c>
      <c r="J1281" s="8" t="s">
        <v>72</v>
      </c>
      <c r="K1281" s="8" t="s">
        <v>4154</v>
      </c>
      <c r="L1281" s="8" t="s">
        <v>4282</v>
      </c>
      <c r="M1281" s="8"/>
      <c r="N1281" s="8" t="s">
        <v>62</v>
      </c>
      <c r="O1281" s="8" t="s">
        <v>63</v>
      </c>
      <c r="P1281" s="4" t="n">
        <v>48</v>
      </c>
      <c r="Q1281" s="8"/>
      <c r="R1281" s="4" t="s">
        <v>4443</v>
      </c>
      <c r="S1281" s="4"/>
    </row>
    <row r="1282" customFormat="false" ht="26.85" hidden="false" customHeight="false" outlineLevel="0" collapsed="false">
      <c r="A1282" s="4" t="s">
        <v>4445</v>
      </c>
      <c r="B1282" s="8" t="s">
        <v>4446</v>
      </c>
      <c r="C1282" s="8"/>
      <c r="D1282" s="8"/>
      <c r="E1282" s="8"/>
      <c r="F1282" s="8"/>
      <c r="G1282" s="8"/>
      <c r="H1282" s="8"/>
      <c r="I1282" s="8" t="s">
        <v>4447</v>
      </c>
      <c r="J1282" s="8" t="s">
        <v>72</v>
      </c>
      <c r="K1282" s="8" t="s">
        <v>4154</v>
      </c>
      <c r="L1282" s="8" t="s">
        <v>4282</v>
      </c>
      <c r="M1282" s="8"/>
      <c r="N1282" s="8" t="s">
        <v>62</v>
      </c>
      <c r="O1282" s="8" t="s">
        <v>63</v>
      </c>
      <c r="P1282" s="4" t="n">
        <v>48</v>
      </c>
      <c r="Q1282" s="8"/>
      <c r="R1282" s="4" t="s">
        <v>4446</v>
      </c>
      <c r="S1282" s="4"/>
    </row>
    <row r="1283" customFormat="false" ht="26.85" hidden="false" customHeight="false" outlineLevel="0" collapsed="false">
      <c r="A1283" s="4" t="s">
        <v>4448</v>
      </c>
      <c r="B1283" s="8" t="s">
        <v>4449</v>
      </c>
      <c r="C1283" s="8" t="s">
        <v>58</v>
      </c>
      <c r="D1283" s="8"/>
      <c r="E1283" s="8" t="s">
        <v>60</v>
      </c>
      <c r="F1283" s="8"/>
      <c r="G1283" s="8"/>
      <c r="H1283" s="8"/>
      <c r="I1283" s="8" t="s">
        <v>4450</v>
      </c>
      <c r="J1283" s="8" t="s">
        <v>72</v>
      </c>
      <c r="K1283" s="8" t="s">
        <v>4154</v>
      </c>
      <c r="L1283" s="8" t="s">
        <v>4282</v>
      </c>
      <c r="M1283" s="8"/>
      <c r="N1283" s="8" t="s">
        <v>62</v>
      </c>
      <c r="O1283" s="8" t="s">
        <v>63</v>
      </c>
      <c r="P1283" s="4" t="n">
        <v>48</v>
      </c>
      <c r="Q1283" s="8"/>
      <c r="R1283" s="4" t="s">
        <v>4451</v>
      </c>
      <c r="S1283" s="4" t="n">
        <v>4047</v>
      </c>
    </row>
    <row r="1284" customFormat="false" ht="26.85" hidden="false" customHeight="false" outlineLevel="0" collapsed="false">
      <c r="A1284" s="4" t="s">
        <v>4452</v>
      </c>
      <c r="B1284" s="8" t="s">
        <v>4453</v>
      </c>
      <c r="C1284" s="8" t="s">
        <v>58</v>
      </c>
      <c r="D1284" s="8" t="s">
        <v>67</v>
      </c>
      <c r="E1284" s="8" t="s">
        <v>60</v>
      </c>
      <c r="F1284" s="8"/>
      <c r="G1284" s="8"/>
      <c r="H1284" s="8"/>
      <c r="I1284" s="8" t="s">
        <v>4454</v>
      </c>
      <c r="J1284" s="8" t="s">
        <v>72</v>
      </c>
      <c r="K1284" s="8" t="s">
        <v>4154</v>
      </c>
      <c r="L1284" s="8" t="s">
        <v>4282</v>
      </c>
      <c r="M1284" s="8"/>
      <c r="N1284" s="8" t="s">
        <v>62</v>
      </c>
      <c r="O1284" s="8" t="s">
        <v>63</v>
      </c>
      <c r="P1284" s="4" t="n">
        <v>48</v>
      </c>
      <c r="Q1284" s="8"/>
      <c r="R1284" s="4" t="s">
        <v>4455</v>
      </c>
      <c r="S1284" s="4"/>
    </row>
    <row r="1285" customFormat="false" ht="26.85" hidden="false" customHeight="false" outlineLevel="0" collapsed="false">
      <c r="A1285" s="4" t="s">
        <v>4456</v>
      </c>
      <c r="B1285" s="8" t="s">
        <v>4457</v>
      </c>
      <c r="C1285" s="8" t="s">
        <v>58</v>
      </c>
      <c r="D1285" s="8"/>
      <c r="E1285" s="8" t="s">
        <v>60</v>
      </c>
      <c r="F1285" s="8"/>
      <c r="G1285" s="8"/>
      <c r="H1285" s="8"/>
      <c r="I1285" s="8" t="s">
        <v>4458</v>
      </c>
      <c r="J1285" s="8" t="s">
        <v>72</v>
      </c>
      <c r="K1285" s="8" t="s">
        <v>4154</v>
      </c>
      <c r="L1285" s="8" t="s">
        <v>4282</v>
      </c>
      <c r="M1285" s="8"/>
      <c r="N1285" s="8" t="s">
        <v>62</v>
      </c>
      <c r="O1285" s="8" t="s">
        <v>63</v>
      </c>
      <c r="P1285" s="4" t="n">
        <v>48</v>
      </c>
      <c r="Q1285" s="8"/>
      <c r="R1285" s="4" t="s">
        <v>4459</v>
      </c>
      <c r="S1285" s="4"/>
    </row>
    <row r="1286" customFormat="false" ht="26.85" hidden="false" customHeight="false" outlineLevel="0" collapsed="false">
      <c r="A1286" s="4" t="s">
        <v>4460</v>
      </c>
      <c r="B1286" s="8" t="s">
        <v>4461</v>
      </c>
      <c r="C1286" s="8"/>
      <c r="D1286" s="8"/>
      <c r="E1286" s="8"/>
      <c r="F1286" s="8"/>
      <c r="G1286" s="8"/>
      <c r="H1286" s="8"/>
      <c r="I1286" s="8" t="s">
        <v>4462</v>
      </c>
      <c r="J1286" s="8" t="s">
        <v>72</v>
      </c>
      <c r="K1286" s="8" t="s">
        <v>4154</v>
      </c>
      <c r="L1286" s="8" t="s">
        <v>4282</v>
      </c>
      <c r="M1286" s="8"/>
      <c r="N1286" s="8" t="s">
        <v>62</v>
      </c>
      <c r="O1286" s="8" t="s">
        <v>63</v>
      </c>
      <c r="P1286" s="4" t="n">
        <v>48</v>
      </c>
      <c r="Q1286" s="8"/>
      <c r="R1286" s="4" t="s">
        <v>4461</v>
      </c>
      <c r="S1286" s="4"/>
    </row>
    <row r="1287" customFormat="false" ht="26.85" hidden="false" customHeight="false" outlineLevel="0" collapsed="false">
      <c r="A1287" s="4" t="s">
        <v>4463</v>
      </c>
      <c r="B1287" s="8" t="s">
        <v>4464</v>
      </c>
      <c r="C1287" s="8" t="s">
        <v>58</v>
      </c>
      <c r="D1287" s="8"/>
      <c r="E1287" s="8" t="s">
        <v>60</v>
      </c>
      <c r="F1287" s="8"/>
      <c r="G1287" s="8"/>
      <c r="H1287" s="8"/>
      <c r="I1287" s="8" t="s">
        <v>4465</v>
      </c>
      <c r="J1287" s="8" t="s">
        <v>72</v>
      </c>
      <c r="K1287" s="8" t="s">
        <v>4154</v>
      </c>
      <c r="L1287" s="8" t="s">
        <v>4282</v>
      </c>
      <c r="M1287" s="8"/>
      <c r="N1287" s="8" t="s">
        <v>62</v>
      </c>
      <c r="O1287" s="8" t="s">
        <v>63</v>
      </c>
      <c r="P1287" s="4" t="n">
        <v>48</v>
      </c>
      <c r="Q1287" s="8"/>
      <c r="R1287" s="4" t="s">
        <v>4466</v>
      </c>
      <c r="S1287" s="4"/>
    </row>
    <row r="1288" customFormat="false" ht="26.85" hidden="false" customHeight="false" outlineLevel="0" collapsed="false">
      <c r="A1288" s="4" t="s">
        <v>4467</v>
      </c>
      <c r="B1288" s="8" t="s">
        <v>4468</v>
      </c>
      <c r="C1288" s="8" t="s">
        <v>58</v>
      </c>
      <c r="D1288" s="8"/>
      <c r="E1288" s="8" t="s">
        <v>60</v>
      </c>
      <c r="F1288" s="8"/>
      <c r="G1288" s="8"/>
      <c r="H1288" s="8"/>
      <c r="I1288" s="8" t="s">
        <v>4469</v>
      </c>
      <c r="J1288" s="8" t="s">
        <v>72</v>
      </c>
      <c r="K1288" s="8" t="s">
        <v>4154</v>
      </c>
      <c r="L1288" s="8" t="s">
        <v>4282</v>
      </c>
      <c r="M1288" s="8"/>
      <c r="N1288" s="8" t="s">
        <v>62</v>
      </c>
      <c r="O1288" s="8" t="s">
        <v>63</v>
      </c>
      <c r="P1288" s="4" t="n">
        <v>48</v>
      </c>
      <c r="Q1288" s="8"/>
      <c r="R1288" s="4" t="s">
        <v>4470</v>
      </c>
      <c r="S1288" s="4"/>
    </row>
    <row r="1289" customFormat="false" ht="26.85" hidden="false" customHeight="false" outlineLevel="0" collapsed="false">
      <c r="A1289" s="4" t="s">
        <v>4471</v>
      </c>
      <c r="B1289" s="8" t="s">
        <v>4472</v>
      </c>
      <c r="C1289" s="8"/>
      <c r="D1289" s="8"/>
      <c r="E1289" s="8"/>
      <c r="F1289" s="8"/>
      <c r="G1289" s="8"/>
      <c r="H1289" s="8"/>
      <c r="I1289" s="8" t="s">
        <v>4473</v>
      </c>
      <c r="J1289" s="8" t="s">
        <v>72</v>
      </c>
      <c r="K1289" s="8" t="s">
        <v>4154</v>
      </c>
      <c r="L1289" s="8" t="s">
        <v>4282</v>
      </c>
      <c r="M1289" s="8"/>
      <c r="N1289" s="8" t="s">
        <v>62</v>
      </c>
      <c r="O1289" s="8" t="s">
        <v>63</v>
      </c>
      <c r="P1289" s="4" t="n">
        <v>48</v>
      </c>
      <c r="Q1289" s="8"/>
      <c r="R1289" s="4" t="s">
        <v>4472</v>
      </c>
      <c r="S1289" s="4"/>
    </row>
    <row r="1290" customFormat="false" ht="26.85" hidden="false" customHeight="false" outlineLevel="0" collapsed="false">
      <c r="A1290" s="4" t="s">
        <v>4474</v>
      </c>
      <c r="B1290" s="8" t="s">
        <v>4475</v>
      </c>
      <c r="C1290" s="8" t="s">
        <v>58</v>
      </c>
      <c r="D1290" s="8"/>
      <c r="E1290" s="8" t="s">
        <v>60</v>
      </c>
      <c r="F1290" s="8"/>
      <c r="G1290" s="8"/>
      <c r="H1290" s="8"/>
      <c r="I1290" s="8" t="s">
        <v>4476</v>
      </c>
      <c r="J1290" s="8" t="s">
        <v>72</v>
      </c>
      <c r="K1290" s="8" t="s">
        <v>4154</v>
      </c>
      <c r="L1290" s="8" t="s">
        <v>4282</v>
      </c>
      <c r="M1290" s="8"/>
      <c r="N1290" s="8" t="s">
        <v>62</v>
      </c>
      <c r="O1290" s="8" t="s">
        <v>63</v>
      </c>
      <c r="P1290" s="4" t="n">
        <v>48</v>
      </c>
      <c r="Q1290" s="8"/>
      <c r="R1290" s="4" t="s">
        <v>4477</v>
      </c>
      <c r="S1290" s="4"/>
    </row>
    <row r="1291" customFormat="false" ht="26.85" hidden="false" customHeight="false" outlineLevel="0" collapsed="false">
      <c r="A1291" s="4" t="s">
        <v>4478</v>
      </c>
      <c r="B1291" s="8" t="s">
        <v>4479</v>
      </c>
      <c r="C1291" s="8"/>
      <c r="D1291" s="8"/>
      <c r="E1291" s="8"/>
      <c r="F1291" s="8"/>
      <c r="G1291" s="8"/>
      <c r="H1291" s="8"/>
      <c r="I1291" s="8" t="s">
        <v>4480</v>
      </c>
      <c r="J1291" s="8" t="s">
        <v>72</v>
      </c>
      <c r="K1291" s="8" t="s">
        <v>4154</v>
      </c>
      <c r="L1291" s="8" t="s">
        <v>4282</v>
      </c>
      <c r="M1291" s="8"/>
      <c r="N1291" s="8" t="s">
        <v>62</v>
      </c>
      <c r="O1291" s="8" t="s">
        <v>63</v>
      </c>
      <c r="P1291" s="4" t="n">
        <v>48</v>
      </c>
      <c r="Q1291" s="8"/>
      <c r="R1291" s="4" t="s">
        <v>4479</v>
      </c>
      <c r="S1291" s="4"/>
    </row>
    <row r="1292" customFormat="false" ht="26.85" hidden="false" customHeight="false" outlineLevel="0" collapsed="false">
      <c r="A1292" s="4" t="s">
        <v>4481</v>
      </c>
      <c r="B1292" s="8" t="s">
        <v>4482</v>
      </c>
      <c r="C1292" s="8"/>
      <c r="D1292" s="8"/>
      <c r="E1292" s="8"/>
      <c r="F1292" s="8"/>
      <c r="G1292" s="8"/>
      <c r="H1292" s="8"/>
      <c r="I1292" s="8" t="s">
        <v>4483</v>
      </c>
      <c r="J1292" s="8" t="s">
        <v>72</v>
      </c>
      <c r="K1292" s="8" t="s">
        <v>4154</v>
      </c>
      <c r="L1292" s="8" t="s">
        <v>4282</v>
      </c>
      <c r="M1292" s="8"/>
      <c r="N1292" s="8" t="s">
        <v>62</v>
      </c>
      <c r="O1292" s="8" t="s">
        <v>63</v>
      </c>
      <c r="P1292" s="4" t="n">
        <v>48</v>
      </c>
      <c r="Q1292" s="8"/>
      <c r="R1292" s="4" t="s">
        <v>4482</v>
      </c>
      <c r="S1292" s="4"/>
    </row>
    <row r="1293" customFormat="false" ht="26.85" hidden="false" customHeight="false" outlineLevel="0" collapsed="false">
      <c r="A1293" s="4" t="s">
        <v>4484</v>
      </c>
      <c r="B1293" s="8" t="s">
        <v>4485</v>
      </c>
      <c r="C1293" s="8" t="s">
        <v>58</v>
      </c>
      <c r="D1293" s="8" t="s">
        <v>67</v>
      </c>
      <c r="E1293" s="8" t="s">
        <v>60</v>
      </c>
      <c r="F1293" s="8"/>
      <c r="G1293" s="8"/>
      <c r="H1293" s="8"/>
      <c r="I1293" s="8" t="s">
        <v>4486</v>
      </c>
      <c r="J1293" s="8" t="s">
        <v>72</v>
      </c>
      <c r="K1293" s="8" t="s">
        <v>4154</v>
      </c>
      <c r="L1293" s="8" t="s">
        <v>4282</v>
      </c>
      <c r="M1293" s="8"/>
      <c r="N1293" s="8" t="s">
        <v>62</v>
      </c>
      <c r="O1293" s="8" t="s">
        <v>63</v>
      </c>
      <c r="P1293" s="4" t="n">
        <v>48</v>
      </c>
      <c r="Q1293" s="8"/>
      <c r="R1293" s="4" t="s">
        <v>4487</v>
      </c>
      <c r="S1293" s="4"/>
    </row>
    <row r="1294" customFormat="false" ht="26.85" hidden="false" customHeight="false" outlineLevel="0" collapsed="false">
      <c r="A1294" s="4" t="s">
        <v>4488</v>
      </c>
      <c r="B1294" s="8" t="s">
        <v>4489</v>
      </c>
      <c r="C1294" s="8" t="s">
        <v>58</v>
      </c>
      <c r="D1294" s="8"/>
      <c r="E1294" s="8" t="s">
        <v>60</v>
      </c>
      <c r="F1294" s="8"/>
      <c r="G1294" s="8"/>
      <c r="H1294" s="8"/>
      <c r="I1294" s="8" t="s">
        <v>4490</v>
      </c>
      <c r="J1294" s="8" t="s">
        <v>72</v>
      </c>
      <c r="K1294" s="8" t="s">
        <v>4154</v>
      </c>
      <c r="L1294" s="8" t="s">
        <v>4282</v>
      </c>
      <c r="M1294" s="8"/>
      <c r="N1294" s="8" t="s">
        <v>62</v>
      </c>
      <c r="O1294" s="8" t="s">
        <v>63</v>
      </c>
      <c r="P1294" s="4" t="n">
        <v>48</v>
      </c>
      <c r="Q1294" s="8"/>
      <c r="R1294" s="4" t="s">
        <v>4491</v>
      </c>
      <c r="S1294" s="4"/>
    </row>
    <row r="1295" customFormat="false" ht="26.85" hidden="false" customHeight="false" outlineLevel="0" collapsed="false">
      <c r="A1295" s="4" t="s">
        <v>4492</v>
      </c>
      <c r="B1295" s="8" t="s">
        <v>3927</v>
      </c>
      <c r="C1295" s="8" t="s">
        <v>58</v>
      </c>
      <c r="D1295" s="8"/>
      <c r="E1295" s="8" t="s">
        <v>60</v>
      </c>
      <c r="F1295" s="8"/>
      <c r="G1295" s="8"/>
      <c r="H1295" s="8"/>
      <c r="I1295" s="8" t="s">
        <v>3928</v>
      </c>
      <c r="J1295" s="8" t="s">
        <v>72</v>
      </c>
      <c r="K1295" s="8" t="s">
        <v>4154</v>
      </c>
      <c r="L1295" s="8" t="s">
        <v>4282</v>
      </c>
      <c r="M1295" s="8"/>
      <c r="N1295" s="8" t="s">
        <v>62</v>
      </c>
      <c r="O1295" s="8" t="s">
        <v>63</v>
      </c>
      <c r="P1295" s="4" t="n">
        <v>48</v>
      </c>
      <c r="Q1295" s="8"/>
      <c r="R1295" s="4" t="s">
        <v>3929</v>
      </c>
      <c r="S1295" s="4"/>
    </row>
    <row r="1296" customFormat="false" ht="26.85" hidden="false" customHeight="false" outlineLevel="0" collapsed="false">
      <c r="A1296" s="4" t="s">
        <v>4493</v>
      </c>
      <c r="B1296" s="8" t="s">
        <v>4494</v>
      </c>
      <c r="C1296" s="8"/>
      <c r="D1296" s="8"/>
      <c r="E1296" s="8"/>
      <c r="F1296" s="8"/>
      <c r="G1296" s="8"/>
      <c r="H1296" s="8"/>
      <c r="I1296" s="8" t="s">
        <v>4495</v>
      </c>
      <c r="J1296" s="8" t="s">
        <v>72</v>
      </c>
      <c r="K1296" s="8" t="s">
        <v>4154</v>
      </c>
      <c r="L1296" s="8" t="s">
        <v>4282</v>
      </c>
      <c r="M1296" s="8"/>
      <c r="N1296" s="8" t="s">
        <v>62</v>
      </c>
      <c r="O1296" s="8" t="s">
        <v>63</v>
      </c>
      <c r="P1296" s="4" t="n">
        <v>48</v>
      </c>
      <c r="Q1296" s="8"/>
      <c r="R1296" s="4" t="s">
        <v>4494</v>
      </c>
      <c r="S1296" s="4"/>
    </row>
    <row r="1297" customFormat="false" ht="26.85" hidden="false" customHeight="false" outlineLevel="0" collapsed="false">
      <c r="A1297" s="4" t="s">
        <v>4496</v>
      </c>
      <c r="B1297" s="8" t="s">
        <v>4497</v>
      </c>
      <c r="C1297" s="8" t="s">
        <v>58</v>
      </c>
      <c r="D1297" s="8"/>
      <c r="E1297" s="8" t="s">
        <v>60</v>
      </c>
      <c r="F1297" s="8"/>
      <c r="G1297" s="8"/>
      <c r="H1297" s="8"/>
      <c r="I1297" s="8" t="s">
        <v>4498</v>
      </c>
      <c r="J1297" s="8" t="s">
        <v>72</v>
      </c>
      <c r="K1297" s="8" t="s">
        <v>4154</v>
      </c>
      <c r="L1297" s="8" t="s">
        <v>4282</v>
      </c>
      <c r="M1297" s="8"/>
      <c r="N1297" s="8" t="s">
        <v>62</v>
      </c>
      <c r="O1297" s="8" t="s">
        <v>63</v>
      </c>
      <c r="P1297" s="4" t="n">
        <v>48</v>
      </c>
      <c r="Q1297" s="8"/>
      <c r="R1297" s="4" t="s">
        <v>4499</v>
      </c>
      <c r="S1297" s="4"/>
    </row>
    <row r="1298" customFormat="false" ht="26.85" hidden="false" customHeight="false" outlineLevel="0" collapsed="false">
      <c r="A1298" s="4" t="s">
        <v>4500</v>
      </c>
      <c r="B1298" s="8" t="s">
        <v>4501</v>
      </c>
      <c r="C1298" s="8" t="s">
        <v>58</v>
      </c>
      <c r="D1298" s="8"/>
      <c r="E1298" s="8" t="s">
        <v>60</v>
      </c>
      <c r="F1298" s="8"/>
      <c r="G1298" s="8"/>
      <c r="H1298" s="8"/>
      <c r="I1298" s="8" t="s">
        <v>4502</v>
      </c>
      <c r="J1298" s="8" t="s">
        <v>72</v>
      </c>
      <c r="K1298" s="8" t="s">
        <v>4154</v>
      </c>
      <c r="L1298" s="8" t="s">
        <v>4282</v>
      </c>
      <c r="M1298" s="8"/>
      <c r="N1298" s="8" t="s">
        <v>62</v>
      </c>
      <c r="O1298" s="8" t="s">
        <v>63</v>
      </c>
      <c r="P1298" s="4" t="n">
        <v>48</v>
      </c>
      <c r="Q1298" s="8"/>
      <c r="R1298" s="4" t="s">
        <v>4503</v>
      </c>
      <c r="S1298" s="4"/>
    </row>
    <row r="1299" customFormat="false" ht="26.85" hidden="false" customHeight="false" outlineLevel="0" collapsed="false">
      <c r="A1299" s="4" t="s">
        <v>4504</v>
      </c>
      <c r="B1299" s="8" t="s">
        <v>4505</v>
      </c>
      <c r="C1299" s="8"/>
      <c r="D1299" s="8"/>
      <c r="E1299" s="8"/>
      <c r="F1299" s="8"/>
      <c r="G1299" s="8"/>
      <c r="H1299" s="8"/>
      <c r="I1299" s="8" t="s">
        <v>4506</v>
      </c>
      <c r="J1299" s="8" t="s">
        <v>72</v>
      </c>
      <c r="K1299" s="8" t="s">
        <v>4154</v>
      </c>
      <c r="L1299" s="8" t="s">
        <v>4282</v>
      </c>
      <c r="M1299" s="8"/>
      <c r="N1299" s="8" t="s">
        <v>62</v>
      </c>
      <c r="O1299" s="8" t="s">
        <v>63</v>
      </c>
      <c r="P1299" s="4" t="n">
        <v>48</v>
      </c>
      <c r="Q1299" s="8"/>
      <c r="R1299" s="4" t="s">
        <v>4505</v>
      </c>
      <c r="S1299" s="4"/>
    </row>
    <row r="1300" customFormat="false" ht="26.85" hidden="false" customHeight="false" outlineLevel="0" collapsed="false">
      <c r="A1300" s="4" t="s">
        <v>4507</v>
      </c>
      <c r="B1300" s="8" t="s">
        <v>2674</v>
      </c>
      <c r="C1300" s="8" t="s">
        <v>58</v>
      </c>
      <c r="D1300" s="8"/>
      <c r="E1300" s="8" t="s">
        <v>60</v>
      </c>
      <c r="F1300" s="8"/>
      <c r="G1300" s="8"/>
      <c r="H1300" s="8"/>
      <c r="I1300" s="8" t="s">
        <v>2675</v>
      </c>
      <c r="J1300" s="8" t="s">
        <v>72</v>
      </c>
      <c r="K1300" s="8" t="s">
        <v>4154</v>
      </c>
      <c r="L1300" s="8" t="s">
        <v>4282</v>
      </c>
      <c r="M1300" s="8"/>
      <c r="N1300" s="8" t="s">
        <v>62</v>
      </c>
      <c r="O1300" s="8" t="s">
        <v>63</v>
      </c>
      <c r="P1300" s="4" t="n">
        <v>48</v>
      </c>
      <c r="Q1300" s="8"/>
      <c r="R1300" s="4" t="s">
        <v>2676</v>
      </c>
      <c r="S1300" s="4"/>
    </row>
    <row r="1301" customFormat="false" ht="26.85" hidden="false" customHeight="false" outlineLevel="0" collapsed="false">
      <c r="A1301" s="4" t="s">
        <v>4508</v>
      </c>
      <c r="B1301" s="8" t="s">
        <v>4509</v>
      </c>
      <c r="C1301" s="8"/>
      <c r="D1301" s="8"/>
      <c r="E1301" s="8"/>
      <c r="F1301" s="8"/>
      <c r="G1301" s="8"/>
      <c r="H1301" s="8"/>
      <c r="I1301" s="8" t="s">
        <v>4510</v>
      </c>
      <c r="J1301" s="8" t="s">
        <v>72</v>
      </c>
      <c r="K1301" s="8" t="s">
        <v>4154</v>
      </c>
      <c r="L1301" s="8" t="s">
        <v>4282</v>
      </c>
      <c r="M1301" s="8"/>
      <c r="N1301" s="8" t="s">
        <v>62</v>
      </c>
      <c r="O1301" s="8" t="s">
        <v>63</v>
      </c>
      <c r="P1301" s="4" t="n">
        <v>48</v>
      </c>
      <c r="Q1301" s="8"/>
      <c r="R1301" s="4" t="s">
        <v>4509</v>
      </c>
      <c r="S1301" s="4"/>
    </row>
    <row r="1302" customFormat="false" ht="26.85" hidden="false" customHeight="false" outlineLevel="0" collapsed="false">
      <c r="A1302" s="4" t="s">
        <v>4511</v>
      </c>
      <c r="B1302" s="8" t="s">
        <v>4512</v>
      </c>
      <c r="C1302" s="8"/>
      <c r="D1302" s="8"/>
      <c r="E1302" s="8"/>
      <c r="F1302" s="8"/>
      <c r="G1302" s="8"/>
      <c r="H1302" s="8"/>
      <c r="I1302" s="8" t="s">
        <v>4513</v>
      </c>
      <c r="J1302" s="8" t="s">
        <v>72</v>
      </c>
      <c r="K1302" s="8" t="s">
        <v>4154</v>
      </c>
      <c r="L1302" s="8" t="s">
        <v>4282</v>
      </c>
      <c r="M1302" s="8"/>
      <c r="N1302" s="8" t="s">
        <v>62</v>
      </c>
      <c r="O1302" s="8" t="s">
        <v>63</v>
      </c>
      <c r="P1302" s="4" t="n">
        <v>48</v>
      </c>
      <c r="Q1302" s="8"/>
      <c r="R1302" s="4" t="s">
        <v>4512</v>
      </c>
      <c r="S1302" s="4"/>
    </row>
    <row r="1303" customFormat="false" ht="26.85" hidden="false" customHeight="false" outlineLevel="0" collapsed="false">
      <c r="A1303" s="4" t="s">
        <v>4514</v>
      </c>
      <c r="B1303" s="8" t="s">
        <v>4515</v>
      </c>
      <c r="C1303" s="8" t="s">
        <v>58</v>
      </c>
      <c r="D1303" s="8"/>
      <c r="E1303" s="8" t="s">
        <v>60</v>
      </c>
      <c r="F1303" s="8"/>
      <c r="G1303" s="8"/>
      <c r="H1303" s="8"/>
      <c r="I1303" s="8" t="s">
        <v>4516</v>
      </c>
      <c r="J1303" s="8" t="s">
        <v>72</v>
      </c>
      <c r="K1303" s="8" t="s">
        <v>4154</v>
      </c>
      <c r="L1303" s="8" t="s">
        <v>4282</v>
      </c>
      <c r="M1303" s="8"/>
      <c r="N1303" s="8" t="s">
        <v>62</v>
      </c>
      <c r="O1303" s="8" t="s">
        <v>63</v>
      </c>
      <c r="P1303" s="4" t="n">
        <v>48</v>
      </c>
      <c r="Q1303" s="8"/>
      <c r="R1303" s="4" t="s">
        <v>4517</v>
      </c>
      <c r="S1303" s="4" t="n">
        <v>3880</v>
      </c>
    </row>
    <row r="1304" customFormat="false" ht="26.85" hidden="false" customHeight="false" outlineLevel="0" collapsed="false">
      <c r="A1304" s="4" t="s">
        <v>4518</v>
      </c>
      <c r="B1304" s="8" t="s">
        <v>4519</v>
      </c>
      <c r="C1304" s="8" t="s">
        <v>66</v>
      </c>
      <c r="D1304" s="8" t="s">
        <v>67</v>
      </c>
      <c r="E1304" s="8" t="s">
        <v>60</v>
      </c>
      <c r="F1304" s="8"/>
      <c r="G1304" s="8"/>
      <c r="H1304" s="8"/>
      <c r="I1304" s="8" t="s">
        <v>4520</v>
      </c>
      <c r="J1304" s="8" t="s">
        <v>72</v>
      </c>
      <c r="K1304" s="8" t="s">
        <v>4154</v>
      </c>
      <c r="L1304" s="8" t="s">
        <v>4282</v>
      </c>
      <c r="M1304" s="8"/>
      <c r="N1304" s="8" t="s">
        <v>62</v>
      </c>
      <c r="O1304" s="8" t="s">
        <v>63</v>
      </c>
      <c r="P1304" s="4" t="n">
        <v>48</v>
      </c>
      <c r="Q1304" s="8"/>
      <c r="R1304" s="4" t="s">
        <v>4521</v>
      </c>
      <c r="S1304" s="4"/>
    </row>
    <row r="1305" customFormat="false" ht="26.85" hidden="false" customHeight="false" outlineLevel="0" collapsed="false">
      <c r="A1305" s="4" t="s">
        <v>4522</v>
      </c>
      <c r="B1305" s="8" t="s">
        <v>4523</v>
      </c>
      <c r="C1305" s="8"/>
      <c r="D1305" s="8"/>
      <c r="E1305" s="8"/>
      <c r="F1305" s="8"/>
      <c r="G1305" s="8"/>
      <c r="H1305" s="8"/>
      <c r="I1305" s="8" t="s">
        <v>4524</v>
      </c>
      <c r="J1305" s="8" t="s">
        <v>72</v>
      </c>
      <c r="K1305" s="8" t="s">
        <v>4154</v>
      </c>
      <c r="L1305" s="8" t="s">
        <v>4282</v>
      </c>
      <c r="M1305" s="8"/>
      <c r="N1305" s="8" t="s">
        <v>62</v>
      </c>
      <c r="O1305" s="8" t="s">
        <v>63</v>
      </c>
      <c r="P1305" s="4" t="n">
        <v>48</v>
      </c>
      <c r="Q1305" s="8"/>
      <c r="R1305" s="4" t="s">
        <v>4523</v>
      </c>
      <c r="S1305" s="4"/>
    </row>
    <row r="1306" customFormat="false" ht="26.85" hidden="false" customHeight="false" outlineLevel="0" collapsed="false">
      <c r="A1306" s="4" t="s">
        <v>4525</v>
      </c>
      <c r="B1306" s="8" t="s">
        <v>4526</v>
      </c>
      <c r="C1306" s="8" t="s">
        <v>58</v>
      </c>
      <c r="D1306" s="8" t="s">
        <v>67</v>
      </c>
      <c r="E1306" s="8" t="s">
        <v>60</v>
      </c>
      <c r="F1306" s="8"/>
      <c r="G1306" s="8"/>
      <c r="H1306" s="8"/>
      <c r="I1306" s="8" t="s">
        <v>4527</v>
      </c>
      <c r="J1306" s="8" t="s">
        <v>72</v>
      </c>
      <c r="K1306" s="8" t="s">
        <v>4154</v>
      </c>
      <c r="L1306" s="8" t="s">
        <v>4282</v>
      </c>
      <c r="M1306" s="8"/>
      <c r="N1306" s="8" t="s">
        <v>62</v>
      </c>
      <c r="O1306" s="8" t="s">
        <v>63</v>
      </c>
      <c r="P1306" s="4" t="n">
        <v>48</v>
      </c>
      <c r="Q1306" s="8"/>
      <c r="R1306" s="4" t="s">
        <v>4528</v>
      </c>
      <c r="S1306" s="4"/>
    </row>
    <row r="1307" customFormat="false" ht="26.85" hidden="false" customHeight="false" outlineLevel="0" collapsed="false">
      <c r="A1307" s="4" t="s">
        <v>4529</v>
      </c>
      <c r="B1307" s="8" t="s">
        <v>4530</v>
      </c>
      <c r="C1307" s="8" t="s">
        <v>58</v>
      </c>
      <c r="D1307" s="8"/>
      <c r="E1307" s="8" t="s">
        <v>60</v>
      </c>
      <c r="F1307" s="8"/>
      <c r="G1307" s="8"/>
      <c r="H1307" s="8"/>
      <c r="I1307" s="8" t="s">
        <v>4531</v>
      </c>
      <c r="J1307" s="8" t="s">
        <v>72</v>
      </c>
      <c r="K1307" s="8" t="s">
        <v>4154</v>
      </c>
      <c r="L1307" s="8" t="s">
        <v>4282</v>
      </c>
      <c r="M1307" s="8"/>
      <c r="N1307" s="8" t="s">
        <v>62</v>
      </c>
      <c r="O1307" s="8" t="s">
        <v>63</v>
      </c>
      <c r="P1307" s="4" t="n">
        <v>48</v>
      </c>
      <c r="Q1307" s="8"/>
      <c r="R1307" s="4" t="s">
        <v>4532</v>
      </c>
      <c r="S1307" s="4"/>
    </row>
    <row r="1308" customFormat="false" ht="26.85" hidden="false" customHeight="false" outlineLevel="0" collapsed="false">
      <c r="A1308" s="4" t="s">
        <v>4533</v>
      </c>
      <c r="B1308" s="8" t="s">
        <v>4534</v>
      </c>
      <c r="C1308" s="8" t="s">
        <v>58</v>
      </c>
      <c r="D1308" s="8"/>
      <c r="E1308" s="8" t="s">
        <v>60</v>
      </c>
      <c r="F1308" s="8"/>
      <c r="G1308" s="8"/>
      <c r="H1308" s="8"/>
      <c r="I1308" s="8" t="s">
        <v>4535</v>
      </c>
      <c r="J1308" s="8" t="s">
        <v>72</v>
      </c>
      <c r="K1308" s="8" t="s">
        <v>4154</v>
      </c>
      <c r="L1308" s="8" t="s">
        <v>4282</v>
      </c>
      <c r="M1308" s="8"/>
      <c r="N1308" s="8" t="s">
        <v>62</v>
      </c>
      <c r="O1308" s="8" t="s">
        <v>63</v>
      </c>
      <c r="P1308" s="4" t="n">
        <v>48</v>
      </c>
      <c r="Q1308" s="8"/>
      <c r="R1308" s="4" t="s">
        <v>4536</v>
      </c>
      <c r="S1308" s="4"/>
    </row>
    <row r="1309" customFormat="false" ht="26.85" hidden="false" customHeight="false" outlineLevel="0" collapsed="false">
      <c r="A1309" s="4" t="s">
        <v>4537</v>
      </c>
      <c r="B1309" s="8" t="s">
        <v>4538</v>
      </c>
      <c r="C1309" s="8"/>
      <c r="D1309" s="8"/>
      <c r="E1309" s="8"/>
      <c r="F1309" s="8"/>
      <c r="G1309" s="8"/>
      <c r="H1309" s="8"/>
      <c r="I1309" s="8" t="s">
        <v>4539</v>
      </c>
      <c r="J1309" s="8" t="s">
        <v>72</v>
      </c>
      <c r="K1309" s="8" t="s">
        <v>4154</v>
      </c>
      <c r="L1309" s="8" t="s">
        <v>4282</v>
      </c>
      <c r="M1309" s="8"/>
      <c r="N1309" s="8" t="s">
        <v>62</v>
      </c>
      <c r="O1309" s="8" t="s">
        <v>63</v>
      </c>
      <c r="P1309" s="4" t="n">
        <v>48</v>
      </c>
      <c r="Q1309" s="8"/>
      <c r="R1309" s="4" t="s">
        <v>4538</v>
      </c>
      <c r="S1309" s="4"/>
    </row>
    <row r="1310" customFormat="false" ht="26.85" hidden="false" customHeight="false" outlineLevel="0" collapsed="false">
      <c r="A1310" s="4" t="s">
        <v>4540</v>
      </c>
      <c r="B1310" s="8" t="s">
        <v>4541</v>
      </c>
      <c r="C1310" s="8"/>
      <c r="D1310" s="8"/>
      <c r="E1310" s="8"/>
      <c r="F1310" s="8"/>
      <c r="G1310" s="8"/>
      <c r="H1310" s="8"/>
      <c r="I1310" s="8" t="s">
        <v>4542</v>
      </c>
      <c r="J1310" s="8" t="s">
        <v>72</v>
      </c>
      <c r="K1310" s="8" t="s">
        <v>4154</v>
      </c>
      <c r="L1310" s="8" t="s">
        <v>4282</v>
      </c>
      <c r="M1310" s="8"/>
      <c r="N1310" s="8" t="s">
        <v>62</v>
      </c>
      <c r="O1310" s="8" t="s">
        <v>63</v>
      </c>
      <c r="P1310" s="4" t="n">
        <v>48</v>
      </c>
      <c r="Q1310" s="8"/>
      <c r="R1310" s="4" t="s">
        <v>4541</v>
      </c>
      <c r="S1310" s="4"/>
    </row>
    <row r="1311" customFormat="false" ht="26.85" hidden="false" customHeight="false" outlineLevel="0" collapsed="false">
      <c r="A1311" s="4" t="s">
        <v>4543</v>
      </c>
      <c r="B1311" s="8" t="s">
        <v>4544</v>
      </c>
      <c r="C1311" s="8" t="s">
        <v>58</v>
      </c>
      <c r="D1311" s="8"/>
      <c r="E1311" s="8" t="s">
        <v>60</v>
      </c>
      <c r="F1311" s="8"/>
      <c r="G1311" s="8"/>
      <c r="H1311" s="8"/>
      <c r="I1311" s="8" t="s">
        <v>4544</v>
      </c>
      <c r="J1311" s="8" t="s">
        <v>72</v>
      </c>
      <c r="K1311" s="8" t="s">
        <v>4154</v>
      </c>
      <c r="L1311" s="8" t="s">
        <v>4282</v>
      </c>
      <c r="M1311" s="8"/>
      <c r="N1311" s="8" t="s">
        <v>62</v>
      </c>
      <c r="O1311" s="8" t="s">
        <v>63</v>
      </c>
      <c r="P1311" s="4" t="n">
        <v>48</v>
      </c>
      <c r="Q1311" s="8"/>
      <c r="R1311" s="4" t="s">
        <v>4545</v>
      </c>
      <c r="S1311" s="4"/>
    </row>
    <row r="1312" customFormat="false" ht="26.85" hidden="false" customHeight="false" outlineLevel="0" collapsed="false">
      <c r="A1312" s="4" t="s">
        <v>4546</v>
      </c>
      <c r="B1312" s="8" t="s">
        <v>4547</v>
      </c>
      <c r="C1312" s="8"/>
      <c r="D1312" s="8"/>
      <c r="E1312" s="8"/>
      <c r="F1312" s="8"/>
      <c r="G1312" s="8"/>
      <c r="H1312" s="8"/>
      <c r="I1312" s="8" t="s">
        <v>4548</v>
      </c>
      <c r="J1312" s="8" t="s">
        <v>72</v>
      </c>
      <c r="K1312" s="8" t="s">
        <v>4154</v>
      </c>
      <c r="L1312" s="8" t="s">
        <v>4282</v>
      </c>
      <c r="M1312" s="8"/>
      <c r="N1312" s="8" t="s">
        <v>62</v>
      </c>
      <c r="O1312" s="8" t="s">
        <v>63</v>
      </c>
      <c r="P1312" s="4" t="n">
        <v>48</v>
      </c>
      <c r="Q1312" s="8"/>
      <c r="R1312" s="4" t="s">
        <v>4547</v>
      </c>
      <c r="S1312" s="4" t="n">
        <v>101</v>
      </c>
    </row>
    <row r="1313" customFormat="false" ht="26.85" hidden="false" customHeight="false" outlineLevel="0" collapsed="false">
      <c r="A1313" s="4" t="s">
        <v>4549</v>
      </c>
      <c r="B1313" s="8" t="s">
        <v>4550</v>
      </c>
      <c r="C1313" s="8" t="s">
        <v>58</v>
      </c>
      <c r="D1313" s="8" t="s">
        <v>67</v>
      </c>
      <c r="E1313" s="8" t="s">
        <v>60</v>
      </c>
      <c r="F1313" s="8"/>
      <c r="G1313" s="8"/>
      <c r="H1313" s="8"/>
      <c r="I1313" s="8" t="s">
        <v>4551</v>
      </c>
      <c r="J1313" s="8" t="s">
        <v>72</v>
      </c>
      <c r="K1313" s="8" t="s">
        <v>4154</v>
      </c>
      <c r="L1313" s="8" t="s">
        <v>4282</v>
      </c>
      <c r="M1313" s="8"/>
      <c r="N1313" s="8" t="s">
        <v>62</v>
      </c>
      <c r="O1313" s="8" t="s">
        <v>63</v>
      </c>
      <c r="P1313" s="4" t="n">
        <v>48</v>
      </c>
      <c r="Q1313" s="8"/>
      <c r="R1313" s="4" t="s">
        <v>4552</v>
      </c>
      <c r="S1313" s="4"/>
    </row>
    <row r="1314" customFormat="false" ht="26.85" hidden="false" customHeight="false" outlineLevel="0" collapsed="false">
      <c r="A1314" s="4" t="s">
        <v>4553</v>
      </c>
      <c r="B1314" s="8" t="s">
        <v>609</v>
      </c>
      <c r="C1314" s="8" t="s">
        <v>58</v>
      </c>
      <c r="D1314" s="8"/>
      <c r="E1314" s="8" t="s">
        <v>60</v>
      </c>
      <c r="F1314" s="8"/>
      <c r="G1314" s="8"/>
      <c r="H1314" s="8"/>
      <c r="I1314" s="8" t="s">
        <v>610</v>
      </c>
      <c r="J1314" s="8" t="s">
        <v>72</v>
      </c>
      <c r="K1314" s="8" t="s">
        <v>4154</v>
      </c>
      <c r="L1314" s="8" t="s">
        <v>4282</v>
      </c>
      <c r="M1314" s="8"/>
      <c r="N1314" s="8" t="s">
        <v>62</v>
      </c>
      <c r="O1314" s="8" t="s">
        <v>63</v>
      </c>
      <c r="P1314" s="4" t="n">
        <v>48</v>
      </c>
      <c r="Q1314" s="8"/>
      <c r="R1314" s="4" t="s">
        <v>611</v>
      </c>
      <c r="S1314" s="4" t="n">
        <v>4081</v>
      </c>
    </row>
    <row r="1315" customFormat="false" ht="26.85" hidden="false" customHeight="false" outlineLevel="0" collapsed="false">
      <c r="A1315" s="4" t="s">
        <v>4554</v>
      </c>
      <c r="B1315" s="8" t="s">
        <v>4555</v>
      </c>
      <c r="C1315" s="8" t="s">
        <v>58</v>
      </c>
      <c r="D1315" s="8"/>
      <c r="E1315" s="8" t="s">
        <v>60</v>
      </c>
      <c r="F1315" s="8"/>
      <c r="G1315" s="8"/>
      <c r="H1315" s="8"/>
      <c r="I1315" s="8" t="s">
        <v>4556</v>
      </c>
      <c r="J1315" s="8" t="s">
        <v>72</v>
      </c>
      <c r="K1315" s="8" t="s">
        <v>4154</v>
      </c>
      <c r="L1315" s="8" t="s">
        <v>4282</v>
      </c>
      <c r="M1315" s="8"/>
      <c r="N1315" s="8" t="s">
        <v>62</v>
      </c>
      <c r="O1315" s="8" t="s">
        <v>63</v>
      </c>
      <c r="P1315" s="4" t="n">
        <v>48</v>
      </c>
      <c r="Q1315" s="8"/>
      <c r="R1315" s="4" t="s">
        <v>4557</v>
      </c>
      <c r="S1315" s="4"/>
    </row>
    <row r="1316" customFormat="false" ht="26.85" hidden="false" customHeight="false" outlineLevel="0" collapsed="false">
      <c r="A1316" s="4" t="s">
        <v>4558</v>
      </c>
      <c r="B1316" s="8" t="s">
        <v>3758</v>
      </c>
      <c r="C1316" s="8" t="s">
        <v>58</v>
      </c>
      <c r="D1316" s="8"/>
      <c r="E1316" s="8" t="s">
        <v>60</v>
      </c>
      <c r="F1316" s="8"/>
      <c r="G1316" s="8"/>
      <c r="H1316" s="8"/>
      <c r="I1316" s="8" t="s">
        <v>3759</v>
      </c>
      <c r="J1316" s="8" t="s">
        <v>72</v>
      </c>
      <c r="K1316" s="8" t="s">
        <v>4154</v>
      </c>
      <c r="L1316" s="8" t="s">
        <v>4282</v>
      </c>
      <c r="M1316" s="8"/>
      <c r="N1316" s="8" t="s">
        <v>62</v>
      </c>
      <c r="O1316" s="8" t="s">
        <v>63</v>
      </c>
      <c r="P1316" s="4" t="n">
        <v>48</v>
      </c>
      <c r="Q1316" s="8"/>
      <c r="R1316" s="4" t="s">
        <v>3760</v>
      </c>
      <c r="S1316" s="4"/>
    </row>
    <row r="1317" customFormat="false" ht="26.85" hidden="false" customHeight="false" outlineLevel="0" collapsed="false">
      <c r="A1317" s="4" t="s">
        <v>4559</v>
      </c>
      <c r="B1317" s="8" t="s">
        <v>4560</v>
      </c>
      <c r="C1317" s="8" t="s">
        <v>58</v>
      </c>
      <c r="D1317" s="8"/>
      <c r="E1317" s="8" t="s">
        <v>60</v>
      </c>
      <c r="F1317" s="8"/>
      <c r="G1317" s="8"/>
      <c r="H1317" s="8"/>
      <c r="I1317" s="8" t="s">
        <v>4561</v>
      </c>
      <c r="J1317" s="8" t="s">
        <v>72</v>
      </c>
      <c r="K1317" s="8" t="s">
        <v>4154</v>
      </c>
      <c r="L1317" s="8" t="s">
        <v>4282</v>
      </c>
      <c r="M1317" s="8"/>
      <c r="N1317" s="8" t="s">
        <v>62</v>
      </c>
      <c r="O1317" s="8" t="s">
        <v>63</v>
      </c>
      <c r="P1317" s="4" t="n">
        <v>48</v>
      </c>
      <c r="Q1317" s="8"/>
      <c r="R1317" s="4" t="s">
        <v>4562</v>
      </c>
      <c r="S1317" s="4"/>
    </row>
    <row r="1318" customFormat="false" ht="26.85" hidden="false" customHeight="false" outlineLevel="0" collapsed="false">
      <c r="A1318" s="4" t="s">
        <v>4563</v>
      </c>
      <c r="B1318" s="8" t="s">
        <v>4564</v>
      </c>
      <c r="C1318" s="8"/>
      <c r="D1318" s="8"/>
      <c r="E1318" s="8"/>
      <c r="F1318" s="8"/>
      <c r="G1318" s="8"/>
      <c r="H1318" s="8"/>
      <c r="I1318" s="8" t="s">
        <v>4565</v>
      </c>
      <c r="J1318" s="8" t="s">
        <v>72</v>
      </c>
      <c r="K1318" s="8" t="s">
        <v>4154</v>
      </c>
      <c r="L1318" s="8" t="s">
        <v>4282</v>
      </c>
      <c r="M1318" s="8"/>
      <c r="N1318" s="8" t="s">
        <v>62</v>
      </c>
      <c r="O1318" s="8" t="s">
        <v>63</v>
      </c>
      <c r="P1318" s="4" t="n">
        <v>48</v>
      </c>
      <c r="Q1318" s="8"/>
      <c r="R1318" s="4" t="s">
        <v>4564</v>
      </c>
      <c r="S1318" s="4"/>
    </row>
    <row r="1319" customFormat="false" ht="26.85" hidden="false" customHeight="false" outlineLevel="0" collapsed="false">
      <c r="A1319" s="4" t="s">
        <v>4566</v>
      </c>
      <c r="B1319" s="8" t="s">
        <v>620</v>
      </c>
      <c r="C1319" s="8"/>
      <c r="D1319" s="8"/>
      <c r="E1319" s="8"/>
      <c r="F1319" s="8"/>
      <c r="G1319" s="8"/>
      <c r="H1319" s="8"/>
      <c r="I1319" s="8" t="s">
        <v>621</v>
      </c>
      <c r="J1319" s="8" t="s">
        <v>72</v>
      </c>
      <c r="K1319" s="8" t="s">
        <v>4154</v>
      </c>
      <c r="L1319" s="8" t="s">
        <v>4282</v>
      </c>
      <c r="M1319" s="8"/>
      <c r="N1319" s="8" t="s">
        <v>62</v>
      </c>
      <c r="O1319" s="8" t="s">
        <v>63</v>
      </c>
      <c r="P1319" s="4" t="n">
        <v>48</v>
      </c>
      <c r="Q1319" s="8"/>
      <c r="R1319" s="4" t="s">
        <v>620</v>
      </c>
      <c r="S1319" s="4"/>
    </row>
    <row r="1320" customFormat="false" ht="26.85" hidden="false" customHeight="false" outlineLevel="0" collapsed="false">
      <c r="A1320" s="4" t="s">
        <v>4567</v>
      </c>
      <c r="B1320" s="8" t="s">
        <v>4568</v>
      </c>
      <c r="C1320" s="8" t="s">
        <v>58</v>
      </c>
      <c r="D1320" s="8"/>
      <c r="E1320" s="8" t="s">
        <v>60</v>
      </c>
      <c r="F1320" s="8"/>
      <c r="G1320" s="8"/>
      <c r="H1320" s="8"/>
      <c r="I1320" s="8" t="s">
        <v>4569</v>
      </c>
      <c r="J1320" s="8" t="s">
        <v>72</v>
      </c>
      <c r="K1320" s="8" t="s">
        <v>4154</v>
      </c>
      <c r="L1320" s="8" t="s">
        <v>4282</v>
      </c>
      <c r="M1320" s="8"/>
      <c r="N1320" s="8" t="s">
        <v>62</v>
      </c>
      <c r="O1320" s="8" t="s">
        <v>63</v>
      </c>
      <c r="P1320" s="4" t="n">
        <v>48</v>
      </c>
      <c r="Q1320" s="8"/>
      <c r="R1320" s="4" t="s">
        <v>4570</v>
      </c>
      <c r="S1320" s="4"/>
    </row>
    <row r="1321" customFormat="false" ht="26.85" hidden="false" customHeight="false" outlineLevel="0" collapsed="false">
      <c r="A1321" s="4" t="s">
        <v>4571</v>
      </c>
      <c r="B1321" s="8" t="s">
        <v>4572</v>
      </c>
      <c r="C1321" s="8" t="s">
        <v>58</v>
      </c>
      <c r="D1321" s="8"/>
      <c r="E1321" s="8" t="s">
        <v>60</v>
      </c>
      <c r="F1321" s="8"/>
      <c r="G1321" s="8"/>
      <c r="H1321" s="8"/>
      <c r="I1321" s="8" t="s">
        <v>4572</v>
      </c>
      <c r="J1321" s="8" t="s">
        <v>72</v>
      </c>
      <c r="K1321" s="8" t="s">
        <v>4154</v>
      </c>
      <c r="L1321" s="8" t="s">
        <v>4282</v>
      </c>
      <c r="M1321" s="8"/>
      <c r="N1321" s="8" t="s">
        <v>62</v>
      </c>
      <c r="O1321" s="8" t="s">
        <v>63</v>
      </c>
      <c r="P1321" s="4" t="n">
        <v>48</v>
      </c>
      <c r="Q1321" s="8"/>
      <c r="R1321" s="4" t="s">
        <v>4573</v>
      </c>
      <c r="S1321" s="4"/>
    </row>
    <row r="1322" customFormat="false" ht="26.85" hidden="false" customHeight="false" outlineLevel="0" collapsed="false">
      <c r="A1322" s="4" t="s">
        <v>4574</v>
      </c>
      <c r="B1322" s="8" t="s">
        <v>4575</v>
      </c>
      <c r="C1322" s="8"/>
      <c r="D1322" s="8"/>
      <c r="E1322" s="8"/>
      <c r="F1322" s="8"/>
      <c r="G1322" s="8"/>
      <c r="H1322" s="8"/>
      <c r="I1322" s="8" t="s">
        <v>4576</v>
      </c>
      <c r="J1322" s="8" t="s">
        <v>72</v>
      </c>
      <c r="K1322" s="8" t="s">
        <v>4154</v>
      </c>
      <c r="L1322" s="8" t="s">
        <v>4282</v>
      </c>
      <c r="M1322" s="8"/>
      <c r="N1322" s="8" t="s">
        <v>62</v>
      </c>
      <c r="O1322" s="8" t="s">
        <v>63</v>
      </c>
      <c r="P1322" s="4" t="n">
        <v>48</v>
      </c>
      <c r="Q1322" s="8"/>
      <c r="R1322" s="4" t="s">
        <v>4575</v>
      </c>
      <c r="S1322" s="4"/>
    </row>
    <row r="1323" customFormat="false" ht="26.85" hidden="false" customHeight="false" outlineLevel="0" collapsed="false">
      <c r="A1323" s="4" t="s">
        <v>4577</v>
      </c>
      <c r="B1323" s="8" t="s">
        <v>4578</v>
      </c>
      <c r="C1323" s="8" t="s">
        <v>58</v>
      </c>
      <c r="D1323" s="8"/>
      <c r="E1323" s="8" t="s">
        <v>60</v>
      </c>
      <c r="F1323" s="8"/>
      <c r="G1323" s="8"/>
      <c r="H1323" s="8"/>
      <c r="I1323" s="8" t="s">
        <v>4579</v>
      </c>
      <c r="J1323" s="8" t="s">
        <v>72</v>
      </c>
      <c r="K1323" s="8" t="s">
        <v>4154</v>
      </c>
      <c r="L1323" s="8" t="s">
        <v>4282</v>
      </c>
      <c r="M1323" s="8"/>
      <c r="N1323" s="8" t="s">
        <v>62</v>
      </c>
      <c r="O1323" s="8" t="s">
        <v>63</v>
      </c>
      <c r="P1323" s="4" t="n">
        <v>48</v>
      </c>
      <c r="Q1323" s="8"/>
      <c r="R1323" s="4" t="s">
        <v>4580</v>
      </c>
      <c r="S1323" s="4"/>
    </row>
    <row r="1324" customFormat="false" ht="26.85" hidden="false" customHeight="false" outlineLevel="0" collapsed="false">
      <c r="A1324" s="4" t="s">
        <v>4581</v>
      </c>
      <c r="B1324" s="8" t="s">
        <v>4582</v>
      </c>
      <c r="C1324" s="8" t="s">
        <v>58</v>
      </c>
      <c r="D1324" s="8"/>
      <c r="E1324" s="8" t="s">
        <v>60</v>
      </c>
      <c r="F1324" s="8"/>
      <c r="G1324" s="8"/>
      <c r="H1324" s="8"/>
      <c r="I1324" s="8" t="s">
        <v>4583</v>
      </c>
      <c r="J1324" s="8" t="s">
        <v>72</v>
      </c>
      <c r="K1324" s="8" t="s">
        <v>4154</v>
      </c>
      <c r="L1324" s="8" t="s">
        <v>4282</v>
      </c>
      <c r="M1324" s="8"/>
      <c r="N1324" s="8" t="s">
        <v>62</v>
      </c>
      <c r="O1324" s="8" t="s">
        <v>63</v>
      </c>
      <c r="P1324" s="4" t="n">
        <v>48</v>
      </c>
      <c r="Q1324" s="8"/>
      <c r="R1324" s="4" t="s">
        <v>4584</v>
      </c>
      <c r="S1324" s="4"/>
    </row>
    <row r="1325" customFormat="false" ht="26.85" hidden="false" customHeight="false" outlineLevel="0" collapsed="false">
      <c r="A1325" s="4" t="s">
        <v>4585</v>
      </c>
      <c r="B1325" s="8" t="s">
        <v>4586</v>
      </c>
      <c r="C1325" s="8" t="s">
        <v>58</v>
      </c>
      <c r="D1325" s="8"/>
      <c r="E1325" s="8" t="s">
        <v>60</v>
      </c>
      <c r="F1325" s="8"/>
      <c r="G1325" s="8"/>
      <c r="H1325" s="8"/>
      <c r="I1325" s="8" t="s">
        <v>4587</v>
      </c>
      <c r="J1325" s="8" t="s">
        <v>72</v>
      </c>
      <c r="K1325" s="8" t="s">
        <v>4154</v>
      </c>
      <c r="L1325" s="8" t="s">
        <v>4282</v>
      </c>
      <c r="M1325" s="8"/>
      <c r="N1325" s="8" t="s">
        <v>62</v>
      </c>
      <c r="O1325" s="8" t="s">
        <v>63</v>
      </c>
      <c r="P1325" s="4" t="n">
        <v>48</v>
      </c>
      <c r="Q1325" s="8"/>
      <c r="R1325" s="4" t="s">
        <v>4588</v>
      </c>
      <c r="S1325" s="4" t="n">
        <v>1069</v>
      </c>
    </row>
    <row r="1326" customFormat="false" ht="26.85" hidden="false" customHeight="false" outlineLevel="0" collapsed="false">
      <c r="A1326" s="4" t="s">
        <v>4589</v>
      </c>
      <c r="B1326" s="8" t="s">
        <v>4590</v>
      </c>
      <c r="C1326" s="8" t="s">
        <v>58</v>
      </c>
      <c r="D1326" s="8"/>
      <c r="E1326" s="8" t="s">
        <v>60</v>
      </c>
      <c r="F1326" s="8"/>
      <c r="G1326" s="8"/>
      <c r="H1326" s="8"/>
      <c r="I1326" s="8" t="s">
        <v>4591</v>
      </c>
      <c r="J1326" s="8" t="s">
        <v>72</v>
      </c>
      <c r="K1326" s="8" t="s">
        <v>4154</v>
      </c>
      <c r="L1326" s="8" t="s">
        <v>4282</v>
      </c>
      <c r="M1326" s="8"/>
      <c r="N1326" s="8" t="s">
        <v>62</v>
      </c>
      <c r="O1326" s="8" t="s">
        <v>63</v>
      </c>
      <c r="P1326" s="4" t="n">
        <v>49</v>
      </c>
      <c r="Q1326" s="8"/>
      <c r="R1326" s="4" t="s">
        <v>4592</v>
      </c>
      <c r="S1326" s="4"/>
    </row>
    <row r="1327" customFormat="false" ht="26.85" hidden="false" customHeight="false" outlineLevel="0" collapsed="false">
      <c r="A1327" s="4" t="s">
        <v>4593</v>
      </c>
      <c r="B1327" s="8" t="s">
        <v>4594</v>
      </c>
      <c r="C1327" s="8" t="s">
        <v>66</v>
      </c>
      <c r="D1327" s="8" t="s">
        <v>67</v>
      </c>
      <c r="E1327" s="8" t="s">
        <v>60</v>
      </c>
      <c r="F1327" s="8"/>
      <c r="G1327" s="8"/>
      <c r="H1327" s="8"/>
      <c r="I1327" s="8" t="s">
        <v>4595</v>
      </c>
      <c r="J1327" s="8" t="s">
        <v>72</v>
      </c>
      <c r="K1327" s="8" t="s">
        <v>4154</v>
      </c>
      <c r="L1327" s="8" t="s">
        <v>4282</v>
      </c>
      <c r="M1327" s="8"/>
      <c r="N1327" s="8" t="s">
        <v>62</v>
      </c>
      <c r="O1327" s="8" t="s">
        <v>63</v>
      </c>
      <c r="P1327" s="4" t="n">
        <v>49</v>
      </c>
      <c r="Q1327" s="8"/>
      <c r="R1327" s="4" t="s">
        <v>4596</v>
      </c>
      <c r="S1327" s="4"/>
    </row>
    <row r="1328" customFormat="false" ht="26.85" hidden="false" customHeight="false" outlineLevel="0" collapsed="false">
      <c r="A1328" s="4" t="s">
        <v>4597</v>
      </c>
      <c r="B1328" s="8" t="s">
        <v>4598</v>
      </c>
      <c r="C1328" s="8" t="s">
        <v>58</v>
      </c>
      <c r="D1328" s="8"/>
      <c r="E1328" s="8" t="s">
        <v>60</v>
      </c>
      <c r="F1328" s="8"/>
      <c r="G1328" s="8"/>
      <c r="H1328" s="8"/>
      <c r="I1328" s="8" t="s">
        <v>4599</v>
      </c>
      <c r="J1328" s="8" t="s">
        <v>72</v>
      </c>
      <c r="K1328" s="8" t="s">
        <v>4154</v>
      </c>
      <c r="L1328" s="8" t="s">
        <v>4282</v>
      </c>
      <c r="M1328" s="8"/>
      <c r="N1328" s="8" t="s">
        <v>62</v>
      </c>
      <c r="O1328" s="8" t="s">
        <v>63</v>
      </c>
      <c r="P1328" s="4" t="n">
        <v>49</v>
      </c>
      <c r="Q1328" s="8"/>
      <c r="R1328" s="4" t="s">
        <v>4600</v>
      </c>
      <c r="S1328" s="4"/>
    </row>
    <row r="1329" customFormat="false" ht="26.85" hidden="false" customHeight="false" outlineLevel="0" collapsed="false">
      <c r="A1329" s="4" t="s">
        <v>4601</v>
      </c>
      <c r="B1329" s="8" t="s">
        <v>4602</v>
      </c>
      <c r="C1329" s="8"/>
      <c r="D1329" s="8"/>
      <c r="E1329" s="8"/>
      <c r="F1329" s="8"/>
      <c r="G1329" s="8"/>
      <c r="H1329" s="8"/>
      <c r="I1329" s="8" t="s">
        <v>181</v>
      </c>
      <c r="J1329" s="8" t="s">
        <v>72</v>
      </c>
      <c r="K1329" s="8" t="s">
        <v>4154</v>
      </c>
      <c r="L1329" s="8" t="s">
        <v>4282</v>
      </c>
      <c r="M1329" s="8"/>
      <c r="N1329" s="8" t="s">
        <v>62</v>
      </c>
      <c r="O1329" s="8" t="s">
        <v>63</v>
      </c>
      <c r="P1329" s="4" t="n">
        <v>49</v>
      </c>
      <c r="Q1329" s="8"/>
      <c r="R1329" s="4" t="s">
        <v>4602</v>
      </c>
      <c r="S1329" s="4"/>
    </row>
    <row r="1330" customFormat="false" ht="26.85" hidden="false" customHeight="false" outlineLevel="0" collapsed="false">
      <c r="A1330" s="4" t="s">
        <v>4603</v>
      </c>
      <c r="B1330" s="8" t="s">
        <v>4604</v>
      </c>
      <c r="C1330" s="8" t="s">
        <v>58</v>
      </c>
      <c r="D1330" s="8"/>
      <c r="E1330" s="8" t="s">
        <v>60</v>
      </c>
      <c r="F1330" s="8"/>
      <c r="G1330" s="8"/>
      <c r="H1330" s="8"/>
      <c r="I1330" s="8" t="s">
        <v>4605</v>
      </c>
      <c r="J1330" s="8" t="s">
        <v>72</v>
      </c>
      <c r="K1330" s="8" t="s">
        <v>4154</v>
      </c>
      <c r="L1330" s="8" t="s">
        <v>4282</v>
      </c>
      <c r="M1330" s="8"/>
      <c r="N1330" s="8" t="s">
        <v>62</v>
      </c>
      <c r="O1330" s="8" t="s">
        <v>63</v>
      </c>
      <c r="P1330" s="4" t="n">
        <v>49</v>
      </c>
      <c r="Q1330" s="8"/>
      <c r="R1330" s="4" t="s">
        <v>4606</v>
      </c>
      <c r="S1330" s="4"/>
    </row>
    <row r="1331" customFormat="false" ht="26.85" hidden="false" customHeight="false" outlineLevel="0" collapsed="false">
      <c r="A1331" s="4" t="s">
        <v>4607</v>
      </c>
      <c r="B1331" s="8" t="s">
        <v>4608</v>
      </c>
      <c r="C1331" s="8" t="s">
        <v>58</v>
      </c>
      <c r="D1331" s="8"/>
      <c r="E1331" s="8" t="s">
        <v>60</v>
      </c>
      <c r="F1331" s="8"/>
      <c r="G1331" s="8"/>
      <c r="H1331" s="8"/>
      <c r="I1331" s="8" t="s">
        <v>4609</v>
      </c>
      <c r="J1331" s="8" t="s">
        <v>72</v>
      </c>
      <c r="K1331" s="8" t="s">
        <v>4154</v>
      </c>
      <c r="L1331" s="8" t="s">
        <v>4282</v>
      </c>
      <c r="M1331" s="8"/>
      <c r="N1331" s="8" t="s">
        <v>62</v>
      </c>
      <c r="O1331" s="8" t="s">
        <v>63</v>
      </c>
      <c r="P1331" s="4" t="n">
        <v>49</v>
      </c>
      <c r="Q1331" s="8"/>
      <c r="R1331" s="4" t="s">
        <v>4610</v>
      </c>
      <c r="S1331" s="4"/>
    </row>
    <row r="1332" customFormat="false" ht="26.85" hidden="false" customHeight="false" outlineLevel="0" collapsed="false">
      <c r="A1332" s="4" t="s">
        <v>4611</v>
      </c>
      <c r="B1332" s="8" t="s">
        <v>4612</v>
      </c>
      <c r="C1332" s="8"/>
      <c r="D1332" s="8"/>
      <c r="E1332" s="8"/>
      <c r="F1332" s="8"/>
      <c r="G1332" s="8"/>
      <c r="H1332" s="8"/>
      <c r="I1332" s="8" t="s">
        <v>4613</v>
      </c>
      <c r="J1332" s="8" t="s">
        <v>72</v>
      </c>
      <c r="K1332" s="8" t="s">
        <v>4154</v>
      </c>
      <c r="L1332" s="8" t="s">
        <v>4282</v>
      </c>
      <c r="M1332" s="8"/>
      <c r="N1332" s="8" t="s">
        <v>62</v>
      </c>
      <c r="O1332" s="8" t="s">
        <v>63</v>
      </c>
      <c r="P1332" s="4" t="n">
        <v>49</v>
      </c>
      <c r="Q1332" s="8"/>
      <c r="R1332" s="4" t="s">
        <v>4612</v>
      </c>
      <c r="S1332" s="4"/>
    </row>
    <row r="1333" customFormat="false" ht="26.85" hidden="false" customHeight="false" outlineLevel="0" collapsed="false">
      <c r="A1333" s="4" t="s">
        <v>4614</v>
      </c>
      <c r="B1333" s="8" t="s">
        <v>4615</v>
      </c>
      <c r="C1333" s="8"/>
      <c r="D1333" s="8"/>
      <c r="E1333" s="8"/>
      <c r="F1333" s="8"/>
      <c r="G1333" s="8"/>
      <c r="H1333" s="8"/>
      <c r="I1333" s="8" t="s">
        <v>4616</v>
      </c>
      <c r="J1333" s="8" t="s">
        <v>72</v>
      </c>
      <c r="K1333" s="8" t="s">
        <v>4154</v>
      </c>
      <c r="L1333" s="8" t="s">
        <v>4282</v>
      </c>
      <c r="M1333" s="8"/>
      <c r="N1333" s="8" t="s">
        <v>62</v>
      </c>
      <c r="O1333" s="8" t="s">
        <v>63</v>
      </c>
      <c r="P1333" s="4" t="n">
        <v>49</v>
      </c>
      <c r="Q1333" s="8"/>
      <c r="R1333" s="4" t="s">
        <v>4615</v>
      </c>
      <c r="S1333" s="4"/>
    </row>
    <row r="1334" customFormat="false" ht="26.85" hidden="false" customHeight="false" outlineLevel="0" collapsed="false">
      <c r="A1334" s="4" t="s">
        <v>4617</v>
      </c>
      <c r="B1334" s="8" t="s">
        <v>4618</v>
      </c>
      <c r="C1334" s="8" t="s">
        <v>58</v>
      </c>
      <c r="D1334" s="8"/>
      <c r="E1334" s="8" t="s">
        <v>60</v>
      </c>
      <c r="F1334" s="8"/>
      <c r="G1334" s="8"/>
      <c r="H1334" s="8"/>
      <c r="I1334" s="8" t="s">
        <v>4619</v>
      </c>
      <c r="J1334" s="8" t="s">
        <v>72</v>
      </c>
      <c r="K1334" s="8" t="s">
        <v>4154</v>
      </c>
      <c r="L1334" s="8" t="s">
        <v>4282</v>
      </c>
      <c r="M1334" s="8"/>
      <c r="N1334" s="8" t="s">
        <v>62</v>
      </c>
      <c r="O1334" s="8" t="s">
        <v>63</v>
      </c>
      <c r="P1334" s="4" t="n">
        <v>49</v>
      </c>
      <c r="Q1334" s="8"/>
      <c r="R1334" s="4" t="s">
        <v>4620</v>
      </c>
      <c r="S1334" s="4"/>
    </row>
    <row r="1335" customFormat="false" ht="26.85" hidden="false" customHeight="false" outlineLevel="0" collapsed="false">
      <c r="A1335" s="4" t="s">
        <v>4621</v>
      </c>
      <c r="B1335" s="8" t="s">
        <v>4622</v>
      </c>
      <c r="C1335" s="8" t="s">
        <v>58</v>
      </c>
      <c r="D1335" s="8" t="s">
        <v>67</v>
      </c>
      <c r="E1335" s="8" t="s">
        <v>60</v>
      </c>
      <c r="F1335" s="8"/>
      <c r="G1335" s="8"/>
      <c r="H1335" s="8"/>
      <c r="I1335" s="8" t="s">
        <v>4623</v>
      </c>
      <c r="J1335" s="8" t="s">
        <v>72</v>
      </c>
      <c r="K1335" s="8" t="s">
        <v>4154</v>
      </c>
      <c r="L1335" s="8" t="s">
        <v>4282</v>
      </c>
      <c r="M1335" s="8"/>
      <c r="N1335" s="8" t="s">
        <v>62</v>
      </c>
      <c r="O1335" s="8" t="s">
        <v>63</v>
      </c>
      <c r="P1335" s="4" t="n">
        <v>49</v>
      </c>
      <c r="Q1335" s="8"/>
      <c r="R1335" s="4" t="s">
        <v>4624</v>
      </c>
      <c r="S1335" s="4"/>
    </row>
    <row r="1336" customFormat="false" ht="26.85" hidden="false" customHeight="false" outlineLevel="0" collapsed="false">
      <c r="A1336" s="4" t="s">
        <v>4625</v>
      </c>
      <c r="B1336" s="8" t="s">
        <v>4626</v>
      </c>
      <c r="C1336" s="8" t="s">
        <v>58</v>
      </c>
      <c r="D1336" s="8"/>
      <c r="E1336" s="8" t="s">
        <v>60</v>
      </c>
      <c r="F1336" s="8"/>
      <c r="G1336" s="8"/>
      <c r="H1336" s="8"/>
      <c r="I1336" s="8" t="s">
        <v>4627</v>
      </c>
      <c r="J1336" s="8" t="s">
        <v>72</v>
      </c>
      <c r="K1336" s="8" t="s">
        <v>4154</v>
      </c>
      <c r="L1336" s="8" t="s">
        <v>4282</v>
      </c>
      <c r="M1336" s="8"/>
      <c r="N1336" s="8" t="s">
        <v>62</v>
      </c>
      <c r="O1336" s="8" t="s">
        <v>63</v>
      </c>
      <c r="P1336" s="4" t="n">
        <v>49</v>
      </c>
      <c r="Q1336" s="8"/>
      <c r="R1336" s="4" t="s">
        <v>4628</v>
      </c>
      <c r="S1336" s="4"/>
    </row>
    <row r="1337" customFormat="false" ht="26.85" hidden="false" customHeight="false" outlineLevel="0" collapsed="false">
      <c r="A1337" s="4" t="s">
        <v>4629</v>
      </c>
      <c r="B1337" s="8" t="s">
        <v>4630</v>
      </c>
      <c r="C1337" s="8" t="s">
        <v>58</v>
      </c>
      <c r="D1337" s="8"/>
      <c r="E1337" s="8" t="s">
        <v>60</v>
      </c>
      <c r="F1337" s="8"/>
      <c r="G1337" s="8"/>
      <c r="H1337" s="8"/>
      <c r="I1337" s="8" t="s">
        <v>4631</v>
      </c>
      <c r="J1337" s="8" t="s">
        <v>72</v>
      </c>
      <c r="K1337" s="8" t="s">
        <v>4154</v>
      </c>
      <c r="L1337" s="8" t="s">
        <v>4282</v>
      </c>
      <c r="M1337" s="8"/>
      <c r="N1337" s="8" t="s">
        <v>62</v>
      </c>
      <c r="O1337" s="8" t="s">
        <v>63</v>
      </c>
      <c r="P1337" s="4" t="n">
        <v>49</v>
      </c>
      <c r="Q1337" s="8"/>
      <c r="R1337" s="4" t="s">
        <v>4632</v>
      </c>
      <c r="S1337" s="4"/>
    </row>
    <row r="1338" customFormat="false" ht="26.85" hidden="false" customHeight="false" outlineLevel="0" collapsed="false">
      <c r="A1338" s="4" t="s">
        <v>4633</v>
      </c>
      <c r="B1338" s="8" t="s">
        <v>4634</v>
      </c>
      <c r="C1338" s="8"/>
      <c r="D1338" s="8"/>
      <c r="E1338" s="8"/>
      <c r="F1338" s="8"/>
      <c r="G1338" s="8"/>
      <c r="H1338" s="8"/>
      <c r="I1338" s="8" t="s">
        <v>4635</v>
      </c>
      <c r="J1338" s="8" t="s">
        <v>72</v>
      </c>
      <c r="K1338" s="8" t="s">
        <v>4154</v>
      </c>
      <c r="L1338" s="8" t="s">
        <v>4282</v>
      </c>
      <c r="M1338" s="8"/>
      <c r="N1338" s="8" t="s">
        <v>62</v>
      </c>
      <c r="O1338" s="8" t="s">
        <v>63</v>
      </c>
      <c r="P1338" s="4" t="n">
        <v>49</v>
      </c>
      <c r="Q1338" s="8"/>
      <c r="R1338" s="4" t="s">
        <v>4634</v>
      </c>
      <c r="S1338" s="4"/>
    </row>
    <row r="1339" customFormat="false" ht="26.85" hidden="false" customHeight="false" outlineLevel="0" collapsed="false">
      <c r="A1339" s="4" t="s">
        <v>4636</v>
      </c>
      <c r="B1339" s="8" t="s">
        <v>4637</v>
      </c>
      <c r="C1339" s="8"/>
      <c r="D1339" s="8"/>
      <c r="E1339" s="8"/>
      <c r="F1339" s="8"/>
      <c r="G1339" s="8"/>
      <c r="H1339" s="8"/>
      <c r="I1339" s="8" t="s">
        <v>4638</v>
      </c>
      <c r="J1339" s="8" t="s">
        <v>72</v>
      </c>
      <c r="K1339" s="8" t="s">
        <v>4154</v>
      </c>
      <c r="L1339" s="8" t="s">
        <v>4282</v>
      </c>
      <c r="M1339" s="8"/>
      <c r="N1339" s="8" t="s">
        <v>62</v>
      </c>
      <c r="O1339" s="8" t="s">
        <v>63</v>
      </c>
      <c r="P1339" s="4" t="n">
        <v>49</v>
      </c>
      <c r="Q1339" s="8"/>
      <c r="R1339" s="4" t="s">
        <v>4637</v>
      </c>
      <c r="S1339" s="4" t="n">
        <v>329</v>
      </c>
    </row>
    <row r="1340" customFormat="false" ht="26.85" hidden="false" customHeight="false" outlineLevel="0" collapsed="false">
      <c r="A1340" s="4" t="s">
        <v>4639</v>
      </c>
      <c r="B1340" s="8" t="s">
        <v>4640</v>
      </c>
      <c r="C1340" s="8" t="s">
        <v>66</v>
      </c>
      <c r="D1340" s="8" t="s">
        <v>67</v>
      </c>
      <c r="E1340" s="8" t="s">
        <v>60</v>
      </c>
      <c r="F1340" s="8"/>
      <c r="G1340" s="8"/>
      <c r="H1340" s="8"/>
      <c r="I1340" s="8" t="s">
        <v>4641</v>
      </c>
      <c r="J1340" s="8" t="s">
        <v>72</v>
      </c>
      <c r="K1340" s="8" t="s">
        <v>4154</v>
      </c>
      <c r="L1340" s="8" t="s">
        <v>4282</v>
      </c>
      <c r="M1340" s="8"/>
      <c r="N1340" s="8" t="s">
        <v>62</v>
      </c>
      <c r="O1340" s="8" t="s">
        <v>63</v>
      </c>
      <c r="P1340" s="4" t="n">
        <v>49</v>
      </c>
      <c r="Q1340" s="8"/>
      <c r="R1340" s="4" t="s">
        <v>4642</v>
      </c>
      <c r="S1340" s="4"/>
    </row>
    <row r="1341" customFormat="false" ht="26.85" hidden="false" customHeight="false" outlineLevel="0" collapsed="false">
      <c r="A1341" s="4" t="s">
        <v>4643</v>
      </c>
      <c r="B1341" s="8" t="s">
        <v>4644</v>
      </c>
      <c r="C1341" s="8" t="s">
        <v>58</v>
      </c>
      <c r="D1341" s="8"/>
      <c r="E1341" s="8" t="s">
        <v>60</v>
      </c>
      <c r="F1341" s="8"/>
      <c r="G1341" s="8"/>
      <c r="H1341" s="8"/>
      <c r="I1341" s="8" t="s">
        <v>4645</v>
      </c>
      <c r="J1341" s="8" t="s">
        <v>72</v>
      </c>
      <c r="K1341" s="8" t="s">
        <v>4154</v>
      </c>
      <c r="L1341" s="8" t="s">
        <v>4282</v>
      </c>
      <c r="M1341" s="8"/>
      <c r="N1341" s="8" t="s">
        <v>62</v>
      </c>
      <c r="O1341" s="8" t="s">
        <v>63</v>
      </c>
      <c r="P1341" s="4" t="n">
        <v>49</v>
      </c>
      <c r="Q1341" s="8"/>
      <c r="R1341" s="4" t="s">
        <v>4646</v>
      </c>
      <c r="S1341" s="4"/>
    </row>
    <row r="1342" customFormat="false" ht="26.85" hidden="false" customHeight="false" outlineLevel="0" collapsed="false">
      <c r="A1342" s="4" t="s">
        <v>4647</v>
      </c>
      <c r="B1342" s="8" t="s">
        <v>4648</v>
      </c>
      <c r="C1342" s="8"/>
      <c r="D1342" s="8"/>
      <c r="E1342" s="8"/>
      <c r="F1342" s="8"/>
      <c r="G1342" s="8"/>
      <c r="H1342" s="8"/>
      <c r="I1342" s="8" t="s">
        <v>4649</v>
      </c>
      <c r="J1342" s="8" t="s">
        <v>72</v>
      </c>
      <c r="K1342" s="8" t="s">
        <v>4154</v>
      </c>
      <c r="L1342" s="8" t="s">
        <v>4282</v>
      </c>
      <c r="M1342" s="8"/>
      <c r="N1342" s="8" t="s">
        <v>62</v>
      </c>
      <c r="O1342" s="8" t="s">
        <v>63</v>
      </c>
      <c r="P1342" s="4" t="n">
        <v>49</v>
      </c>
      <c r="Q1342" s="8"/>
      <c r="R1342" s="4" t="s">
        <v>4648</v>
      </c>
      <c r="S1342" s="4"/>
    </row>
    <row r="1343" customFormat="false" ht="26.85" hidden="false" customHeight="false" outlineLevel="0" collapsed="false">
      <c r="A1343" s="4" t="s">
        <v>4650</v>
      </c>
      <c r="B1343" s="8" t="s">
        <v>4651</v>
      </c>
      <c r="C1343" s="8"/>
      <c r="D1343" s="8"/>
      <c r="E1343" s="8"/>
      <c r="F1343" s="8"/>
      <c r="G1343" s="8"/>
      <c r="H1343" s="8"/>
      <c r="I1343" s="8" t="s">
        <v>4652</v>
      </c>
      <c r="J1343" s="8" t="s">
        <v>72</v>
      </c>
      <c r="K1343" s="8" t="s">
        <v>4154</v>
      </c>
      <c r="L1343" s="8" t="s">
        <v>4282</v>
      </c>
      <c r="M1343" s="8"/>
      <c r="N1343" s="8" t="s">
        <v>62</v>
      </c>
      <c r="O1343" s="8" t="s">
        <v>63</v>
      </c>
      <c r="P1343" s="4" t="n">
        <v>49</v>
      </c>
      <c r="Q1343" s="8"/>
      <c r="R1343" s="4" t="s">
        <v>4651</v>
      </c>
      <c r="S1343" s="4"/>
    </row>
    <row r="1344" customFormat="false" ht="26.85" hidden="false" customHeight="false" outlineLevel="0" collapsed="false">
      <c r="A1344" s="4" t="s">
        <v>4653</v>
      </c>
      <c r="B1344" s="8" t="s">
        <v>4654</v>
      </c>
      <c r="C1344" s="8" t="s">
        <v>58</v>
      </c>
      <c r="D1344" s="8"/>
      <c r="E1344" s="8" t="s">
        <v>60</v>
      </c>
      <c r="F1344" s="8"/>
      <c r="G1344" s="8"/>
      <c r="H1344" s="8"/>
      <c r="I1344" s="8" t="s">
        <v>4655</v>
      </c>
      <c r="J1344" s="8" t="s">
        <v>72</v>
      </c>
      <c r="K1344" s="8" t="s">
        <v>4154</v>
      </c>
      <c r="L1344" s="8" t="s">
        <v>4282</v>
      </c>
      <c r="M1344" s="8"/>
      <c r="N1344" s="8" t="s">
        <v>62</v>
      </c>
      <c r="O1344" s="8" t="s">
        <v>63</v>
      </c>
      <c r="P1344" s="4" t="n">
        <v>49</v>
      </c>
      <c r="Q1344" s="8"/>
      <c r="R1344" s="4" t="s">
        <v>4656</v>
      </c>
      <c r="S1344" s="4"/>
    </row>
    <row r="1345" customFormat="false" ht="26.85" hidden="false" customHeight="false" outlineLevel="0" collapsed="false">
      <c r="A1345" s="4" t="s">
        <v>4657</v>
      </c>
      <c r="B1345" s="8" t="s">
        <v>4658</v>
      </c>
      <c r="C1345" s="8" t="s">
        <v>58</v>
      </c>
      <c r="D1345" s="8"/>
      <c r="E1345" s="8" t="s">
        <v>60</v>
      </c>
      <c r="F1345" s="8"/>
      <c r="G1345" s="8"/>
      <c r="H1345" s="8"/>
      <c r="I1345" s="8" t="s">
        <v>4659</v>
      </c>
      <c r="J1345" s="8" t="s">
        <v>72</v>
      </c>
      <c r="K1345" s="8" t="s">
        <v>4154</v>
      </c>
      <c r="L1345" s="8" t="s">
        <v>4282</v>
      </c>
      <c r="M1345" s="8"/>
      <c r="N1345" s="8" t="s">
        <v>62</v>
      </c>
      <c r="O1345" s="8" t="s">
        <v>63</v>
      </c>
      <c r="P1345" s="4" t="n">
        <v>49</v>
      </c>
      <c r="Q1345" s="8"/>
      <c r="R1345" s="4" t="s">
        <v>4660</v>
      </c>
      <c r="S1345" s="4"/>
    </row>
    <row r="1346" customFormat="false" ht="26.85" hidden="false" customHeight="false" outlineLevel="0" collapsed="false">
      <c r="A1346" s="4" t="s">
        <v>4661</v>
      </c>
      <c r="B1346" s="8" t="s">
        <v>4662</v>
      </c>
      <c r="C1346" s="8" t="s">
        <v>58</v>
      </c>
      <c r="D1346" s="8"/>
      <c r="E1346" s="8" t="s">
        <v>60</v>
      </c>
      <c r="F1346" s="8"/>
      <c r="G1346" s="8"/>
      <c r="H1346" s="8"/>
      <c r="I1346" s="8" t="s">
        <v>4663</v>
      </c>
      <c r="J1346" s="8" t="s">
        <v>72</v>
      </c>
      <c r="K1346" s="8" t="s">
        <v>4154</v>
      </c>
      <c r="L1346" s="8" t="s">
        <v>4282</v>
      </c>
      <c r="M1346" s="8"/>
      <c r="N1346" s="8" t="s">
        <v>62</v>
      </c>
      <c r="O1346" s="8" t="s">
        <v>63</v>
      </c>
      <c r="P1346" s="4" t="n">
        <v>49</v>
      </c>
      <c r="Q1346" s="8"/>
      <c r="R1346" s="4" t="s">
        <v>4664</v>
      </c>
      <c r="S1346" s="4"/>
    </row>
    <row r="1347" customFormat="false" ht="26.85" hidden="false" customHeight="false" outlineLevel="0" collapsed="false">
      <c r="A1347" s="4" t="s">
        <v>4665</v>
      </c>
      <c r="B1347" s="8" t="s">
        <v>3307</v>
      </c>
      <c r="C1347" s="8"/>
      <c r="D1347" s="8"/>
      <c r="E1347" s="8"/>
      <c r="F1347" s="8"/>
      <c r="G1347" s="8"/>
      <c r="H1347" s="8"/>
      <c r="I1347" s="8" t="s">
        <v>3308</v>
      </c>
      <c r="J1347" s="8" t="s">
        <v>72</v>
      </c>
      <c r="K1347" s="8" t="s">
        <v>4154</v>
      </c>
      <c r="L1347" s="8" t="s">
        <v>4282</v>
      </c>
      <c r="M1347" s="8"/>
      <c r="N1347" s="8" t="s">
        <v>62</v>
      </c>
      <c r="O1347" s="8" t="s">
        <v>63</v>
      </c>
      <c r="P1347" s="4" t="n">
        <v>49</v>
      </c>
      <c r="Q1347" s="8"/>
      <c r="R1347" s="4" t="s">
        <v>3307</v>
      </c>
      <c r="S1347" s="4"/>
    </row>
    <row r="1348" customFormat="false" ht="26.85" hidden="false" customHeight="false" outlineLevel="0" collapsed="false">
      <c r="A1348" s="4" t="s">
        <v>4666</v>
      </c>
      <c r="B1348" s="8" t="s">
        <v>4667</v>
      </c>
      <c r="C1348" s="8" t="s">
        <v>58</v>
      </c>
      <c r="D1348" s="8"/>
      <c r="E1348" s="8" t="s">
        <v>60</v>
      </c>
      <c r="F1348" s="8"/>
      <c r="G1348" s="8"/>
      <c r="H1348" s="8"/>
      <c r="I1348" s="8" t="s">
        <v>4668</v>
      </c>
      <c r="J1348" s="8" t="s">
        <v>72</v>
      </c>
      <c r="K1348" s="8" t="s">
        <v>4154</v>
      </c>
      <c r="L1348" s="8" t="s">
        <v>4282</v>
      </c>
      <c r="M1348" s="8"/>
      <c r="N1348" s="8" t="s">
        <v>62</v>
      </c>
      <c r="O1348" s="8" t="s">
        <v>63</v>
      </c>
      <c r="P1348" s="4" t="n">
        <v>49</v>
      </c>
      <c r="Q1348" s="8"/>
      <c r="R1348" s="4" t="s">
        <v>4669</v>
      </c>
      <c r="S1348" s="4"/>
    </row>
    <row r="1349" customFormat="false" ht="26.85" hidden="false" customHeight="false" outlineLevel="0" collapsed="false">
      <c r="A1349" s="4" t="s">
        <v>4670</v>
      </c>
      <c r="B1349" s="8" t="s">
        <v>4671</v>
      </c>
      <c r="C1349" s="8"/>
      <c r="D1349" s="8"/>
      <c r="E1349" s="8"/>
      <c r="F1349" s="8"/>
      <c r="G1349" s="8"/>
      <c r="H1349" s="8"/>
      <c r="I1349" s="8" t="s">
        <v>4672</v>
      </c>
      <c r="J1349" s="8" t="s">
        <v>72</v>
      </c>
      <c r="K1349" s="8" t="s">
        <v>4154</v>
      </c>
      <c r="L1349" s="8" t="s">
        <v>4282</v>
      </c>
      <c r="M1349" s="8"/>
      <c r="N1349" s="8" t="s">
        <v>62</v>
      </c>
      <c r="O1349" s="8" t="s">
        <v>63</v>
      </c>
      <c r="P1349" s="4" t="n">
        <v>49</v>
      </c>
      <c r="Q1349" s="8"/>
      <c r="R1349" s="4" t="s">
        <v>4671</v>
      </c>
      <c r="S1349" s="4"/>
    </row>
    <row r="1350" customFormat="false" ht="26.85" hidden="false" customHeight="false" outlineLevel="0" collapsed="false">
      <c r="A1350" s="4" t="s">
        <v>4673</v>
      </c>
      <c r="B1350" s="8" t="s">
        <v>4674</v>
      </c>
      <c r="C1350" s="8"/>
      <c r="D1350" s="8"/>
      <c r="E1350" s="8"/>
      <c r="F1350" s="8"/>
      <c r="G1350" s="8"/>
      <c r="H1350" s="8"/>
      <c r="I1350" s="8" t="s">
        <v>4675</v>
      </c>
      <c r="J1350" s="8" t="s">
        <v>72</v>
      </c>
      <c r="K1350" s="8" t="s">
        <v>4154</v>
      </c>
      <c r="L1350" s="8" t="s">
        <v>4282</v>
      </c>
      <c r="M1350" s="8"/>
      <c r="N1350" s="8" t="s">
        <v>62</v>
      </c>
      <c r="O1350" s="8" t="s">
        <v>63</v>
      </c>
      <c r="P1350" s="4" t="n">
        <v>49</v>
      </c>
      <c r="Q1350" s="8"/>
      <c r="R1350" s="4" t="s">
        <v>4674</v>
      </c>
      <c r="S1350" s="4"/>
    </row>
    <row r="1351" customFormat="false" ht="26.85" hidden="false" customHeight="false" outlineLevel="0" collapsed="false">
      <c r="A1351" s="4" t="s">
        <v>4676</v>
      </c>
      <c r="B1351" s="8" t="s">
        <v>4677</v>
      </c>
      <c r="C1351" s="8"/>
      <c r="D1351" s="8"/>
      <c r="E1351" s="8"/>
      <c r="F1351" s="8"/>
      <c r="G1351" s="8"/>
      <c r="H1351" s="8"/>
      <c r="I1351" s="8" t="s">
        <v>4678</v>
      </c>
      <c r="J1351" s="8" t="s">
        <v>72</v>
      </c>
      <c r="K1351" s="8" t="s">
        <v>4154</v>
      </c>
      <c r="L1351" s="8" t="s">
        <v>4282</v>
      </c>
      <c r="M1351" s="8"/>
      <c r="N1351" s="8" t="s">
        <v>62</v>
      </c>
      <c r="O1351" s="8" t="s">
        <v>63</v>
      </c>
      <c r="P1351" s="4" t="n">
        <v>49</v>
      </c>
      <c r="Q1351" s="8"/>
      <c r="R1351" s="4" t="s">
        <v>4677</v>
      </c>
      <c r="S1351" s="4"/>
    </row>
    <row r="1352" customFormat="false" ht="26.85" hidden="false" customHeight="false" outlineLevel="0" collapsed="false">
      <c r="A1352" s="4" t="s">
        <v>4679</v>
      </c>
      <c r="B1352" s="8" t="s">
        <v>4680</v>
      </c>
      <c r="C1352" s="8" t="s">
        <v>58</v>
      </c>
      <c r="D1352" s="8"/>
      <c r="E1352" s="8" t="s">
        <v>60</v>
      </c>
      <c r="F1352" s="8"/>
      <c r="G1352" s="8"/>
      <c r="H1352" s="8"/>
      <c r="I1352" s="8" t="s">
        <v>4681</v>
      </c>
      <c r="J1352" s="8" t="s">
        <v>72</v>
      </c>
      <c r="K1352" s="8" t="s">
        <v>4154</v>
      </c>
      <c r="L1352" s="8" t="s">
        <v>4282</v>
      </c>
      <c r="M1352" s="8"/>
      <c r="N1352" s="8" t="s">
        <v>62</v>
      </c>
      <c r="O1352" s="8" t="s">
        <v>63</v>
      </c>
      <c r="P1352" s="4" t="n">
        <v>49</v>
      </c>
      <c r="Q1352" s="8"/>
      <c r="R1352" s="4" t="s">
        <v>4682</v>
      </c>
      <c r="S1352" s="4"/>
    </row>
    <row r="1353" customFormat="false" ht="26.85" hidden="false" customHeight="false" outlineLevel="0" collapsed="false">
      <c r="A1353" s="4" t="s">
        <v>4683</v>
      </c>
      <c r="B1353" s="8" t="s">
        <v>4684</v>
      </c>
      <c r="C1353" s="8"/>
      <c r="D1353" s="8"/>
      <c r="E1353" s="8"/>
      <c r="F1353" s="8"/>
      <c r="G1353" s="8"/>
      <c r="H1353" s="8"/>
      <c r="I1353" s="8" t="s">
        <v>4685</v>
      </c>
      <c r="J1353" s="8" t="s">
        <v>72</v>
      </c>
      <c r="K1353" s="8" t="s">
        <v>4154</v>
      </c>
      <c r="L1353" s="8" t="s">
        <v>4282</v>
      </c>
      <c r="M1353" s="8"/>
      <c r="N1353" s="8" t="s">
        <v>62</v>
      </c>
      <c r="O1353" s="8" t="s">
        <v>63</v>
      </c>
      <c r="P1353" s="4" t="n">
        <v>49</v>
      </c>
      <c r="Q1353" s="8"/>
      <c r="R1353" s="4" t="s">
        <v>4684</v>
      </c>
      <c r="S1353" s="4"/>
    </row>
    <row r="1354" customFormat="false" ht="26.85" hidden="false" customHeight="false" outlineLevel="0" collapsed="false">
      <c r="A1354" s="4" t="s">
        <v>4686</v>
      </c>
      <c r="B1354" s="8" t="s">
        <v>4687</v>
      </c>
      <c r="C1354" s="8" t="s">
        <v>58</v>
      </c>
      <c r="D1354" s="8"/>
      <c r="E1354" s="8" t="s">
        <v>60</v>
      </c>
      <c r="F1354" s="8"/>
      <c r="G1354" s="8"/>
      <c r="H1354" s="8"/>
      <c r="I1354" s="8" t="s">
        <v>4688</v>
      </c>
      <c r="J1354" s="8" t="s">
        <v>72</v>
      </c>
      <c r="K1354" s="8" t="s">
        <v>4154</v>
      </c>
      <c r="L1354" s="8" t="s">
        <v>4282</v>
      </c>
      <c r="M1354" s="8"/>
      <c r="N1354" s="8" t="s">
        <v>62</v>
      </c>
      <c r="O1354" s="8" t="s">
        <v>63</v>
      </c>
      <c r="P1354" s="4" t="n">
        <v>49</v>
      </c>
      <c r="Q1354" s="8"/>
      <c r="R1354" s="4" t="s">
        <v>4689</v>
      </c>
      <c r="S1354" s="4"/>
    </row>
    <row r="1355" customFormat="false" ht="26.85" hidden="false" customHeight="false" outlineLevel="0" collapsed="false">
      <c r="A1355" s="4" t="s">
        <v>4690</v>
      </c>
      <c r="B1355" s="8" t="s">
        <v>4691</v>
      </c>
      <c r="C1355" s="8"/>
      <c r="D1355" s="8"/>
      <c r="E1355" s="8"/>
      <c r="F1355" s="8"/>
      <c r="G1355" s="8"/>
      <c r="H1355" s="8"/>
      <c r="I1355" s="8" t="s">
        <v>4692</v>
      </c>
      <c r="J1355" s="8" t="s">
        <v>72</v>
      </c>
      <c r="K1355" s="8" t="s">
        <v>4154</v>
      </c>
      <c r="L1355" s="8" t="s">
        <v>4282</v>
      </c>
      <c r="M1355" s="8"/>
      <c r="N1355" s="8" t="s">
        <v>62</v>
      </c>
      <c r="O1355" s="8" t="s">
        <v>63</v>
      </c>
      <c r="P1355" s="4" t="n">
        <v>49</v>
      </c>
      <c r="Q1355" s="8"/>
      <c r="R1355" s="4" t="s">
        <v>4691</v>
      </c>
      <c r="S1355" s="4"/>
    </row>
    <row r="1356" customFormat="false" ht="26.85" hidden="false" customHeight="false" outlineLevel="0" collapsed="false">
      <c r="A1356" s="4" t="s">
        <v>4693</v>
      </c>
      <c r="B1356" s="8" t="s">
        <v>4694</v>
      </c>
      <c r="C1356" s="8" t="s">
        <v>58</v>
      </c>
      <c r="D1356" s="8"/>
      <c r="E1356" s="8" t="s">
        <v>60</v>
      </c>
      <c r="F1356" s="8"/>
      <c r="G1356" s="8"/>
      <c r="H1356" s="8"/>
      <c r="I1356" s="8" t="s">
        <v>4695</v>
      </c>
      <c r="J1356" s="8" t="s">
        <v>72</v>
      </c>
      <c r="K1356" s="8" t="s">
        <v>4154</v>
      </c>
      <c r="L1356" s="8" t="s">
        <v>4282</v>
      </c>
      <c r="M1356" s="8"/>
      <c r="N1356" s="8" t="s">
        <v>62</v>
      </c>
      <c r="O1356" s="8" t="s">
        <v>63</v>
      </c>
      <c r="P1356" s="4" t="n">
        <v>49</v>
      </c>
      <c r="Q1356" s="8"/>
      <c r="R1356" s="4" t="s">
        <v>4696</v>
      </c>
      <c r="S1356" s="4"/>
    </row>
    <row r="1357" customFormat="false" ht="26.85" hidden="false" customHeight="false" outlineLevel="0" collapsed="false">
      <c r="A1357" s="4" t="s">
        <v>4697</v>
      </c>
      <c r="B1357" s="8" t="s">
        <v>4698</v>
      </c>
      <c r="C1357" s="8"/>
      <c r="D1357" s="8"/>
      <c r="E1357" s="8"/>
      <c r="F1357" s="8"/>
      <c r="G1357" s="8"/>
      <c r="H1357" s="8"/>
      <c r="I1357" s="8" t="s">
        <v>4699</v>
      </c>
      <c r="J1357" s="8" t="s">
        <v>72</v>
      </c>
      <c r="K1357" s="8" t="s">
        <v>4154</v>
      </c>
      <c r="L1357" s="8" t="s">
        <v>4282</v>
      </c>
      <c r="M1357" s="8"/>
      <c r="N1357" s="8" t="s">
        <v>62</v>
      </c>
      <c r="O1357" s="8" t="s">
        <v>63</v>
      </c>
      <c r="P1357" s="4" t="n">
        <v>49</v>
      </c>
      <c r="Q1357" s="8"/>
      <c r="R1357" s="4" t="s">
        <v>4698</v>
      </c>
      <c r="S1357" s="4"/>
    </row>
    <row r="1358" customFormat="false" ht="26.85" hidden="false" customHeight="false" outlineLevel="0" collapsed="false">
      <c r="A1358" s="4" t="s">
        <v>4700</v>
      </c>
      <c r="B1358" s="8" t="s">
        <v>4701</v>
      </c>
      <c r="C1358" s="8" t="s">
        <v>58</v>
      </c>
      <c r="D1358" s="8"/>
      <c r="E1358" s="8" t="s">
        <v>60</v>
      </c>
      <c r="F1358" s="8"/>
      <c r="G1358" s="8"/>
      <c r="H1358" s="8"/>
      <c r="I1358" s="8" t="s">
        <v>4702</v>
      </c>
      <c r="J1358" s="8" t="s">
        <v>72</v>
      </c>
      <c r="K1358" s="8" t="s">
        <v>4154</v>
      </c>
      <c r="L1358" s="8" t="s">
        <v>4282</v>
      </c>
      <c r="M1358" s="8"/>
      <c r="N1358" s="8" t="s">
        <v>62</v>
      </c>
      <c r="O1358" s="8" t="s">
        <v>63</v>
      </c>
      <c r="P1358" s="4" t="n">
        <v>49</v>
      </c>
      <c r="Q1358" s="8"/>
      <c r="R1358" s="4" t="s">
        <v>4703</v>
      </c>
      <c r="S1358" s="4"/>
    </row>
    <row r="1359" customFormat="false" ht="26.85" hidden="false" customHeight="false" outlineLevel="0" collapsed="false">
      <c r="A1359" s="4" t="s">
        <v>4704</v>
      </c>
      <c r="B1359" s="8" t="s">
        <v>4705</v>
      </c>
      <c r="C1359" s="8"/>
      <c r="D1359" s="8"/>
      <c r="E1359" s="8"/>
      <c r="F1359" s="8"/>
      <c r="G1359" s="8"/>
      <c r="H1359" s="8"/>
      <c r="I1359" s="8" t="s">
        <v>4706</v>
      </c>
      <c r="J1359" s="8" t="s">
        <v>72</v>
      </c>
      <c r="K1359" s="8" t="s">
        <v>4154</v>
      </c>
      <c r="L1359" s="8" t="s">
        <v>4282</v>
      </c>
      <c r="M1359" s="8"/>
      <c r="N1359" s="8" t="s">
        <v>62</v>
      </c>
      <c r="O1359" s="8" t="s">
        <v>63</v>
      </c>
      <c r="P1359" s="4" t="n">
        <v>49</v>
      </c>
      <c r="Q1359" s="8"/>
      <c r="R1359" s="4" t="s">
        <v>4705</v>
      </c>
      <c r="S1359" s="4"/>
    </row>
    <row r="1360" customFormat="false" ht="26.85" hidden="false" customHeight="false" outlineLevel="0" collapsed="false">
      <c r="A1360" s="4" t="s">
        <v>4707</v>
      </c>
      <c r="B1360" s="8" t="s">
        <v>4708</v>
      </c>
      <c r="C1360" s="8"/>
      <c r="D1360" s="8"/>
      <c r="E1360" s="8"/>
      <c r="F1360" s="8"/>
      <c r="G1360" s="8"/>
      <c r="H1360" s="8"/>
      <c r="I1360" s="8" t="s">
        <v>4709</v>
      </c>
      <c r="J1360" s="8" t="s">
        <v>72</v>
      </c>
      <c r="K1360" s="8" t="s">
        <v>4154</v>
      </c>
      <c r="L1360" s="8" t="s">
        <v>4282</v>
      </c>
      <c r="M1360" s="8"/>
      <c r="N1360" s="8" t="s">
        <v>62</v>
      </c>
      <c r="O1360" s="8" t="s">
        <v>63</v>
      </c>
      <c r="P1360" s="4" t="n">
        <v>49</v>
      </c>
      <c r="Q1360" s="8"/>
      <c r="R1360" s="4" t="s">
        <v>4708</v>
      </c>
      <c r="S1360" s="4"/>
    </row>
    <row r="1361" customFormat="false" ht="26.85" hidden="false" customHeight="false" outlineLevel="0" collapsed="false">
      <c r="A1361" s="4" t="s">
        <v>4710</v>
      </c>
      <c r="B1361" s="8" t="s">
        <v>4711</v>
      </c>
      <c r="C1361" s="8" t="s">
        <v>58</v>
      </c>
      <c r="D1361" s="8"/>
      <c r="E1361" s="8" t="s">
        <v>60</v>
      </c>
      <c r="F1361" s="8"/>
      <c r="G1361" s="8"/>
      <c r="H1361" s="8"/>
      <c r="I1361" s="8" t="s">
        <v>4712</v>
      </c>
      <c r="J1361" s="8" t="s">
        <v>72</v>
      </c>
      <c r="K1361" s="8" t="s">
        <v>4154</v>
      </c>
      <c r="L1361" s="8" t="s">
        <v>4282</v>
      </c>
      <c r="M1361" s="8"/>
      <c r="N1361" s="8" t="s">
        <v>62</v>
      </c>
      <c r="O1361" s="8" t="s">
        <v>63</v>
      </c>
      <c r="P1361" s="4" t="n">
        <v>49</v>
      </c>
      <c r="Q1361" s="8"/>
      <c r="R1361" s="4" t="s">
        <v>4713</v>
      </c>
      <c r="S1361" s="4" t="n">
        <v>1933</v>
      </c>
    </row>
    <row r="1362" customFormat="false" ht="26.85" hidden="false" customHeight="false" outlineLevel="0" collapsed="false">
      <c r="A1362" s="4" t="s">
        <v>4714</v>
      </c>
      <c r="B1362" s="8" t="s">
        <v>4715</v>
      </c>
      <c r="C1362" s="8" t="s">
        <v>58</v>
      </c>
      <c r="D1362" s="8" t="s">
        <v>67</v>
      </c>
      <c r="E1362" s="8" t="s">
        <v>60</v>
      </c>
      <c r="F1362" s="8"/>
      <c r="G1362" s="8"/>
      <c r="H1362" s="8"/>
      <c r="I1362" s="8" t="s">
        <v>4716</v>
      </c>
      <c r="J1362" s="8" t="s">
        <v>72</v>
      </c>
      <c r="K1362" s="8" t="s">
        <v>4154</v>
      </c>
      <c r="L1362" s="8" t="s">
        <v>4282</v>
      </c>
      <c r="M1362" s="8"/>
      <c r="N1362" s="8" t="s">
        <v>62</v>
      </c>
      <c r="O1362" s="8" t="s">
        <v>63</v>
      </c>
      <c r="P1362" s="4" t="n">
        <v>49</v>
      </c>
      <c r="Q1362" s="8"/>
      <c r="R1362" s="4" t="s">
        <v>4717</v>
      </c>
      <c r="S1362" s="4"/>
    </row>
    <row r="1363" customFormat="false" ht="26.85" hidden="false" customHeight="false" outlineLevel="0" collapsed="false">
      <c r="A1363" s="4" t="s">
        <v>4718</v>
      </c>
      <c r="B1363" s="8" t="s">
        <v>4719</v>
      </c>
      <c r="C1363" s="8" t="s">
        <v>58</v>
      </c>
      <c r="D1363" s="8" t="s">
        <v>67</v>
      </c>
      <c r="E1363" s="8" t="s">
        <v>60</v>
      </c>
      <c r="F1363" s="8"/>
      <c r="G1363" s="8"/>
      <c r="H1363" s="8"/>
      <c r="I1363" s="8" t="s">
        <v>4720</v>
      </c>
      <c r="J1363" s="8" t="s">
        <v>72</v>
      </c>
      <c r="K1363" s="8" t="s">
        <v>4154</v>
      </c>
      <c r="L1363" s="8" t="s">
        <v>4282</v>
      </c>
      <c r="M1363" s="8"/>
      <c r="N1363" s="8" t="s">
        <v>62</v>
      </c>
      <c r="O1363" s="8" t="s">
        <v>63</v>
      </c>
      <c r="P1363" s="4" t="n">
        <v>49</v>
      </c>
      <c r="Q1363" s="8"/>
      <c r="R1363" s="4" t="s">
        <v>4721</v>
      </c>
      <c r="S1363" s="4"/>
    </row>
    <row r="1364" customFormat="false" ht="26.85" hidden="false" customHeight="false" outlineLevel="0" collapsed="false">
      <c r="A1364" s="4" t="s">
        <v>4722</v>
      </c>
      <c r="B1364" s="8" t="s">
        <v>4723</v>
      </c>
      <c r="C1364" s="8" t="s">
        <v>58</v>
      </c>
      <c r="D1364" s="8"/>
      <c r="E1364" s="8" t="s">
        <v>60</v>
      </c>
      <c r="F1364" s="8"/>
      <c r="G1364" s="8"/>
      <c r="H1364" s="8"/>
      <c r="I1364" s="8" t="s">
        <v>4724</v>
      </c>
      <c r="J1364" s="8" t="s">
        <v>72</v>
      </c>
      <c r="K1364" s="8" t="s">
        <v>4154</v>
      </c>
      <c r="L1364" s="8" t="s">
        <v>4282</v>
      </c>
      <c r="M1364" s="8"/>
      <c r="N1364" s="8" t="s">
        <v>62</v>
      </c>
      <c r="O1364" s="8" t="s">
        <v>63</v>
      </c>
      <c r="P1364" s="4" t="n">
        <v>49</v>
      </c>
      <c r="Q1364" s="8"/>
      <c r="R1364" s="4" t="s">
        <v>4725</v>
      </c>
      <c r="S1364" s="4"/>
    </row>
    <row r="1365" customFormat="false" ht="26.85" hidden="false" customHeight="false" outlineLevel="0" collapsed="false">
      <c r="A1365" s="4" t="s">
        <v>4726</v>
      </c>
      <c r="B1365" s="8" t="s">
        <v>4727</v>
      </c>
      <c r="C1365" s="8" t="s">
        <v>58</v>
      </c>
      <c r="D1365" s="8"/>
      <c r="E1365" s="8" t="s">
        <v>60</v>
      </c>
      <c r="F1365" s="8"/>
      <c r="G1365" s="8"/>
      <c r="H1365" s="8"/>
      <c r="I1365" s="8" t="s">
        <v>4728</v>
      </c>
      <c r="J1365" s="8" t="s">
        <v>72</v>
      </c>
      <c r="K1365" s="8" t="s">
        <v>4154</v>
      </c>
      <c r="L1365" s="8" t="s">
        <v>4282</v>
      </c>
      <c r="M1365" s="8"/>
      <c r="N1365" s="8" t="s">
        <v>62</v>
      </c>
      <c r="O1365" s="8" t="s">
        <v>63</v>
      </c>
      <c r="P1365" s="4" t="n">
        <v>49</v>
      </c>
      <c r="Q1365" s="8"/>
      <c r="R1365" s="4" t="s">
        <v>4729</v>
      </c>
      <c r="S1365" s="4"/>
    </row>
    <row r="1366" customFormat="false" ht="26.85" hidden="false" customHeight="false" outlineLevel="0" collapsed="false">
      <c r="A1366" s="4" t="s">
        <v>4730</v>
      </c>
      <c r="B1366" s="8" t="s">
        <v>2776</v>
      </c>
      <c r="C1366" s="8" t="s">
        <v>58</v>
      </c>
      <c r="D1366" s="8"/>
      <c r="E1366" s="8" t="s">
        <v>60</v>
      </c>
      <c r="F1366" s="8"/>
      <c r="G1366" s="8"/>
      <c r="H1366" s="8"/>
      <c r="I1366" s="8" t="s">
        <v>2777</v>
      </c>
      <c r="J1366" s="8" t="s">
        <v>72</v>
      </c>
      <c r="K1366" s="8" t="s">
        <v>4154</v>
      </c>
      <c r="L1366" s="8" t="s">
        <v>4282</v>
      </c>
      <c r="M1366" s="8"/>
      <c r="N1366" s="8" t="s">
        <v>62</v>
      </c>
      <c r="O1366" s="8" t="s">
        <v>63</v>
      </c>
      <c r="P1366" s="4" t="n">
        <v>49</v>
      </c>
      <c r="Q1366" s="8"/>
      <c r="R1366" s="4" t="s">
        <v>2778</v>
      </c>
      <c r="S1366" s="4"/>
    </row>
    <row r="1367" customFormat="false" ht="26.85" hidden="false" customHeight="false" outlineLevel="0" collapsed="false">
      <c r="A1367" s="4" t="s">
        <v>4731</v>
      </c>
      <c r="B1367" s="8" t="s">
        <v>2780</v>
      </c>
      <c r="C1367" s="8" t="s">
        <v>58</v>
      </c>
      <c r="D1367" s="8"/>
      <c r="E1367" s="8" t="s">
        <v>60</v>
      </c>
      <c r="F1367" s="8"/>
      <c r="G1367" s="8"/>
      <c r="H1367" s="8"/>
      <c r="I1367" s="8" t="s">
        <v>2781</v>
      </c>
      <c r="J1367" s="8" t="s">
        <v>72</v>
      </c>
      <c r="K1367" s="8" t="s">
        <v>4154</v>
      </c>
      <c r="L1367" s="8" t="s">
        <v>4282</v>
      </c>
      <c r="M1367" s="8"/>
      <c r="N1367" s="8" t="s">
        <v>62</v>
      </c>
      <c r="O1367" s="8" t="s">
        <v>63</v>
      </c>
      <c r="P1367" s="4" t="n">
        <v>49</v>
      </c>
      <c r="Q1367" s="8"/>
      <c r="R1367" s="4" t="s">
        <v>2782</v>
      </c>
      <c r="S1367" s="4"/>
    </row>
    <row r="1368" customFormat="false" ht="26.85" hidden="false" customHeight="false" outlineLevel="0" collapsed="false">
      <c r="A1368" s="4" t="s">
        <v>4732</v>
      </c>
      <c r="B1368" s="8" t="s">
        <v>4733</v>
      </c>
      <c r="C1368" s="8" t="s">
        <v>58</v>
      </c>
      <c r="D1368" s="8"/>
      <c r="E1368" s="8" t="s">
        <v>60</v>
      </c>
      <c r="F1368" s="8"/>
      <c r="G1368" s="8"/>
      <c r="H1368" s="8"/>
      <c r="I1368" s="8" t="s">
        <v>4734</v>
      </c>
      <c r="J1368" s="8" t="s">
        <v>72</v>
      </c>
      <c r="K1368" s="8" t="s">
        <v>4154</v>
      </c>
      <c r="L1368" s="8" t="s">
        <v>4282</v>
      </c>
      <c r="M1368" s="8"/>
      <c r="N1368" s="8" t="s">
        <v>62</v>
      </c>
      <c r="O1368" s="8" t="s">
        <v>63</v>
      </c>
      <c r="P1368" s="4" t="n">
        <v>49</v>
      </c>
      <c r="Q1368" s="8"/>
      <c r="R1368" s="4" t="s">
        <v>4735</v>
      </c>
      <c r="S1368" s="4"/>
    </row>
    <row r="1369" customFormat="false" ht="26.85" hidden="false" customHeight="false" outlineLevel="0" collapsed="false">
      <c r="A1369" s="4" t="s">
        <v>4736</v>
      </c>
      <c r="B1369" s="8" t="s">
        <v>2784</v>
      </c>
      <c r="C1369" s="8"/>
      <c r="D1369" s="8"/>
      <c r="E1369" s="8"/>
      <c r="F1369" s="8"/>
      <c r="G1369" s="8"/>
      <c r="H1369" s="8"/>
      <c r="I1369" s="8" t="s">
        <v>2785</v>
      </c>
      <c r="J1369" s="8" t="s">
        <v>72</v>
      </c>
      <c r="K1369" s="8" t="s">
        <v>4154</v>
      </c>
      <c r="L1369" s="8" t="s">
        <v>4282</v>
      </c>
      <c r="M1369" s="8"/>
      <c r="N1369" s="8" t="s">
        <v>62</v>
      </c>
      <c r="O1369" s="8" t="s">
        <v>63</v>
      </c>
      <c r="P1369" s="4" t="n">
        <v>49</v>
      </c>
      <c r="Q1369" s="8"/>
      <c r="R1369" s="4" t="s">
        <v>2784</v>
      </c>
      <c r="S1369" s="4"/>
    </row>
    <row r="1370" customFormat="false" ht="26.85" hidden="false" customHeight="false" outlineLevel="0" collapsed="false">
      <c r="A1370" s="4" t="s">
        <v>4737</v>
      </c>
      <c r="B1370" s="8" t="s">
        <v>4738</v>
      </c>
      <c r="C1370" s="8"/>
      <c r="D1370" s="8"/>
      <c r="E1370" s="8"/>
      <c r="F1370" s="8"/>
      <c r="G1370" s="8"/>
      <c r="H1370" s="8"/>
      <c r="I1370" s="8" t="s">
        <v>4739</v>
      </c>
      <c r="J1370" s="8" t="s">
        <v>72</v>
      </c>
      <c r="K1370" s="8" t="s">
        <v>4154</v>
      </c>
      <c r="L1370" s="8" t="s">
        <v>4282</v>
      </c>
      <c r="M1370" s="8"/>
      <c r="N1370" s="8" t="s">
        <v>62</v>
      </c>
      <c r="O1370" s="8" t="s">
        <v>63</v>
      </c>
      <c r="P1370" s="4" t="n">
        <v>49</v>
      </c>
      <c r="Q1370" s="8"/>
      <c r="R1370" s="4" t="s">
        <v>4738</v>
      </c>
      <c r="S1370" s="4"/>
    </row>
    <row r="1371" customFormat="false" ht="26.85" hidden="false" customHeight="false" outlineLevel="0" collapsed="false">
      <c r="A1371" s="4" t="s">
        <v>4740</v>
      </c>
      <c r="B1371" s="8" t="s">
        <v>4741</v>
      </c>
      <c r="C1371" s="8" t="s">
        <v>58</v>
      </c>
      <c r="D1371" s="8"/>
      <c r="E1371" s="8" t="s">
        <v>60</v>
      </c>
      <c r="F1371" s="8"/>
      <c r="G1371" s="8"/>
      <c r="H1371" s="8"/>
      <c r="I1371" s="8" t="s">
        <v>4742</v>
      </c>
      <c r="J1371" s="8" t="s">
        <v>72</v>
      </c>
      <c r="K1371" s="8" t="s">
        <v>4154</v>
      </c>
      <c r="L1371" s="8" t="s">
        <v>4282</v>
      </c>
      <c r="M1371" s="8"/>
      <c r="N1371" s="8" t="s">
        <v>62</v>
      </c>
      <c r="O1371" s="8" t="s">
        <v>63</v>
      </c>
      <c r="P1371" s="4" t="n">
        <v>49</v>
      </c>
      <c r="Q1371" s="8"/>
      <c r="R1371" s="4" t="s">
        <v>4743</v>
      </c>
      <c r="S1371" s="4"/>
    </row>
    <row r="1372" customFormat="false" ht="26.85" hidden="false" customHeight="false" outlineLevel="0" collapsed="false">
      <c r="A1372" s="4" t="s">
        <v>4744</v>
      </c>
      <c r="B1372" s="8" t="s">
        <v>4745</v>
      </c>
      <c r="C1372" s="8" t="s">
        <v>58</v>
      </c>
      <c r="D1372" s="8"/>
      <c r="E1372" s="8" t="s">
        <v>60</v>
      </c>
      <c r="F1372" s="8"/>
      <c r="G1372" s="8"/>
      <c r="H1372" s="8"/>
      <c r="I1372" s="8" t="s">
        <v>4746</v>
      </c>
      <c r="J1372" s="8" t="s">
        <v>72</v>
      </c>
      <c r="K1372" s="8" t="s">
        <v>4154</v>
      </c>
      <c r="L1372" s="8" t="s">
        <v>4282</v>
      </c>
      <c r="M1372" s="8"/>
      <c r="N1372" s="8" t="s">
        <v>62</v>
      </c>
      <c r="O1372" s="8" t="s">
        <v>63</v>
      </c>
      <c r="P1372" s="4" t="n">
        <v>49</v>
      </c>
      <c r="Q1372" s="8"/>
      <c r="R1372" s="4" t="s">
        <v>4747</v>
      </c>
      <c r="S1372" s="4" t="n">
        <v>397</v>
      </c>
    </row>
    <row r="1373" customFormat="false" ht="26.85" hidden="false" customHeight="false" outlineLevel="0" collapsed="false">
      <c r="A1373" s="4" t="s">
        <v>4748</v>
      </c>
      <c r="B1373" s="8" t="s">
        <v>4749</v>
      </c>
      <c r="C1373" s="8" t="s">
        <v>58</v>
      </c>
      <c r="D1373" s="8"/>
      <c r="E1373" s="8" t="s">
        <v>60</v>
      </c>
      <c r="F1373" s="8"/>
      <c r="G1373" s="8"/>
      <c r="H1373" s="8"/>
      <c r="I1373" s="8" t="s">
        <v>4750</v>
      </c>
      <c r="J1373" s="8" t="s">
        <v>72</v>
      </c>
      <c r="K1373" s="8" t="s">
        <v>4154</v>
      </c>
      <c r="L1373" s="8" t="s">
        <v>4282</v>
      </c>
      <c r="M1373" s="8"/>
      <c r="N1373" s="8" t="s">
        <v>62</v>
      </c>
      <c r="O1373" s="8" t="s">
        <v>63</v>
      </c>
      <c r="P1373" s="4" t="n">
        <v>50</v>
      </c>
      <c r="Q1373" s="8"/>
      <c r="R1373" s="4" t="s">
        <v>4751</v>
      </c>
      <c r="S1373" s="4"/>
    </row>
    <row r="1374" customFormat="false" ht="26.85" hidden="false" customHeight="false" outlineLevel="0" collapsed="false">
      <c r="A1374" s="4" t="s">
        <v>4752</v>
      </c>
      <c r="B1374" s="8" t="s">
        <v>4753</v>
      </c>
      <c r="C1374" s="8" t="s">
        <v>58</v>
      </c>
      <c r="D1374" s="8"/>
      <c r="E1374" s="8" t="s">
        <v>60</v>
      </c>
      <c r="F1374" s="8"/>
      <c r="G1374" s="8"/>
      <c r="H1374" s="8"/>
      <c r="I1374" s="8" t="s">
        <v>4754</v>
      </c>
      <c r="J1374" s="8" t="s">
        <v>72</v>
      </c>
      <c r="K1374" s="8" t="s">
        <v>4154</v>
      </c>
      <c r="L1374" s="8" t="s">
        <v>4755</v>
      </c>
      <c r="M1374" s="8"/>
      <c r="N1374" s="8" t="s">
        <v>62</v>
      </c>
      <c r="O1374" s="8" t="s">
        <v>63</v>
      </c>
      <c r="P1374" s="4" t="n">
        <v>50</v>
      </c>
      <c r="Q1374" s="8"/>
      <c r="R1374" s="4" t="s">
        <v>4756</v>
      </c>
      <c r="S1374" s="4"/>
    </row>
    <row r="1375" customFormat="false" ht="26.85" hidden="false" customHeight="false" outlineLevel="0" collapsed="false">
      <c r="A1375" s="4" t="s">
        <v>4757</v>
      </c>
      <c r="B1375" s="8" t="s">
        <v>4758</v>
      </c>
      <c r="C1375" s="8" t="s">
        <v>58</v>
      </c>
      <c r="D1375" s="8"/>
      <c r="E1375" s="8" t="s">
        <v>60</v>
      </c>
      <c r="F1375" s="8"/>
      <c r="G1375" s="8"/>
      <c r="H1375" s="8"/>
      <c r="I1375" s="8" t="s">
        <v>4759</v>
      </c>
      <c r="J1375" s="8" t="s">
        <v>72</v>
      </c>
      <c r="K1375" s="8" t="s">
        <v>4154</v>
      </c>
      <c r="L1375" s="8" t="s">
        <v>4755</v>
      </c>
      <c r="M1375" s="8"/>
      <c r="N1375" s="8" t="s">
        <v>62</v>
      </c>
      <c r="O1375" s="8" t="s">
        <v>63</v>
      </c>
      <c r="P1375" s="4" t="n">
        <v>50</v>
      </c>
      <c r="Q1375" s="8"/>
      <c r="R1375" s="4" t="s">
        <v>4760</v>
      </c>
      <c r="S1375" s="4" t="n">
        <v>141</v>
      </c>
    </row>
    <row r="1376" customFormat="false" ht="26.85" hidden="false" customHeight="false" outlineLevel="0" collapsed="false">
      <c r="A1376" s="4" t="s">
        <v>4761</v>
      </c>
      <c r="B1376" s="8" t="s">
        <v>4762</v>
      </c>
      <c r="C1376" s="8"/>
      <c r="D1376" s="8"/>
      <c r="E1376" s="8"/>
      <c r="F1376" s="8"/>
      <c r="G1376" s="8"/>
      <c r="H1376" s="8"/>
      <c r="I1376" s="8" t="s">
        <v>4763</v>
      </c>
      <c r="J1376" s="8" t="s">
        <v>72</v>
      </c>
      <c r="K1376" s="8" t="s">
        <v>4154</v>
      </c>
      <c r="L1376" s="8" t="s">
        <v>4755</v>
      </c>
      <c r="M1376" s="8"/>
      <c r="N1376" s="8" t="s">
        <v>62</v>
      </c>
      <c r="O1376" s="8" t="s">
        <v>63</v>
      </c>
      <c r="P1376" s="4" t="n">
        <v>50</v>
      </c>
      <c r="Q1376" s="8"/>
      <c r="R1376" s="4" t="s">
        <v>4762</v>
      </c>
      <c r="S1376" s="4"/>
    </row>
    <row r="1377" customFormat="false" ht="26.85" hidden="false" customHeight="false" outlineLevel="0" collapsed="false">
      <c r="A1377" s="4" t="s">
        <v>4764</v>
      </c>
      <c r="B1377" s="8" t="s">
        <v>4765</v>
      </c>
      <c r="C1377" s="8"/>
      <c r="D1377" s="8"/>
      <c r="E1377" s="8"/>
      <c r="F1377" s="8"/>
      <c r="G1377" s="8"/>
      <c r="H1377" s="8"/>
      <c r="I1377" s="8" t="s">
        <v>4766</v>
      </c>
      <c r="J1377" s="8" t="s">
        <v>72</v>
      </c>
      <c r="K1377" s="8" t="s">
        <v>4154</v>
      </c>
      <c r="L1377" s="8" t="s">
        <v>4755</v>
      </c>
      <c r="M1377" s="8"/>
      <c r="N1377" s="8" t="s">
        <v>62</v>
      </c>
      <c r="O1377" s="8" t="s">
        <v>63</v>
      </c>
      <c r="P1377" s="4" t="n">
        <v>50</v>
      </c>
      <c r="Q1377" s="8"/>
      <c r="R1377" s="4" t="s">
        <v>4765</v>
      </c>
      <c r="S1377" s="4"/>
    </row>
    <row r="1378" customFormat="false" ht="26.85" hidden="false" customHeight="false" outlineLevel="0" collapsed="false">
      <c r="A1378" s="4" t="s">
        <v>4767</v>
      </c>
      <c r="B1378" s="8" t="s">
        <v>4768</v>
      </c>
      <c r="C1378" s="8" t="s">
        <v>58</v>
      </c>
      <c r="D1378" s="8"/>
      <c r="E1378" s="8" t="s">
        <v>60</v>
      </c>
      <c r="F1378" s="8"/>
      <c r="G1378" s="8"/>
      <c r="H1378" s="8"/>
      <c r="I1378" s="8" t="s">
        <v>4769</v>
      </c>
      <c r="J1378" s="8" t="s">
        <v>72</v>
      </c>
      <c r="K1378" s="8" t="s">
        <v>4154</v>
      </c>
      <c r="L1378" s="8" t="s">
        <v>4755</v>
      </c>
      <c r="M1378" s="8"/>
      <c r="N1378" s="8" t="s">
        <v>62</v>
      </c>
      <c r="O1378" s="8" t="s">
        <v>63</v>
      </c>
      <c r="P1378" s="4" t="n">
        <v>50</v>
      </c>
      <c r="Q1378" s="8"/>
      <c r="R1378" s="4" t="s">
        <v>4770</v>
      </c>
      <c r="S1378" s="4" t="n">
        <v>850</v>
      </c>
    </row>
    <row r="1379" customFormat="false" ht="26.85" hidden="false" customHeight="false" outlineLevel="0" collapsed="false">
      <c r="A1379" s="4" t="s">
        <v>4771</v>
      </c>
      <c r="B1379" s="8" t="s">
        <v>4772</v>
      </c>
      <c r="C1379" s="8" t="s">
        <v>58</v>
      </c>
      <c r="D1379" s="8"/>
      <c r="E1379" s="8" t="s">
        <v>60</v>
      </c>
      <c r="F1379" s="8"/>
      <c r="G1379" s="8"/>
      <c r="H1379" s="8"/>
      <c r="I1379" s="8" t="s">
        <v>4773</v>
      </c>
      <c r="J1379" s="8" t="s">
        <v>72</v>
      </c>
      <c r="K1379" s="8" t="s">
        <v>4154</v>
      </c>
      <c r="L1379" s="8" t="s">
        <v>4755</v>
      </c>
      <c r="M1379" s="8"/>
      <c r="N1379" s="8" t="s">
        <v>62</v>
      </c>
      <c r="O1379" s="8" t="s">
        <v>63</v>
      </c>
      <c r="P1379" s="4" t="n">
        <v>50</v>
      </c>
      <c r="Q1379" s="8"/>
      <c r="R1379" s="4" t="s">
        <v>4774</v>
      </c>
      <c r="S1379" s="4"/>
    </row>
    <row r="1380" customFormat="false" ht="26.85" hidden="false" customHeight="false" outlineLevel="0" collapsed="false">
      <c r="A1380" s="4" t="s">
        <v>4775</v>
      </c>
      <c r="B1380" s="8" t="s">
        <v>4776</v>
      </c>
      <c r="C1380" s="8"/>
      <c r="D1380" s="8"/>
      <c r="E1380" s="8"/>
      <c r="F1380" s="8"/>
      <c r="G1380" s="8"/>
      <c r="H1380" s="8"/>
      <c r="I1380" s="8" t="s">
        <v>4777</v>
      </c>
      <c r="J1380" s="8" t="s">
        <v>72</v>
      </c>
      <c r="K1380" s="8" t="s">
        <v>4154</v>
      </c>
      <c r="L1380" s="8" t="s">
        <v>4755</v>
      </c>
      <c r="M1380" s="8"/>
      <c r="N1380" s="8" t="s">
        <v>62</v>
      </c>
      <c r="O1380" s="8" t="s">
        <v>63</v>
      </c>
      <c r="P1380" s="4" t="n">
        <v>50</v>
      </c>
      <c r="Q1380" s="8"/>
      <c r="R1380" s="4" t="s">
        <v>4776</v>
      </c>
      <c r="S1380" s="4"/>
    </row>
    <row r="1381" customFormat="false" ht="26.85" hidden="false" customHeight="false" outlineLevel="0" collapsed="false">
      <c r="A1381" s="4" t="s">
        <v>4778</v>
      </c>
      <c r="B1381" s="8" t="s">
        <v>4779</v>
      </c>
      <c r="C1381" s="8"/>
      <c r="D1381" s="8"/>
      <c r="E1381" s="8"/>
      <c r="F1381" s="8"/>
      <c r="G1381" s="8"/>
      <c r="H1381" s="8"/>
      <c r="I1381" s="8" t="s">
        <v>4780</v>
      </c>
      <c r="J1381" s="8" t="s">
        <v>72</v>
      </c>
      <c r="K1381" s="8" t="s">
        <v>4154</v>
      </c>
      <c r="L1381" s="8" t="s">
        <v>4755</v>
      </c>
      <c r="M1381" s="8"/>
      <c r="N1381" s="8" t="s">
        <v>62</v>
      </c>
      <c r="O1381" s="8" t="s">
        <v>63</v>
      </c>
      <c r="P1381" s="4" t="n">
        <v>50</v>
      </c>
      <c r="Q1381" s="8"/>
      <c r="R1381" s="4" t="s">
        <v>4779</v>
      </c>
      <c r="S1381" s="4"/>
    </row>
    <row r="1382" customFormat="false" ht="26.85" hidden="false" customHeight="false" outlineLevel="0" collapsed="false">
      <c r="A1382" s="4" t="s">
        <v>4781</v>
      </c>
      <c r="B1382" s="8" t="s">
        <v>4782</v>
      </c>
      <c r="C1382" s="8"/>
      <c r="D1382" s="8"/>
      <c r="E1382" s="8"/>
      <c r="F1382" s="8"/>
      <c r="G1382" s="8"/>
      <c r="H1382" s="8"/>
      <c r="I1382" s="8" t="s">
        <v>4783</v>
      </c>
      <c r="J1382" s="8" t="s">
        <v>72</v>
      </c>
      <c r="K1382" s="8" t="s">
        <v>4154</v>
      </c>
      <c r="L1382" s="8" t="s">
        <v>4755</v>
      </c>
      <c r="M1382" s="8"/>
      <c r="N1382" s="8" t="s">
        <v>62</v>
      </c>
      <c r="O1382" s="8" t="s">
        <v>63</v>
      </c>
      <c r="P1382" s="4" t="n">
        <v>50</v>
      </c>
      <c r="Q1382" s="8"/>
      <c r="R1382" s="4" t="s">
        <v>4782</v>
      </c>
      <c r="S1382" s="4"/>
    </row>
    <row r="1383" customFormat="false" ht="26.85" hidden="false" customHeight="false" outlineLevel="0" collapsed="false">
      <c r="A1383" s="4" t="s">
        <v>4784</v>
      </c>
      <c r="B1383" s="8" t="s">
        <v>4785</v>
      </c>
      <c r="C1383" s="8"/>
      <c r="D1383" s="8"/>
      <c r="E1383" s="8"/>
      <c r="F1383" s="8"/>
      <c r="G1383" s="8"/>
      <c r="H1383" s="8"/>
      <c r="I1383" s="8" t="s">
        <v>4786</v>
      </c>
      <c r="J1383" s="8" t="s">
        <v>72</v>
      </c>
      <c r="K1383" s="8" t="s">
        <v>4154</v>
      </c>
      <c r="L1383" s="8" t="s">
        <v>4755</v>
      </c>
      <c r="M1383" s="8"/>
      <c r="N1383" s="8" t="s">
        <v>62</v>
      </c>
      <c r="O1383" s="8" t="s">
        <v>63</v>
      </c>
      <c r="P1383" s="4" t="n">
        <v>50</v>
      </c>
      <c r="Q1383" s="8"/>
      <c r="R1383" s="4" t="s">
        <v>4785</v>
      </c>
      <c r="S1383" s="4"/>
    </row>
    <row r="1384" customFormat="false" ht="26.85" hidden="false" customHeight="false" outlineLevel="0" collapsed="false">
      <c r="A1384" s="4" t="s">
        <v>4787</v>
      </c>
      <c r="B1384" s="8" t="s">
        <v>4788</v>
      </c>
      <c r="C1384" s="8"/>
      <c r="D1384" s="8"/>
      <c r="E1384" s="8"/>
      <c r="F1384" s="8"/>
      <c r="G1384" s="8"/>
      <c r="H1384" s="8"/>
      <c r="I1384" s="8" t="s">
        <v>4789</v>
      </c>
      <c r="J1384" s="8" t="s">
        <v>72</v>
      </c>
      <c r="K1384" s="8" t="s">
        <v>4154</v>
      </c>
      <c r="L1384" s="8" t="s">
        <v>4755</v>
      </c>
      <c r="M1384" s="8"/>
      <c r="N1384" s="8" t="s">
        <v>62</v>
      </c>
      <c r="O1384" s="8" t="s">
        <v>63</v>
      </c>
      <c r="P1384" s="4" t="n">
        <v>50</v>
      </c>
      <c r="Q1384" s="8"/>
      <c r="R1384" s="4" t="s">
        <v>4788</v>
      </c>
      <c r="S1384" s="4" t="n">
        <v>519</v>
      </c>
    </row>
    <row r="1385" customFormat="false" ht="26.85" hidden="false" customHeight="false" outlineLevel="0" collapsed="false">
      <c r="A1385" s="4" t="s">
        <v>4790</v>
      </c>
      <c r="B1385" s="8" t="s">
        <v>4791</v>
      </c>
      <c r="C1385" s="8"/>
      <c r="D1385" s="8"/>
      <c r="E1385" s="8"/>
      <c r="F1385" s="8"/>
      <c r="G1385" s="8"/>
      <c r="H1385" s="8"/>
      <c r="I1385" s="8" t="s">
        <v>4792</v>
      </c>
      <c r="J1385" s="8" t="s">
        <v>72</v>
      </c>
      <c r="K1385" s="8" t="s">
        <v>4154</v>
      </c>
      <c r="L1385" s="8" t="s">
        <v>4755</v>
      </c>
      <c r="M1385" s="8"/>
      <c r="N1385" s="8" t="s">
        <v>62</v>
      </c>
      <c r="O1385" s="8" t="s">
        <v>63</v>
      </c>
      <c r="P1385" s="4" t="n">
        <v>50</v>
      </c>
      <c r="Q1385" s="8"/>
      <c r="R1385" s="4" t="s">
        <v>4791</v>
      </c>
      <c r="S1385" s="4"/>
    </row>
    <row r="1386" customFormat="false" ht="26.85" hidden="false" customHeight="false" outlineLevel="0" collapsed="false">
      <c r="A1386" s="4" t="s">
        <v>4793</v>
      </c>
      <c r="B1386" s="8" t="s">
        <v>4794</v>
      </c>
      <c r="C1386" s="8"/>
      <c r="D1386" s="8"/>
      <c r="E1386" s="8"/>
      <c r="F1386" s="8"/>
      <c r="G1386" s="8"/>
      <c r="H1386" s="8"/>
      <c r="I1386" s="8" t="s">
        <v>4795</v>
      </c>
      <c r="J1386" s="8" t="s">
        <v>72</v>
      </c>
      <c r="K1386" s="8" t="s">
        <v>4154</v>
      </c>
      <c r="L1386" s="8" t="s">
        <v>4755</v>
      </c>
      <c r="M1386" s="8"/>
      <c r="N1386" s="8" t="s">
        <v>62</v>
      </c>
      <c r="O1386" s="8" t="s">
        <v>63</v>
      </c>
      <c r="P1386" s="4" t="n">
        <v>50</v>
      </c>
      <c r="Q1386" s="8"/>
      <c r="R1386" s="4" t="s">
        <v>4794</v>
      </c>
      <c r="S1386" s="4"/>
    </row>
    <row r="1387" customFormat="false" ht="26.85" hidden="false" customHeight="false" outlineLevel="0" collapsed="false">
      <c r="A1387" s="4" t="s">
        <v>4796</v>
      </c>
      <c r="B1387" s="8" t="s">
        <v>4797</v>
      </c>
      <c r="C1387" s="8" t="s">
        <v>58</v>
      </c>
      <c r="D1387" s="8"/>
      <c r="E1387" s="8" t="s">
        <v>60</v>
      </c>
      <c r="F1387" s="8"/>
      <c r="G1387" s="8"/>
      <c r="H1387" s="8"/>
      <c r="I1387" s="8" t="s">
        <v>4798</v>
      </c>
      <c r="J1387" s="8" t="s">
        <v>72</v>
      </c>
      <c r="K1387" s="8" t="s">
        <v>4154</v>
      </c>
      <c r="L1387" s="8" t="s">
        <v>4755</v>
      </c>
      <c r="M1387" s="8"/>
      <c r="N1387" s="8" t="s">
        <v>62</v>
      </c>
      <c r="O1387" s="8" t="s">
        <v>63</v>
      </c>
      <c r="P1387" s="4" t="n">
        <v>50</v>
      </c>
      <c r="Q1387" s="8"/>
      <c r="R1387" s="4" t="s">
        <v>4799</v>
      </c>
      <c r="S1387" s="4"/>
    </row>
    <row r="1388" customFormat="false" ht="26.85" hidden="false" customHeight="false" outlineLevel="0" collapsed="false">
      <c r="A1388" s="4" t="s">
        <v>4800</v>
      </c>
      <c r="B1388" s="8" t="s">
        <v>4801</v>
      </c>
      <c r="C1388" s="8"/>
      <c r="D1388" s="8"/>
      <c r="E1388" s="8"/>
      <c r="F1388" s="8"/>
      <c r="G1388" s="8"/>
      <c r="H1388" s="8"/>
      <c r="I1388" s="8" t="s">
        <v>4802</v>
      </c>
      <c r="J1388" s="8" t="s">
        <v>72</v>
      </c>
      <c r="K1388" s="8" t="s">
        <v>4154</v>
      </c>
      <c r="L1388" s="8" t="s">
        <v>4755</v>
      </c>
      <c r="M1388" s="8"/>
      <c r="N1388" s="8" t="s">
        <v>62</v>
      </c>
      <c r="O1388" s="8" t="s">
        <v>63</v>
      </c>
      <c r="P1388" s="4" t="n">
        <v>50</v>
      </c>
      <c r="Q1388" s="8"/>
      <c r="R1388" s="4" t="s">
        <v>4801</v>
      </c>
      <c r="S1388" s="4"/>
    </row>
    <row r="1389" customFormat="false" ht="26.85" hidden="false" customHeight="false" outlineLevel="0" collapsed="false">
      <c r="A1389" s="4" t="s">
        <v>4803</v>
      </c>
      <c r="B1389" s="8" t="s">
        <v>4804</v>
      </c>
      <c r="C1389" s="8"/>
      <c r="D1389" s="8"/>
      <c r="E1389" s="8"/>
      <c r="F1389" s="8"/>
      <c r="G1389" s="8"/>
      <c r="H1389" s="8"/>
      <c r="I1389" s="8" t="s">
        <v>4805</v>
      </c>
      <c r="J1389" s="8" t="s">
        <v>72</v>
      </c>
      <c r="K1389" s="8" t="s">
        <v>4154</v>
      </c>
      <c r="L1389" s="8" t="s">
        <v>4755</v>
      </c>
      <c r="M1389" s="8"/>
      <c r="N1389" s="8" t="s">
        <v>62</v>
      </c>
      <c r="O1389" s="8" t="s">
        <v>63</v>
      </c>
      <c r="P1389" s="4" t="n">
        <v>50</v>
      </c>
      <c r="Q1389" s="8"/>
      <c r="R1389" s="4" t="s">
        <v>4804</v>
      </c>
      <c r="S1389" s="4"/>
    </row>
    <row r="1390" customFormat="false" ht="26.85" hidden="false" customHeight="false" outlineLevel="0" collapsed="false">
      <c r="A1390" s="4" t="s">
        <v>4806</v>
      </c>
      <c r="B1390" s="8" t="s">
        <v>4807</v>
      </c>
      <c r="C1390" s="8"/>
      <c r="D1390" s="8"/>
      <c r="E1390" s="8"/>
      <c r="F1390" s="8"/>
      <c r="G1390" s="8"/>
      <c r="H1390" s="8"/>
      <c r="I1390" s="8" t="s">
        <v>4808</v>
      </c>
      <c r="J1390" s="8" t="s">
        <v>72</v>
      </c>
      <c r="K1390" s="8" t="s">
        <v>4154</v>
      </c>
      <c r="L1390" s="8" t="s">
        <v>4755</v>
      </c>
      <c r="M1390" s="8"/>
      <c r="N1390" s="8" t="s">
        <v>62</v>
      </c>
      <c r="O1390" s="8" t="s">
        <v>63</v>
      </c>
      <c r="P1390" s="4" t="n">
        <v>50</v>
      </c>
      <c r="Q1390" s="8"/>
      <c r="R1390" s="4" t="s">
        <v>4807</v>
      </c>
      <c r="S1390" s="4"/>
    </row>
    <row r="1391" customFormat="false" ht="26.85" hidden="false" customHeight="false" outlineLevel="0" collapsed="false">
      <c r="A1391" s="4" t="s">
        <v>4809</v>
      </c>
      <c r="B1391" s="8" t="s">
        <v>4810</v>
      </c>
      <c r="C1391" s="8"/>
      <c r="D1391" s="8"/>
      <c r="E1391" s="8"/>
      <c r="F1391" s="8"/>
      <c r="G1391" s="8"/>
      <c r="H1391" s="8"/>
      <c r="I1391" s="8" t="s">
        <v>4811</v>
      </c>
      <c r="J1391" s="8" t="s">
        <v>72</v>
      </c>
      <c r="K1391" s="8" t="s">
        <v>4154</v>
      </c>
      <c r="L1391" s="8" t="s">
        <v>4755</v>
      </c>
      <c r="M1391" s="8"/>
      <c r="N1391" s="8" t="s">
        <v>62</v>
      </c>
      <c r="O1391" s="8" t="s">
        <v>63</v>
      </c>
      <c r="P1391" s="4" t="n">
        <v>50</v>
      </c>
      <c r="Q1391" s="8"/>
      <c r="R1391" s="4" t="s">
        <v>4810</v>
      </c>
      <c r="S1391" s="4" t="n">
        <v>209</v>
      </c>
    </row>
    <row r="1392" customFormat="false" ht="26.85" hidden="false" customHeight="false" outlineLevel="0" collapsed="false">
      <c r="A1392" s="4" t="s">
        <v>4812</v>
      </c>
      <c r="B1392" s="8" t="s">
        <v>4813</v>
      </c>
      <c r="C1392" s="8"/>
      <c r="D1392" s="8"/>
      <c r="E1392" s="8"/>
      <c r="F1392" s="8"/>
      <c r="G1392" s="8"/>
      <c r="H1392" s="8"/>
      <c r="I1392" s="8" t="s">
        <v>4814</v>
      </c>
      <c r="J1392" s="8" t="s">
        <v>72</v>
      </c>
      <c r="K1392" s="8" t="s">
        <v>4154</v>
      </c>
      <c r="L1392" s="8" t="s">
        <v>4755</v>
      </c>
      <c r="M1392" s="8"/>
      <c r="N1392" s="8" t="s">
        <v>62</v>
      </c>
      <c r="O1392" s="8" t="s">
        <v>63</v>
      </c>
      <c r="P1392" s="4" t="n">
        <v>50</v>
      </c>
      <c r="Q1392" s="8"/>
      <c r="R1392" s="4" t="s">
        <v>4813</v>
      </c>
      <c r="S1392" s="4"/>
    </row>
    <row r="1393" customFormat="false" ht="26.85" hidden="false" customHeight="false" outlineLevel="0" collapsed="false">
      <c r="A1393" s="4" t="s">
        <v>4815</v>
      </c>
      <c r="B1393" s="8" t="s">
        <v>4816</v>
      </c>
      <c r="C1393" s="8"/>
      <c r="D1393" s="8"/>
      <c r="E1393" s="8"/>
      <c r="F1393" s="8"/>
      <c r="G1393" s="8"/>
      <c r="H1393" s="8"/>
      <c r="I1393" s="8" t="s">
        <v>4817</v>
      </c>
      <c r="J1393" s="8" t="s">
        <v>72</v>
      </c>
      <c r="K1393" s="8" t="s">
        <v>4154</v>
      </c>
      <c r="L1393" s="8" t="s">
        <v>4818</v>
      </c>
      <c r="M1393" s="8"/>
      <c r="N1393" s="8" t="s">
        <v>62</v>
      </c>
      <c r="O1393" s="8" t="s">
        <v>63</v>
      </c>
      <c r="P1393" s="4" t="n">
        <v>50</v>
      </c>
      <c r="Q1393" s="8"/>
      <c r="R1393" s="4" t="s">
        <v>4816</v>
      </c>
      <c r="S1393" s="4"/>
    </row>
    <row r="1394" customFormat="false" ht="26.85" hidden="false" customHeight="false" outlineLevel="0" collapsed="false">
      <c r="A1394" s="4" t="s">
        <v>4819</v>
      </c>
      <c r="B1394" s="8" t="s">
        <v>4820</v>
      </c>
      <c r="C1394" s="8"/>
      <c r="D1394" s="8"/>
      <c r="E1394" s="8"/>
      <c r="F1394" s="8"/>
      <c r="G1394" s="8"/>
      <c r="H1394" s="8"/>
      <c r="I1394" s="8" t="s">
        <v>4821</v>
      </c>
      <c r="J1394" s="8" t="s">
        <v>72</v>
      </c>
      <c r="K1394" s="8" t="s">
        <v>4154</v>
      </c>
      <c r="L1394" s="8" t="s">
        <v>4818</v>
      </c>
      <c r="M1394" s="8"/>
      <c r="N1394" s="8" t="s">
        <v>62</v>
      </c>
      <c r="O1394" s="8" t="s">
        <v>63</v>
      </c>
      <c r="P1394" s="4" t="n">
        <v>50</v>
      </c>
      <c r="Q1394" s="8"/>
      <c r="R1394" s="4" t="s">
        <v>4820</v>
      </c>
      <c r="S1394" s="4"/>
    </row>
    <row r="1395" customFormat="false" ht="26.85" hidden="false" customHeight="false" outlineLevel="0" collapsed="false">
      <c r="A1395" s="4" t="s">
        <v>4822</v>
      </c>
      <c r="B1395" s="8" t="s">
        <v>4823</v>
      </c>
      <c r="C1395" s="8"/>
      <c r="D1395" s="8"/>
      <c r="E1395" s="8"/>
      <c r="F1395" s="8"/>
      <c r="G1395" s="8"/>
      <c r="H1395" s="8"/>
      <c r="I1395" s="8" t="s">
        <v>4824</v>
      </c>
      <c r="J1395" s="8" t="s">
        <v>72</v>
      </c>
      <c r="K1395" s="8" t="s">
        <v>4154</v>
      </c>
      <c r="L1395" s="8" t="s">
        <v>4818</v>
      </c>
      <c r="M1395" s="8"/>
      <c r="N1395" s="8" t="s">
        <v>62</v>
      </c>
      <c r="O1395" s="8" t="s">
        <v>63</v>
      </c>
      <c r="P1395" s="4" t="n">
        <v>50</v>
      </c>
      <c r="Q1395" s="8"/>
      <c r="R1395" s="4" t="s">
        <v>4823</v>
      </c>
      <c r="S1395" s="4"/>
    </row>
    <row r="1396" customFormat="false" ht="26.85" hidden="false" customHeight="false" outlineLevel="0" collapsed="false">
      <c r="A1396" s="4" t="s">
        <v>4825</v>
      </c>
      <c r="B1396" s="8" t="s">
        <v>4826</v>
      </c>
      <c r="C1396" s="8" t="s">
        <v>58</v>
      </c>
      <c r="D1396" s="8"/>
      <c r="E1396" s="8" t="s">
        <v>60</v>
      </c>
      <c r="F1396" s="8"/>
      <c r="G1396" s="8"/>
      <c r="H1396" s="8"/>
      <c r="I1396" s="8" t="s">
        <v>4827</v>
      </c>
      <c r="J1396" s="8" t="s">
        <v>72</v>
      </c>
      <c r="K1396" s="8" t="s">
        <v>4154</v>
      </c>
      <c r="L1396" s="8" t="s">
        <v>4818</v>
      </c>
      <c r="M1396" s="8"/>
      <c r="N1396" s="8" t="s">
        <v>62</v>
      </c>
      <c r="O1396" s="8" t="s">
        <v>63</v>
      </c>
      <c r="P1396" s="4" t="n">
        <v>50</v>
      </c>
      <c r="Q1396" s="8"/>
      <c r="R1396" s="4" t="s">
        <v>4828</v>
      </c>
      <c r="S1396" s="4"/>
    </row>
    <row r="1397" customFormat="false" ht="26.85" hidden="false" customHeight="false" outlineLevel="0" collapsed="false">
      <c r="A1397" s="4" t="s">
        <v>4829</v>
      </c>
      <c r="B1397" s="8" t="s">
        <v>4830</v>
      </c>
      <c r="C1397" s="8"/>
      <c r="D1397" s="8"/>
      <c r="E1397" s="8"/>
      <c r="F1397" s="8"/>
      <c r="G1397" s="8"/>
      <c r="H1397" s="8"/>
      <c r="I1397" s="8" t="s">
        <v>4831</v>
      </c>
      <c r="J1397" s="8" t="s">
        <v>72</v>
      </c>
      <c r="K1397" s="8" t="s">
        <v>4154</v>
      </c>
      <c r="L1397" s="8" t="s">
        <v>4818</v>
      </c>
      <c r="M1397" s="8"/>
      <c r="N1397" s="8" t="s">
        <v>62</v>
      </c>
      <c r="O1397" s="8" t="s">
        <v>63</v>
      </c>
      <c r="P1397" s="4" t="n">
        <v>50</v>
      </c>
      <c r="Q1397" s="8"/>
      <c r="R1397" s="4" t="s">
        <v>4830</v>
      </c>
      <c r="S1397" s="4"/>
    </row>
    <row r="1398" customFormat="false" ht="26.85" hidden="false" customHeight="false" outlineLevel="0" collapsed="false">
      <c r="A1398" s="4" t="s">
        <v>4832</v>
      </c>
      <c r="B1398" s="8" t="s">
        <v>4833</v>
      </c>
      <c r="C1398" s="8"/>
      <c r="D1398" s="8"/>
      <c r="E1398" s="8"/>
      <c r="F1398" s="8"/>
      <c r="G1398" s="8"/>
      <c r="H1398" s="8"/>
      <c r="I1398" s="8" t="s">
        <v>4834</v>
      </c>
      <c r="J1398" s="8" t="s">
        <v>72</v>
      </c>
      <c r="K1398" s="8" t="s">
        <v>4154</v>
      </c>
      <c r="L1398" s="8" t="s">
        <v>4818</v>
      </c>
      <c r="M1398" s="8"/>
      <c r="N1398" s="8" t="s">
        <v>62</v>
      </c>
      <c r="O1398" s="8" t="s">
        <v>63</v>
      </c>
      <c r="P1398" s="4" t="n">
        <v>50</v>
      </c>
      <c r="Q1398" s="8"/>
      <c r="R1398" s="4" t="s">
        <v>4833</v>
      </c>
      <c r="S1398" s="4"/>
    </row>
    <row r="1399" customFormat="false" ht="26.85" hidden="false" customHeight="false" outlineLevel="0" collapsed="false">
      <c r="A1399" s="4" t="s">
        <v>4835</v>
      </c>
      <c r="B1399" s="8" t="s">
        <v>4836</v>
      </c>
      <c r="C1399" s="8"/>
      <c r="D1399" s="8"/>
      <c r="E1399" s="8"/>
      <c r="F1399" s="8"/>
      <c r="G1399" s="8"/>
      <c r="H1399" s="8"/>
      <c r="I1399" s="8" t="s">
        <v>4837</v>
      </c>
      <c r="J1399" s="8" t="s">
        <v>72</v>
      </c>
      <c r="K1399" s="8" t="s">
        <v>4154</v>
      </c>
      <c r="L1399" s="8" t="s">
        <v>4818</v>
      </c>
      <c r="M1399" s="8"/>
      <c r="N1399" s="8" t="s">
        <v>62</v>
      </c>
      <c r="O1399" s="8" t="s">
        <v>63</v>
      </c>
      <c r="P1399" s="4" t="n">
        <v>50</v>
      </c>
      <c r="Q1399" s="8"/>
      <c r="R1399" s="4" t="s">
        <v>4836</v>
      </c>
      <c r="S1399" s="4"/>
    </row>
    <row r="1400" customFormat="false" ht="26.85" hidden="false" customHeight="false" outlineLevel="0" collapsed="false">
      <c r="A1400" s="4" t="s">
        <v>4838</v>
      </c>
      <c r="B1400" s="8" t="s">
        <v>4839</v>
      </c>
      <c r="C1400" s="8" t="s">
        <v>58</v>
      </c>
      <c r="D1400" s="8"/>
      <c r="E1400" s="8" t="s">
        <v>60</v>
      </c>
      <c r="F1400" s="8"/>
      <c r="G1400" s="8"/>
      <c r="H1400" s="8"/>
      <c r="I1400" s="8" t="s">
        <v>4840</v>
      </c>
      <c r="J1400" s="8" t="s">
        <v>72</v>
      </c>
      <c r="K1400" s="8" t="s">
        <v>4154</v>
      </c>
      <c r="L1400" s="8" t="s">
        <v>4818</v>
      </c>
      <c r="M1400" s="8"/>
      <c r="N1400" s="8" t="s">
        <v>62</v>
      </c>
      <c r="O1400" s="8" t="s">
        <v>63</v>
      </c>
      <c r="P1400" s="4" t="n">
        <v>50</v>
      </c>
      <c r="Q1400" s="8"/>
      <c r="R1400" s="4" t="s">
        <v>4841</v>
      </c>
      <c r="S1400" s="4"/>
    </row>
    <row r="1401" customFormat="false" ht="26.85" hidden="false" customHeight="false" outlineLevel="0" collapsed="false">
      <c r="A1401" s="4" t="s">
        <v>4842</v>
      </c>
      <c r="B1401" s="8" t="s">
        <v>4843</v>
      </c>
      <c r="C1401" s="8"/>
      <c r="D1401" s="8"/>
      <c r="E1401" s="8"/>
      <c r="F1401" s="8"/>
      <c r="G1401" s="8"/>
      <c r="H1401" s="8"/>
      <c r="I1401" s="8" t="s">
        <v>4844</v>
      </c>
      <c r="J1401" s="8" t="s">
        <v>72</v>
      </c>
      <c r="K1401" s="8" t="s">
        <v>4154</v>
      </c>
      <c r="L1401" s="8" t="s">
        <v>4818</v>
      </c>
      <c r="M1401" s="8"/>
      <c r="N1401" s="8" t="s">
        <v>62</v>
      </c>
      <c r="O1401" s="8" t="s">
        <v>63</v>
      </c>
      <c r="P1401" s="4" t="n">
        <v>50</v>
      </c>
      <c r="Q1401" s="8"/>
      <c r="R1401" s="4" t="s">
        <v>4843</v>
      </c>
      <c r="S1401" s="4"/>
    </row>
    <row r="1402" customFormat="false" ht="26.85" hidden="false" customHeight="false" outlineLevel="0" collapsed="false">
      <c r="A1402" s="4" t="s">
        <v>4845</v>
      </c>
      <c r="B1402" s="8" t="s">
        <v>4555</v>
      </c>
      <c r="C1402" s="8" t="s">
        <v>58</v>
      </c>
      <c r="D1402" s="8"/>
      <c r="E1402" s="8" t="s">
        <v>60</v>
      </c>
      <c r="F1402" s="8"/>
      <c r="G1402" s="8"/>
      <c r="H1402" s="8"/>
      <c r="I1402" s="8" t="s">
        <v>4846</v>
      </c>
      <c r="J1402" s="8" t="s">
        <v>72</v>
      </c>
      <c r="K1402" s="8" t="s">
        <v>4154</v>
      </c>
      <c r="L1402" s="8" t="s">
        <v>4818</v>
      </c>
      <c r="M1402" s="8"/>
      <c r="N1402" s="8" t="s">
        <v>62</v>
      </c>
      <c r="O1402" s="8" t="s">
        <v>63</v>
      </c>
      <c r="P1402" s="4" t="n">
        <v>50</v>
      </c>
      <c r="Q1402" s="8"/>
      <c r="R1402" s="4" t="s">
        <v>4557</v>
      </c>
      <c r="S1402" s="4"/>
    </row>
    <row r="1403" customFormat="false" ht="26.85" hidden="false" customHeight="false" outlineLevel="0" collapsed="false">
      <c r="A1403" s="4" t="s">
        <v>4847</v>
      </c>
      <c r="B1403" s="8" t="s">
        <v>4848</v>
      </c>
      <c r="C1403" s="8" t="s">
        <v>58</v>
      </c>
      <c r="D1403" s="8"/>
      <c r="E1403" s="8" t="s">
        <v>60</v>
      </c>
      <c r="F1403" s="8"/>
      <c r="G1403" s="8"/>
      <c r="H1403" s="8"/>
      <c r="I1403" s="8" t="s">
        <v>4849</v>
      </c>
      <c r="J1403" s="8" t="s">
        <v>72</v>
      </c>
      <c r="K1403" s="8" t="s">
        <v>4154</v>
      </c>
      <c r="L1403" s="8" t="s">
        <v>4818</v>
      </c>
      <c r="M1403" s="8"/>
      <c r="N1403" s="8" t="s">
        <v>62</v>
      </c>
      <c r="O1403" s="8" t="s">
        <v>63</v>
      </c>
      <c r="P1403" s="4" t="n">
        <v>50</v>
      </c>
      <c r="Q1403" s="8"/>
      <c r="R1403" s="4" t="s">
        <v>4850</v>
      </c>
      <c r="S1403" s="4"/>
    </row>
    <row r="1404" customFormat="false" ht="26.85" hidden="false" customHeight="false" outlineLevel="0" collapsed="false">
      <c r="A1404" s="4" t="s">
        <v>4851</v>
      </c>
      <c r="B1404" s="8" t="s">
        <v>4852</v>
      </c>
      <c r="C1404" s="8" t="s">
        <v>58</v>
      </c>
      <c r="D1404" s="8"/>
      <c r="E1404" s="8" t="s">
        <v>60</v>
      </c>
      <c r="F1404" s="8"/>
      <c r="G1404" s="8"/>
      <c r="H1404" s="8"/>
      <c r="I1404" s="8" t="s">
        <v>3747</v>
      </c>
      <c r="J1404" s="8" t="s">
        <v>72</v>
      </c>
      <c r="K1404" s="8" t="s">
        <v>4154</v>
      </c>
      <c r="L1404" s="8" t="s">
        <v>4818</v>
      </c>
      <c r="M1404" s="8"/>
      <c r="N1404" s="8" t="s">
        <v>62</v>
      </c>
      <c r="O1404" s="8" t="s">
        <v>63</v>
      </c>
      <c r="P1404" s="4" t="n">
        <v>50</v>
      </c>
      <c r="Q1404" s="8"/>
      <c r="R1404" s="4" t="s">
        <v>4853</v>
      </c>
      <c r="S1404" s="4"/>
    </row>
    <row r="1405" customFormat="false" ht="26.85" hidden="false" customHeight="false" outlineLevel="0" collapsed="false">
      <c r="A1405" s="4" t="s">
        <v>4854</v>
      </c>
      <c r="B1405" s="8" t="s">
        <v>4855</v>
      </c>
      <c r="C1405" s="8" t="s">
        <v>58</v>
      </c>
      <c r="D1405" s="8"/>
      <c r="E1405" s="8" t="s">
        <v>60</v>
      </c>
      <c r="F1405" s="8"/>
      <c r="G1405" s="8"/>
      <c r="H1405" s="8"/>
      <c r="I1405" s="8" t="s">
        <v>4856</v>
      </c>
      <c r="J1405" s="8" t="s">
        <v>72</v>
      </c>
      <c r="K1405" s="8" t="s">
        <v>4154</v>
      </c>
      <c r="L1405" s="8" t="s">
        <v>4818</v>
      </c>
      <c r="M1405" s="8"/>
      <c r="N1405" s="8" t="s">
        <v>62</v>
      </c>
      <c r="O1405" s="8" t="s">
        <v>63</v>
      </c>
      <c r="P1405" s="4" t="n">
        <v>50</v>
      </c>
      <c r="Q1405" s="8"/>
      <c r="R1405" s="4" t="s">
        <v>4857</v>
      </c>
      <c r="S1405" s="4"/>
    </row>
    <row r="1406" customFormat="false" ht="26.85" hidden="false" customHeight="false" outlineLevel="0" collapsed="false">
      <c r="A1406" s="4" t="s">
        <v>4858</v>
      </c>
      <c r="B1406" s="8" t="s">
        <v>4859</v>
      </c>
      <c r="C1406" s="8"/>
      <c r="D1406" s="8"/>
      <c r="E1406" s="8"/>
      <c r="F1406" s="8"/>
      <c r="G1406" s="8"/>
      <c r="H1406" s="8"/>
      <c r="I1406" s="8" t="s">
        <v>4860</v>
      </c>
      <c r="J1406" s="8" t="s">
        <v>72</v>
      </c>
      <c r="K1406" s="8" t="s">
        <v>4154</v>
      </c>
      <c r="L1406" s="8" t="s">
        <v>4818</v>
      </c>
      <c r="M1406" s="8"/>
      <c r="N1406" s="8" t="s">
        <v>62</v>
      </c>
      <c r="O1406" s="8" t="s">
        <v>63</v>
      </c>
      <c r="P1406" s="4" t="n">
        <v>50</v>
      </c>
      <c r="Q1406" s="8"/>
      <c r="R1406" s="4" t="s">
        <v>4859</v>
      </c>
      <c r="S1406" s="4"/>
    </row>
    <row r="1407" customFormat="false" ht="26.85" hidden="false" customHeight="false" outlineLevel="0" collapsed="false">
      <c r="A1407" s="4" t="s">
        <v>4861</v>
      </c>
      <c r="B1407" s="8" t="s">
        <v>4285</v>
      </c>
      <c r="C1407" s="8" t="s">
        <v>58</v>
      </c>
      <c r="D1407" s="8"/>
      <c r="E1407" s="8" t="s">
        <v>60</v>
      </c>
      <c r="F1407" s="8"/>
      <c r="G1407" s="8"/>
      <c r="H1407" s="8"/>
      <c r="I1407" s="8" t="s">
        <v>4286</v>
      </c>
      <c r="J1407" s="8" t="s">
        <v>72</v>
      </c>
      <c r="K1407" s="8" t="s">
        <v>4154</v>
      </c>
      <c r="L1407" s="8" t="s">
        <v>4862</v>
      </c>
      <c r="M1407" s="8"/>
      <c r="N1407" s="8" t="s">
        <v>62</v>
      </c>
      <c r="O1407" s="8" t="s">
        <v>63</v>
      </c>
      <c r="P1407" s="4" t="n">
        <v>50</v>
      </c>
      <c r="Q1407" s="8"/>
      <c r="R1407" s="4" t="s">
        <v>4863</v>
      </c>
      <c r="S1407" s="4"/>
    </row>
    <row r="1408" customFormat="false" ht="26.85" hidden="false" customHeight="false" outlineLevel="0" collapsed="false">
      <c r="A1408" s="4" t="s">
        <v>4864</v>
      </c>
      <c r="B1408" s="8" t="s">
        <v>4865</v>
      </c>
      <c r="C1408" s="8"/>
      <c r="D1408" s="8"/>
      <c r="E1408" s="8"/>
      <c r="F1408" s="8"/>
      <c r="G1408" s="8"/>
      <c r="H1408" s="8"/>
      <c r="I1408" s="8" t="s">
        <v>4866</v>
      </c>
      <c r="J1408" s="8" t="s">
        <v>72</v>
      </c>
      <c r="K1408" s="8" t="s">
        <v>4154</v>
      </c>
      <c r="L1408" s="8" t="s">
        <v>4862</v>
      </c>
      <c r="M1408" s="8"/>
      <c r="N1408" s="8" t="s">
        <v>62</v>
      </c>
      <c r="O1408" s="8" t="s">
        <v>63</v>
      </c>
      <c r="P1408" s="4" t="n">
        <v>50</v>
      </c>
      <c r="Q1408" s="8"/>
      <c r="R1408" s="4" t="s">
        <v>4865</v>
      </c>
      <c r="S1408" s="4"/>
    </row>
    <row r="1409" customFormat="false" ht="26.85" hidden="false" customHeight="false" outlineLevel="0" collapsed="false">
      <c r="A1409" s="4" t="s">
        <v>4867</v>
      </c>
      <c r="B1409" s="8" t="s">
        <v>4868</v>
      </c>
      <c r="C1409" s="8" t="s">
        <v>58</v>
      </c>
      <c r="D1409" s="8"/>
      <c r="E1409" s="8" t="s">
        <v>60</v>
      </c>
      <c r="F1409" s="8"/>
      <c r="G1409" s="8"/>
      <c r="H1409" s="8"/>
      <c r="I1409" s="8" t="s">
        <v>4869</v>
      </c>
      <c r="J1409" s="8" t="s">
        <v>72</v>
      </c>
      <c r="K1409" s="8" t="s">
        <v>4154</v>
      </c>
      <c r="L1409" s="8" t="s">
        <v>4862</v>
      </c>
      <c r="M1409" s="8"/>
      <c r="N1409" s="8" t="s">
        <v>62</v>
      </c>
      <c r="O1409" s="8" t="s">
        <v>63</v>
      </c>
      <c r="P1409" s="4" t="n">
        <v>50</v>
      </c>
      <c r="Q1409" s="8"/>
      <c r="R1409" s="4" t="s">
        <v>4870</v>
      </c>
      <c r="S1409" s="4"/>
    </row>
    <row r="1410" customFormat="false" ht="26.85" hidden="false" customHeight="false" outlineLevel="0" collapsed="false">
      <c r="A1410" s="4" t="s">
        <v>4871</v>
      </c>
      <c r="B1410" s="8" t="s">
        <v>4872</v>
      </c>
      <c r="C1410" s="8"/>
      <c r="D1410" s="8"/>
      <c r="E1410" s="8"/>
      <c r="F1410" s="8"/>
      <c r="G1410" s="8"/>
      <c r="H1410" s="8"/>
      <c r="I1410" s="8" t="s">
        <v>4873</v>
      </c>
      <c r="J1410" s="8" t="s">
        <v>72</v>
      </c>
      <c r="K1410" s="8" t="s">
        <v>4154</v>
      </c>
      <c r="L1410" s="8" t="s">
        <v>4862</v>
      </c>
      <c r="M1410" s="8"/>
      <c r="N1410" s="8" t="s">
        <v>62</v>
      </c>
      <c r="O1410" s="8" t="s">
        <v>63</v>
      </c>
      <c r="P1410" s="4" t="n">
        <v>50</v>
      </c>
      <c r="Q1410" s="8"/>
      <c r="R1410" s="4" t="s">
        <v>4872</v>
      </c>
      <c r="S1410" s="4"/>
    </row>
    <row r="1411" customFormat="false" ht="26.85" hidden="false" customHeight="false" outlineLevel="0" collapsed="false">
      <c r="A1411" s="4" t="s">
        <v>4874</v>
      </c>
      <c r="B1411" s="8" t="s">
        <v>4875</v>
      </c>
      <c r="C1411" s="8"/>
      <c r="D1411" s="8"/>
      <c r="E1411" s="8"/>
      <c r="F1411" s="8"/>
      <c r="G1411" s="8"/>
      <c r="H1411" s="8"/>
      <c r="I1411" s="8" t="s">
        <v>4876</v>
      </c>
      <c r="J1411" s="8" t="s">
        <v>72</v>
      </c>
      <c r="K1411" s="8" t="s">
        <v>4154</v>
      </c>
      <c r="L1411" s="8" t="s">
        <v>4862</v>
      </c>
      <c r="M1411" s="8"/>
      <c r="N1411" s="8" t="s">
        <v>62</v>
      </c>
      <c r="O1411" s="8" t="s">
        <v>63</v>
      </c>
      <c r="P1411" s="4" t="n">
        <v>50</v>
      </c>
      <c r="Q1411" s="8"/>
      <c r="R1411" s="4" t="s">
        <v>4875</v>
      </c>
      <c r="S1411" s="4"/>
    </row>
    <row r="1412" customFormat="false" ht="26.85" hidden="false" customHeight="false" outlineLevel="0" collapsed="false">
      <c r="A1412" s="4" t="s">
        <v>4877</v>
      </c>
      <c r="B1412" s="8" t="s">
        <v>4878</v>
      </c>
      <c r="C1412" s="8" t="s">
        <v>58</v>
      </c>
      <c r="D1412" s="8"/>
      <c r="E1412" s="8" t="s">
        <v>60</v>
      </c>
      <c r="F1412" s="8"/>
      <c r="G1412" s="8"/>
      <c r="H1412" s="8"/>
      <c r="I1412" s="8" t="s">
        <v>4879</v>
      </c>
      <c r="J1412" s="8" t="s">
        <v>72</v>
      </c>
      <c r="K1412" s="8" t="s">
        <v>4154</v>
      </c>
      <c r="L1412" s="8" t="s">
        <v>4862</v>
      </c>
      <c r="M1412" s="8"/>
      <c r="N1412" s="8" t="s">
        <v>62</v>
      </c>
      <c r="O1412" s="8" t="s">
        <v>63</v>
      </c>
      <c r="P1412" s="4" t="n">
        <v>50</v>
      </c>
      <c r="Q1412" s="8"/>
      <c r="R1412" s="4" t="s">
        <v>4880</v>
      </c>
      <c r="S1412" s="4"/>
    </row>
    <row r="1413" customFormat="false" ht="26.85" hidden="false" customHeight="false" outlineLevel="0" collapsed="false">
      <c r="A1413" s="4" t="s">
        <v>4881</v>
      </c>
      <c r="B1413" s="8" t="s">
        <v>4882</v>
      </c>
      <c r="C1413" s="8"/>
      <c r="D1413" s="8"/>
      <c r="E1413" s="8"/>
      <c r="F1413" s="8"/>
      <c r="G1413" s="8"/>
      <c r="H1413" s="8"/>
      <c r="I1413" s="8" t="s">
        <v>4883</v>
      </c>
      <c r="J1413" s="8" t="s">
        <v>72</v>
      </c>
      <c r="K1413" s="8" t="s">
        <v>4154</v>
      </c>
      <c r="L1413" s="8" t="s">
        <v>4862</v>
      </c>
      <c r="M1413" s="8"/>
      <c r="N1413" s="8" t="s">
        <v>62</v>
      </c>
      <c r="O1413" s="8" t="s">
        <v>63</v>
      </c>
      <c r="P1413" s="4" t="n">
        <v>50</v>
      </c>
      <c r="Q1413" s="8"/>
      <c r="R1413" s="4" t="s">
        <v>4882</v>
      </c>
      <c r="S1413" s="4"/>
    </row>
    <row r="1414" customFormat="false" ht="26.85" hidden="false" customHeight="false" outlineLevel="0" collapsed="false">
      <c r="A1414" s="4" t="s">
        <v>4884</v>
      </c>
      <c r="B1414" s="8" t="s">
        <v>4885</v>
      </c>
      <c r="C1414" s="8"/>
      <c r="D1414" s="8"/>
      <c r="E1414" s="8"/>
      <c r="F1414" s="8"/>
      <c r="G1414" s="8"/>
      <c r="H1414" s="8"/>
      <c r="I1414" s="8" t="s">
        <v>4886</v>
      </c>
      <c r="J1414" s="8" t="s">
        <v>72</v>
      </c>
      <c r="K1414" s="8" t="s">
        <v>4154</v>
      </c>
      <c r="L1414" s="8" t="s">
        <v>688</v>
      </c>
      <c r="M1414" s="8"/>
      <c r="N1414" s="8" t="s">
        <v>62</v>
      </c>
      <c r="O1414" s="8" t="s">
        <v>63</v>
      </c>
      <c r="P1414" s="4" t="n">
        <v>51</v>
      </c>
      <c r="Q1414" s="8"/>
      <c r="R1414" s="4" t="s">
        <v>4885</v>
      </c>
      <c r="S1414" s="4"/>
    </row>
    <row r="1415" customFormat="false" ht="26.85" hidden="false" customHeight="false" outlineLevel="0" collapsed="false">
      <c r="A1415" s="4" t="s">
        <v>4887</v>
      </c>
      <c r="B1415" s="8" t="s">
        <v>4888</v>
      </c>
      <c r="C1415" s="8"/>
      <c r="D1415" s="8"/>
      <c r="E1415" s="8"/>
      <c r="F1415" s="8"/>
      <c r="G1415" s="8"/>
      <c r="H1415" s="8"/>
      <c r="I1415" s="8" t="s">
        <v>4889</v>
      </c>
      <c r="J1415" s="8" t="s">
        <v>72</v>
      </c>
      <c r="K1415" s="8" t="s">
        <v>4154</v>
      </c>
      <c r="L1415" s="8" t="s">
        <v>688</v>
      </c>
      <c r="M1415" s="8"/>
      <c r="N1415" s="8" t="s">
        <v>62</v>
      </c>
      <c r="O1415" s="8" t="s">
        <v>63</v>
      </c>
      <c r="P1415" s="4" t="n">
        <v>51</v>
      </c>
      <c r="Q1415" s="8"/>
      <c r="R1415" s="4" t="s">
        <v>4888</v>
      </c>
      <c r="S1415" s="4"/>
    </row>
    <row r="1416" customFormat="false" ht="26.85" hidden="false" customHeight="false" outlineLevel="0" collapsed="false">
      <c r="A1416" s="4" t="s">
        <v>4890</v>
      </c>
      <c r="B1416" s="8" t="s">
        <v>4891</v>
      </c>
      <c r="C1416" s="8"/>
      <c r="D1416" s="8"/>
      <c r="E1416" s="8"/>
      <c r="F1416" s="8"/>
      <c r="G1416" s="8"/>
      <c r="H1416" s="8"/>
      <c r="I1416" s="8" t="s">
        <v>4892</v>
      </c>
      <c r="J1416" s="8" t="s">
        <v>72</v>
      </c>
      <c r="K1416" s="8" t="s">
        <v>4154</v>
      </c>
      <c r="L1416" s="8" t="s">
        <v>688</v>
      </c>
      <c r="M1416" s="8"/>
      <c r="N1416" s="8" t="s">
        <v>62</v>
      </c>
      <c r="O1416" s="8" t="s">
        <v>63</v>
      </c>
      <c r="P1416" s="4" t="n">
        <v>51</v>
      </c>
      <c r="Q1416" s="8"/>
      <c r="R1416" s="4" t="s">
        <v>4891</v>
      </c>
      <c r="S1416" s="4"/>
    </row>
    <row r="1417" customFormat="false" ht="26.85" hidden="false" customHeight="false" outlineLevel="0" collapsed="false">
      <c r="A1417" s="4" t="s">
        <v>4893</v>
      </c>
      <c r="B1417" s="8" t="s">
        <v>4894</v>
      </c>
      <c r="C1417" s="8"/>
      <c r="D1417" s="8"/>
      <c r="E1417" s="8"/>
      <c r="F1417" s="8"/>
      <c r="G1417" s="8"/>
      <c r="H1417" s="8"/>
      <c r="I1417" s="8" t="s">
        <v>4895</v>
      </c>
      <c r="J1417" s="8" t="s">
        <v>72</v>
      </c>
      <c r="K1417" s="8" t="s">
        <v>4154</v>
      </c>
      <c r="L1417" s="8" t="s">
        <v>688</v>
      </c>
      <c r="M1417" s="8"/>
      <c r="N1417" s="8" t="s">
        <v>62</v>
      </c>
      <c r="O1417" s="8" t="s">
        <v>63</v>
      </c>
      <c r="P1417" s="4" t="n">
        <v>51</v>
      </c>
      <c r="Q1417" s="8"/>
      <c r="R1417" s="4" t="s">
        <v>4894</v>
      </c>
      <c r="S1417" s="4"/>
    </row>
    <row r="1418" customFormat="false" ht="26.85" hidden="false" customHeight="false" outlineLevel="0" collapsed="false">
      <c r="A1418" s="4" t="s">
        <v>4896</v>
      </c>
      <c r="B1418" s="8" t="s">
        <v>4897</v>
      </c>
      <c r="C1418" s="8"/>
      <c r="D1418" s="8"/>
      <c r="E1418" s="8" t="s">
        <v>68</v>
      </c>
      <c r="F1418" s="8" t="s">
        <v>4898</v>
      </c>
      <c r="G1418" s="8" t="s">
        <v>2108</v>
      </c>
      <c r="H1418" s="8"/>
      <c r="I1418" s="8" t="s">
        <v>4899</v>
      </c>
      <c r="J1418" s="8" t="s">
        <v>72</v>
      </c>
      <c r="K1418" s="8" t="s">
        <v>4154</v>
      </c>
      <c r="L1418" s="8" t="s">
        <v>688</v>
      </c>
      <c r="M1418" s="8"/>
      <c r="N1418" s="8" t="s">
        <v>62</v>
      </c>
      <c r="O1418" s="8" t="s">
        <v>63</v>
      </c>
      <c r="P1418" s="4" t="n">
        <v>51</v>
      </c>
      <c r="Q1418" s="8"/>
      <c r="R1418" s="4" t="s">
        <v>4897</v>
      </c>
      <c r="S1418" s="4"/>
    </row>
    <row r="1419" customFormat="false" ht="26.85" hidden="false" customHeight="false" outlineLevel="0" collapsed="false">
      <c r="A1419" s="4" t="s">
        <v>4900</v>
      </c>
      <c r="B1419" s="8" t="s">
        <v>4901</v>
      </c>
      <c r="C1419" s="8"/>
      <c r="D1419" s="8"/>
      <c r="E1419" s="8"/>
      <c r="F1419" s="8"/>
      <c r="G1419" s="8"/>
      <c r="H1419" s="8"/>
      <c r="I1419" s="8" t="s">
        <v>4902</v>
      </c>
      <c r="J1419" s="8" t="s">
        <v>72</v>
      </c>
      <c r="K1419" s="8" t="s">
        <v>4154</v>
      </c>
      <c r="L1419" s="8" t="s">
        <v>688</v>
      </c>
      <c r="M1419" s="8"/>
      <c r="N1419" s="8" t="s">
        <v>62</v>
      </c>
      <c r="O1419" s="8" t="s">
        <v>63</v>
      </c>
      <c r="P1419" s="4" t="n">
        <v>51</v>
      </c>
      <c r="Q1419" s="8"/>
      <c r="R1419" s="4" t="s">
        <v>4901</v>
      </c>
      <c r="S1419" s="4"/>
    </row>
    <row r="1420" customFormat="false" ht="26.85" hidden="false" customHeight="false" outlineLevel="0" collapsed="false">
      <c r="A1420" s="4" t="s">
        <v>4903</v>
      </c>
      <c r="B1420" s="8" t="s">
        <v>707</v>
      </c>
      <c r="C1420" s="8"/>
      <c r="D1420" s="8"/>
      <c r="E1420" s="8" t="s">
        <v>68</v>
      </c>
      <c r="F1420" s="8" t="s">
        <v>708</v>
      </c>
      <c r="G1420" s="8" t="s">
        <v>709</v>
      </c>
      <c r="H1420" s="8"/>
      <c r="I1420" s="8" t="s">
        <v>710</v>
      </c>
      <c r="J1420" s="8" t="s">
        <v>72</v>
      </c>
      <c r="K1420" s="8" t="s">
        <v>4154</v>
      </c>
      <c r="L1420" s="8" t="s">
        <v>688</v>
      </c>
      <c r="M1420" s="8"/>
      <c r="N1420" s="8" t="s">
        <v>62</v>
      </c>
      <c r="O1420" s="8" t="s">
        <v>63</v>
      </c>
      <c r="P1420" s="4" t="n">
        <v>51</v>
      </c>
      <c r="Q1420" s="8"/>
      <c r="R1420" s="4" t="s">
        <v>707</v>
      </c>
      <c r="S1420" s="4" t="n">
        <v>1274</v>
      </c>
    </row>
    <row r="1421" customFormat="false" ht="26.85" hidden="false" customHeight="false" outlineLevel="0" collapsed="false">
      <c r="A1421" s="4" t="s">
        <v>4904</v>
      </c>
      <c r="B1421" s="8" t="s">
        <v>4905</v>
      </c>
      <c r="C1421" s="8"/>
      <c r="D1421" s="8"/>
      <c r="E1421" s="8" t="s">
        <v>68</v>
      </c>
      <c r="F1421" s="8" t="s">
        <v>4906</v>
      </c>
      <c r="G1421" s="8" t="s">
        <v>4907</v>
      </c>
      <c r="H1421" s="8"/>
      <c r="I1421" s="8" t="s">
        <v>4908</v>
      </c>
      <c r="J1421" s="8" t="s">
        <v>72</v>
      </c>
      <c r="K1421" s="8" t="s">
        <v>4154</v>
      </c>
      <c r="L1421" s="8" t="s">
        <v>688</v>
      </c>
      <c r="M1421" s="8"/>
      <c r="N1421" s="8" t="s">
        <v>62</v>
      </c>
      <c r="O1421" s="8" t="s">
        <v>63</v>
      </c>
      <c r="P1421" s="4" t="n">
        <v>51</v>
      </c>
      <c r="Q1421" s="8"/>
      <c r="R1421" s="4" t="s">
        <v>4905</v>
      </c>
      <c r="S1421" s="4"/>
    </row>
    <row r="1422" customFormat="false" ht="26.85" hidden="false" customHeight="false" outlineLevel="0" collapsed="false">
      <c r="A1422" s="4" t="s">
        <v>4909</v>
      </c>
      <c r="B1422" s="8" t="s">
        <v>4910</v>
      </c>
      <c r="C1422" s="8"/>
      <c r="D1422" s="8"/>
      <c r="E1422" s="8" t="s">
        <v>68</v>
      </c>
      <c r="F1422" s="8" t="s">
        <v>4911</v>
      </c>
      <c r="G1422" s="8" t="s">
        <v>4912</v>
      </c>
      <c r="H1422" s="8"/>
      <c r="I1422" s="8" t="s">
        <v>4913</v>
      </c>
      <c r="J1422" s="8" t="s">
        <v>72</v>
      </c>
      <c r="K1422" s="8" t="s">
        <v>4154</v>
      </c>
      <c r="L1422" s="8" t="s">
        <v>688</v>
      </c>
      <c r="M1422" s="8"/>
      <c r="N1422" s="8" t="s">
        <v>62</v>
      </c>
      <c r="O1422" s="8" t="s">
        <v>63</v>
      </c>
      <c r="P1422" s="4" t="n">
        <v>51</v>
      </c>
      <c r="Q1422" s="8"/>
      <c r="R1422" s="4" t="s">
        <v>4910</v>
      </c>
      <c r="S1422" s="4"/>
    </row>
    <row r="1423" customFormat="false" ht="26.85" hidden="false" customHeight="false" outlineLevel="0" collapsed="false">
      <c r="A1423" s="4" t="s">
        <v>4914</v>
      </c>
      <c r="B1423" s="8" t="s">
        <v>2399</v>
      </c>
      <c r="C1423" s="8"/>
      <c r="D1423" s="8"/>
      <c r="E1423" s="8" t="s">
        <v>68</v>
      </c>
      <c r="F1423" s="8" t="s">
        <v>2400</v>
      </c>
      <c r="G1423" s="8" t="s">
        <v>1173</v>
      </c>
      <c r="H1423" s="8"/>
      <c r="I1423" s="8" t="s">
        <v>4915</v>
      </c>
      <c r="J1423" s="8" t="s">
        <v>72</v>
      </c>
      <c r="K1423" s="8" t="s">
        <v>4154</v>
      </c>
      <c r="L1423" s="8" t="s">
        <v>688</v>
      </c>
      <c r="M1423" s="8"/>
      <c r="N1423" s="8" t="s">
        <v>62</v>
      </c>
      <c r="O1423" s="8" t="s">
        <v>63</v>
      </c>
      <c r="P1423" s="4" t="n">
        <v>51</v>
      </c>
      <c r="Q1423" s="8"/>
      <c r="R1423" s="4" t="s">
        <v>2399</v>
      </c>
      <c r="S1423" s="4" t="n">
        <v>1045</v>
      </c>
    </row>
    <row r="1424" customFormat="false" ht="26.85" hidden="false" customHeight="false" outlineLevel="0" collapsed="false">
      <c r="A1424" s="4" t="s">
        <v>4916</v>
      </c>
      <c r="B1424" s="8" t="s">
        <v>4917</v>
      </c>
      <c r="C1424" s="8"/>
      <c r="D1424" s="8"/>
      <c r="E1424" s="8"/>
      <c r="F1424" s="8"/>
      <c r="G1424" s="8"/>
      <c r="H1424" s="8"/>
      <c r="I1424" s="8" t="s">
        <v>2114</v>
      </c>
      <c r="J1424" s="8" t="s">
        <v>72</v>
      </c>
      <c r="K1424" s="8" t="s">
        <v>4154</v>
      </c>
      <c r="L1424" s="8" t="s">
        <v>688</v>
      </c>
      <c r="M1424" s="8"/>
      <c r="N1424" s="8" t="s">
        <v>62</v>
      </c>
      <c r="O1424" s="8" t="s">
        <v>63</v>
      </c>
      <c r="P1424" s="4" t="n">
        <v>51</v>
      </c>
      <c r="Q1424" s="8"/>
      <c r="R1424" s="4" t="s">
        <v>4917</v>
      </c>
      <c r="S1424" s="4"/>
    </row>
    <row r="1425" customFormat="false" ht="26.85" hidden="false" customHeight="false" outlineLevel="0" collapsed="false">
      <c r="A1425" s="4" t="s">
        <v>4918</v>
      </c>
      <c r="B1425" s="8" t="s">
        <v>4919</v>
      </c>
      <c r="C1425" s="8"/>
      <c r="D1425" s="8"/>
      <c r="E1425" s="8" t="s">
        <v>68</v>
      </c>
      <c r="F1425" s="8" t="s">
        <v>4919</v>
      </c>
      <c r="G1425" s="8" t="s">
        <v>4920</v>
      </c>
      <c r="H1425" s="8"/>
      <c r="I1425" s="8"/>
      <c r="J1425" s="8" t="s">
        <v>72</v>
      </c>
      <c r="K1425" s="8" t="s">
        <v>4154</v>
      </c>
      <c r="L1425" s="8" t="s">
        <v>688</v>
      </c>
      <c r="M1425" s="8"/>
      <c r="N1425" s="8" t="s">
        <v>62</v>
      </c>
      <c r="O1425" s="8" t="s">
        <v>63</v>
      </c>
      <c r="P1425" s="4" t="n">
        <v>51</v>
      </c>
      <c r="Q1425" s="8" t="s">
        <v>1153</v>
      </c>
      <c r="R1425" s="4" t="s">
        <v>4919</v>
      </c>
      <c r="S1425" s="4"/>
    </row>
    <row r="1426" customFormat="false" ht="26.85" hidden="false" customHeight="false" outlineLevel="0" collapsed="false">
      <c r="A1426" s="4" t="s">
        <v>4921</v>
      </c>
      <c r="B1426" s="8" t="s">
        <v>4922</v>
      </c>
      <c r="C1426" s="8"/>
      <c r="D1426" s="8"/>
      <c r="E1426" s="8"/>
      <c r="F1426" s="8"/>
      <c r="G1426" s="8"/>
      <c r="H1426" s="8"/>
      <c r="I1426" s="8" t="s">
        <v>4923</v>
      </c>
      <c r="J1426" s="8" t="s">
        <v>72</v>
      </c>
      <c r="K1426" s="8" t="s">
        <v>4154</v>
      </c>
      <c r="L1426" s="8" t="s">
        <v>688</v>
      </c>
      <c r="M1426" s="8"/>
      <c r="N1426" s="8" t="s">
        <v>62</v>
      </c>
      <c r="O1426" s="8" t="s">
        <v>63</v>
      </c>
      <c r="P1426" s="4" t="n">
        <v>51</v>
      </c>
      <c r="Q1426" s="8"/>
      <c r="R1426" s="4" t="s">
        <v>4922</v>
      </c>
      <c r="S1426" s="4"/>
    </row>
    <row r="1427" customFormat="false" ht="26.85" hidden="false" customHeight="false" outlineLevel="0" collapsed="false">
      <c r="A1427" s="4" t="s">
        <v>4924</v>
      </c>
      <c r="B1427" s="8" t="s">
        <v>4925</v>
      </c>
      <c r="C1427" s="8"/>
      <c r="D1427" s="8"/>
      <c r="E1427" s="8" t="s">
        <v>68</v>
      </c>
      <c r="F1427" s="8" t="s">
        <v>4926</v>
      </c>
      <c r="G1427" s="8" t="s">
        <v>4927</v>
      </c>
      <c r="H1427" s="8"/>
      <c r="I1427" s="8" t="s">
        <v>4928</v>
      </c>
      <c r="J1427" s="8" t="s">
        <v>72</v>
      </c>
      <c r="K1427" s="8" t="s">
        <v>4154</v>
      </c>
      <c r="L1427" s="8" t="s">
        <v>688</v>
      </c>
      <c r="M1427" s="8"/>
      <c r="N1427" s="8" t="s">
        <v>62</v>
      </c>
      <c r="O1427" s="8" t="s">
        <v>63</v>
      </c>
      <c r="P1427" s="4" t="n">
        <v>51</v>
      </c>
      <c r="Q1427" s="8"/>
      <c r="R1427" s="4" t="s">
        <v>4925</v>
      </c>
      <c r="S1427" s="4"/>
    </row>
    <row r="1428" customFormat="false" ht="26.85" hidden="false" customHeight="false" outlineLevel="0" collapsed="false">
      <c r="A1428" s="4" t="s">
        <v>4929</v>
      </c>
      <c r="B1428" s="8" t="s">
        <v>4930</v>
      </c>
      <c r="C1428" s="8"/>
      <c r="D1428" s="8"/>
      <c r="E1428" s="8"/>
      <c r="F1428" s="8"/>
      <c r="G1428" s="8"/>
      <c r="H1428" s="8"/>
      <c r="I1428" s="8" t="s">
        <v>4931</v>
      </c>
      <c r="J1428" s="8" t="s">
        <v>72</v>
      </c>
      <c r="K1428" s="8" t="s">
        <v>4154</v>
      </c>
      <c r="L1428" s="8" t="s">
        <v>688</v>
      </c>
      <c r="M1428" s="8"/>
      <c r="N1428" s="8" t="s">
        <v>62</v>
      </c>
      <c r="O1428" s="8" t="s">
        <v>63</v>
      </c>
      <c r="P1428" s="4" t="n">
        <v>51</v>
      </c>
      <c r="Q1428" s="8"/>
      <c r="R1428" s="4" t="s">
        <v>4930</v>
      </c>
      <c r="S1428" s="4"/>
    </row>
    <row r="1429" customFormat="false" ht="26.85" hidden="false" customHeight="false" outlineLevel="0" collapsed="false">
      <c r="A1429" s="4" t="s">
        <v>4932</v>
      </c>
      <c r="B1429" s="8" t="s">
        <v>4933</v>
      </c>
      <c r="C1429" s="8"/>
      <c r="D1429" s="8"/>
      <c r="E1429" s="8"/>
      <c r="F1429" s="8"/>
      <c r="G1429" s="8"/>
      <c r="H1429" s="8"/>
      <c r="I1429" s="8" t="s">
        <v>4934</v>
      </c>
      <c r="J1429" s="8" t="s">
        <v>72</v>
      </c>
      <c r="K1429" s="8" t="s">
        <v>4154</v>
      </c>
      <c r="L1429" s="8" t="s">
        <v>688</v>
      </c>
      <c r="M1429" s="8"/>
      <c r="N1429" s="8" t="s">
        <v>62</v>
      </c>
      <c r="O1429" s="8" t="s">
        <v>63</v>
      </c>
      <c r="P1429" s="4" t="n">
        <v>51</v>
      </c>
      <c r="Q1429" s="8"/>
      <c r="R1429" s="4" t="s">
        <v>4933</v>
      </c>
      <c r="S1429" s="4"/>
    </row>
    <row r="1430" customFormat="false" ht="26.85" hidden="false" customHeight="false" outlineLevel="0" collapsed="false">
      <c r="A1430" s="4" t="s">
        <v>4935</v>
      </c>
      <c r="B1430" s="8" t="s">
        <v>4936</v>
      </c>
      <c r="C1430" s="8"/>
      <c r="D1430" s="8"/>
      <c r="E1430" s="8" t="s">
        <v>68</v>
      </c>
      <c r="F1430" s="8" t="s">
        <v>4937</v>
      </c>
      <c r="G1430" s="8" t="s">
        <v>4938</v>
      </c>
      <c r="H1430" s="8"/>
      <c r="I1430" s="8" t="s">
        <v>4939</v>
      </c>
      <c r="J1430" s="8" t="s">
        <v>72</v>
      </c>
      <c r="K1430" s="8" t="s">
        <v>4154</v>
      </c>
      <c r="L1430" s="8" t="s">
        <v>688</v>
      </c>
      <c r="M1430" s="8"/>
      <c r="N1430" s="8" t="s">
        <v>62</v>
      </c>
      <c r="O1430" s="8" t="s">
        <v>63</v>
      </c>
      <c r="P1430" s="4" t="n">
        <v>51</v>
      </c>
      <c r="Q1430" s="8"/>
      <c r="R1430" s="4" t="s">
        <v>4936</v>
      </c>
      <c r="S1430" s="4"/>
    </row>
    <row r="1431" customFormat="false" ht="26.85" hidden="false" customHeight="false" outlineLevel="0" collapsed="false">
      <c r="A1431" s="4" t="s">
        <v>4940</v>
      </c>
      <c r="B1431" s="8" t="s">
        <v>4941</v>
      </c>
      <c r="C1431" s="8"/>
      <c r="D1431" s="8"/>
      <c r="E1431" s="8" t="s">
        <v>68</v>
      </c>
      <c r="F1431" s="8" t="s">
        <v>4942</v>
      </c>
      <c r="G1431" s="8" t="s">
        <v>4943</v>
      </c>
      <c r="H1431" s="8"/>
      <c r="I1431" s="8" t="s">
        <v>4944</v>
      </c>
      <c r="J1431" s="8" t="s">
        <v>72</v>
      </c>
      <c r="K1431" s="8" t="s">
        <v>4154</v>
      </c>
      <c r="L1431" s="8" t="s">
        <v>688</v>
      </c>
      <c r="M1431" s="8"/>
      <c r="N1431" s="8" t="s">
        <v>62</v>
      </c>
      <c r="O1431" s="8" t="s">
        <v>63</v>
      </c>
      <c r="P1431" s="4" t="n">
        <v>51</v>
      </c>
      <c r="Q1431" s="8"/>
      <c r="R1431" s="4" t="s">
        <v>4941</v>
      </c>
      <c r="S1431" s="4" t="n">
        <v>816</v>
      </c>
    </row>
    <row r="1432" customFormat="false" ht="26.85" hidden="false" customHeight="false" outlineLevel="0" collapsed="false">
      <c r="A1432" s="4" t="s">
        <v>4945</v>
      </c>
      <c r="B1432" s="8" t="s">
        <v>4121</v>
      </c>
      <c r="C1432" s="8"/>
      <c r="D1432" s="8"/>
      <c r="E1432" s="8" t="s">
        <v>68</v>
      </c>
      <c r="F1432" s="8" t="s">
        <v>4122</v>
      </c>
      <c r="G1432" s="8" t="s">
        <v>4123</v>
      </c>
      <c r="H1432" s="8"/>
      <c r="I1432" s="8" t="s">
        <v>4946</v>
      </c>
      <c r="J1432" s="8" t="s">
        <v>72</v>
      </c>
      <c r="K1432" s="8" t="s">
        <v>4154</v>
      </c>
      <c r="L1432" s="8" t="s">
        <v>688</v>
      </c>
      <c r="M1432" s="8"/>
      <c r="N1432" s="8" t="s">
        <v>62</v>
      </c>
      <c r="O1432" s="8" t="s">
        <v>63</v>
      </c>
      <c r="P1432" s="4" t="n">
        <v>51</v>
      </c>
      <c r="Q1432" s="8"/>
      <c r="R1432" s="4" t="s">
        <v>4121</v>
      </c>
      <c r="S1432" s="4"/>
    </row>
    <row r="1433" customFormat="false" ht="26.85" hidden="false" customHeight="false" outlineLevel="0" collapsed="false">
      <c r="A1433" s="4" t="s">
        <v>4947</v>
      </c>
      <c r="B1433" s="8" t="s">
        <v>2237</v>
      </c>
      <c r="C1433" s="8"/>
      <c r="D1433" s="8"/>
      <c r="E1433" s="8" t="s">
        <v>68</v>
      </c>
      <c r="F1433" s="8" t="s">
        <v>2238</v>
      </c>
      <c r="G1433" s="8" t="s">
        <v>2239</v>
      </c>
      <c r="H1433" s="8"/>
      <c r="I1433" s="8" t="s">
        <v>2240</v>
      </c>
      <c r="J1433" s="8" t="s">
        <v>72</v>
      </c>
      <c r="K1433" s="8" t="s">
        <v>4154</v>
      </c>
      <c r="L1433" s="8" t="s">
        <v>688</v>
      </c>
      <c r="M1433" s="8"/>
      <c r="N1433" s="8" t="s">
        <v>62</v>
      </c>
      <c r="O1433" s="8" t="s">
        <v>63</v>
      </c>
      <c r="P1433" s="4" t="n">
        <v>51</v>
      </c>
      <c r="Q1433" s="8"/>
      <c r="R1433" s="4" t="s">
        <v>2237</v>
      </c>
      <c r="S1433" s="4" t="n">
        <v>1991</v>
      </c>
    </row>
    <row r="1434" customFormat="false" ht="26.85" hidden="false" customHeight="false" outlineLevel="0" collapsed="false">
      <c r="A1434" s="4" t="s">
        <v>4948</v>
      </c>
      <c r="B1434" s="8" t="s">
        <v>1568</v>
      </c>
      <c r="C1434" s="8"/>
      <c r="D1434" s="8"/>
      <c r="E1434" s="8" t="s">
        <v>68</v>
      </c>
      <c r="F1434" s="8" t="s">
        <v>1569</v>
      </c>
      <c r="G1434" s="8" t="s">
        <v>1570</v>
      </c>
      <c r="H1434" s="8"/>
      <c r="I1434" s="8" t="s">
        <v>1571</v>
      </c>
      <c r="J1434" s="8" t="s">
        <v>72</v>
      </c>
      <c r="K1434" s="8" t="s">
        <v>4154</v>
      </c>
      <c r="L1434" s="8" t="s">
        <v>688</v>
      </c>
      <c r="M1434" s="8"/>
      <c r="N1434" s="8" t="s">
        <v>62</v>
      </c>
      <c r="O1434" s="8" t="s">
        <v>63</v>
      </c>
      <c r="P1434" s="4" t="n">
        <v>51</v>
      </c>
      <c r="Q1434" s="8"/>
      <c r="R1434" s="4" t="s">
        <v>1568</v>
      </c>
      <c r="S1434" s="4"/>
    </row>
    <row r="1435" customFormat="false" ht="26.85" hidden="false" customHeight="false" outlineLevel="0" collapsed="false">
      <c r="A1435" s="4" t="s">
        <v>4949</v>
      </c>
      <c r="B1435" s="8" t="s">
        <v>2247</v>
      </c>
      <c r="C1435" s="8"/>
      <c r="D1435" s="8"/>
      <c r="E1435" s="8" t="s">
        <v>68</v>
      </c>
      <c r="F1435" s="8" t="s">
        <v>2248</v>
      </c>
      <c r="G1435" s="8" t="s">
        <v>2249</v>
      </c>
      <c r="H1435" s="8"/>
      <c r="I1435" s="8" t="s">
        <v>2250</v>
      </c>
      <c r="J1435" s="8" t="s">
        <v>72</v>
      </c>
      <c r="K1435" s="8" t="s">
        <v>4154</v>
      </c>
      <c r="L1435" s="8" t="s">
        <v>688</v>
      </c>
      <c r="M1435" s="8"/>
      <c r="N1435" s="8" t="s">
        <v>62</v>
      </c>
      <c r="O1435" s="8" t="s">
        <v>63</v>
      </c>
      <c r="P1435" s="4" t="n">
        <v>51</v>
      </c>
      <c r="Q1435" s="8"/>
      <c r="R1435" s="4" t="s">
        <v>2247</v>
      </c>
      <c r="S1435" s="4"/>
    </row>
    <row r="1436" customFormat="false" ht="26.85" hidden="false" customHeight="false" outlineLevel="0" collapsed="false">
      <c r="A1436" s="4" t="s">
        <v>4950</v>
      </c>
      <c r="B1436" s="8" t="s">
        <v>4951</v>
      </c>
      <c r="C1436" s="8"/>
      <c r="D1436" s="8"/>
      <c r="E1436" s="8"/>
      <c r="F1436" s="8"/>
      <c r="G1436" s="8"/>
      <c r="H1436" s="8"/>
      <c r="I1436" s="8" t="s">
        <v>4952</v>
      </c>
      <c r="J1436" s="8" t="s">
        <v>72</v>
      </c>
      <c r="K1436" s="8" t="s">
        <v>4154</v>
      </c>
      <c r="L1436" s="8" t="s">
        <v>688</v>
      </c>
      <c r="M1436" s="8"/>
      <c r="N1436" s="8" t="s">
        <v>62</v>
      </c>
      <c r="O1436" s="8" t="s">
        <v>63</v>
      </c>
      <c r="P1436" s="4" t="n">
        <v>51</v>
      </c>
      <c r="Q1436" s="8"/>
      <c r="R1436" s="4" t="s">
        <v>4951</v>
      </c>
      <c r="S1436" s="4"/>
    </row>
    <row r="1437" customFormat="false" ht="26.85" hidden="false" customHeight="false" outlineLevel="0" collapsed="false">
      <c r="A1437" s="4" t="s">
        <v>4953</v>
      </c>
      <c r="B1437" s="8" t="s">
        <v>2252</v>
      </c>
      <c r="C1437" s="8"/>
      <c r="D1437" s="8"/>
      <c r="E1437" s="8" t="s">
        <v>68</v>
      </c>
      <c r="F1437" s="8" t="s">
        <v>2253</v>
      </c>
      <c r="G1437" s="8" t="s">
        <v>2254</v>
      </c>
      <c r="H1437" s="8"/>
      <c r="I1437" s="8" t="s">
        <v>4954</v>
      </c>
      <c r="J1437" s="8" t="s">
        <v>72</v>
      </c>
      <c r="K1437" s="8" t="s">
        <v>4154</v>
      </c>
      <c r="L1437" s="8" t="s">
        <v>688</v>
      </c>
      <c r="M1437" s="8"/>
      <c r="N1437" s="8" t="s">
        <v>62</v>
      </c>
      <c r="O1437" s="8" t="s">
        <v>63</v>
      </c>
      <c r="P1437" s="4" t="n">
        <v>51</v>
      </c>
      <c r="Q1437" s="8"/>
      <c r="R1437" s="4" t="s">
        <v>2252</v>
      </c>
      <c r="S1437" s="4"/>
    </row>
    <row r="1438" customFormat="false" ht="26.85" hidden="false" customHeight="false" outlineLevel="0" collapsed="false">
      <c r="A1438" s="4" t="s">
        <v>4955</v>
      </c>
      <c r="B1438" s="8" t="s">
        <v>4956</v>
      </c>
      <c r="C1438" s="8"/>
      <c r="D1438" s="8"/>
      <c r="E1438" s="8"/>
      <c r="F1438" s="8"/>
      <c r="G1438" s="8"/>
      <c r="H1438" s="8"/>
      <c r="I1438" s="8" t="s">
        <v>4957</v>
      </c>
      <c r="J1438" s="8" t="s">
        <v>72</v>
      </c>
      <c r="K1438" s="8" t="s">
        <v>4154</v>
      </c>
      <c r="L1438" s="8" t="s">
        <v>688</v>
      </c>
      <c r="M1438" s="8"/>
      <c r="N1438" s="8" t="s">
        <v>62</v>
      </c>
      <c r="O1438" s="8" t="s">
        <v>63</v>
      </c>
      <c r="P1438" s="4" t="n">
        <v>51</v>
      </c>
      <c r="Q1438" s="8"/>
      <c r="R1438" s="4" t="s">
        <v>4956</v>
      </c>
      <c r="S1438" s="4"/>
    </row>
    <row r="1439" customFormat="false" ht="26.85" hidden="false" customHeight="false" outlineLevel="0" collapsed="false">
      <c r="A1439" s="4" t="s">
        <v>4958</v>
      </c>
      <c r="B1439" s="8" t="s">
        <v>2262</v>
      </c>
      <c r="C1439" s="8"/>
      <c r="D1439" s="8"/>
      <c r="E1439" s="8" t="s">
        <v>68</v>
      </c>
      <c r="F1439" s="8" t="s">
        <v>2263</v>
      </c>
      <c r="G1439" s="8" t="s">
        <v>2264</v>
      </c>
      <c r="H1439" s="8"/>
      <c r="I1439" s="8" t="s">
        <v>2265</v>
      </c>
      <c r="J1439" s="8" t="s">
        <v>72</v>
      </c>
      <c r="K1439" s="8" t="s">
        <v>4154</v>
      </c>
      <c r="L1439" s="8" t="s">
        <v>688</v>
      </c>
      <c r="M1439" s="8"/>
      <c r="N1439" s="8" t="s">
        <v>62</v>
      </c>
      <c r="O1439" s="8" t="s">
        <v>63</v>
      </c>
      <c r="P1439" s="4" t="n">
        <v>51</v>
      </c>
      <c r="Q1439" s="8"/>
      <c r="R1439" s="4" t="s">
        <v>2262</v>
      </c>
      <c r="S1439" s="4" t="n">
        <v>1576</v>
      </c>
    </row>
    <row r="1440" customFormat="false" ht="26.85" hidden="false" customHeight="false" outlineLevel="0" collapsed="false">
      <c r="A1440" s="4" t="s">
        <v>4959</v>
      </c>
      <c r="B1440" s="8" t="s">
        <v>2276</v>
      </c>
      <c r="C1440" s="8"/>
      <c r="D1440" s="8"/>
      <c r="E1440" s="8" t="s">
        <v>68</v>
      </c>
      <c r="F1440" s="8" t="s">
        <v>2277</v>
      </c>
      <c r="G1440" s="8" t="s">
        <v>2278</v>
      </c>
      <c r="H1440" s="8"/>
      <c r="I1440" s="8" t="s">
        <v>2279</v>
      </c>
      <c r="J1440" s="8" t="s">
        <v>72</v>
      </c>
      <c r="K1440" s="8" t="s">
        <v>4154</v>
      </c>
      <c r="L1440" s="8" t="s">
        <v>688</v>
      </c>
      <c r="M1440" s="8"/>
      <c r="N1440" s="8" t="s">
        <v>62</v>
      </c>
      <c r="O1440" s="8" t="s">
        <v>63</v>
      </c>
      <c r="P1440" s="4" t="n">
        <v>51</v>
      </c>
      <c r="Q1440" s="8"/>
      <c r="R1440" s="4" t="s">
        <v>2276</v>
      </c>
      <c r="S1440" s="4"/>
    </row>
    <row r="1441" customFormat="false" ht="26.85" hidden="false" customHeight="false" outlineLevel="0" collapsed="false">
      <c r="A1441" s="4" t="s">
        <v>4960</v>
      </c>
      <c r="B1441" s="8" t="s">
        <v>4961</v>
      </c>
      <c r="C1441" s="8"/>
      <c r="D1441" s="8"/>
      <c r="E1441" s="8" t="s">
        <v>68</v>
      </c>
      <c r="F1441" s="8" t="s">
        <v>4233</v>
      </c>
      <c r="G1441" s="8" t="s">
        <v>4962</v>
      </c>
      <c r="H1441" s="8"/>
      <c r="I1441" s="8" t="s">
        <v>4963</v>
      </c>
      <c r="J1441" s="8" t="s">
        <v>72</v>
      </c>
      <c r="K1441" s="8" t="s">
        <v>4154</v>
      </c>
      <c r="L1441" s="8" t="s">
        <v>688</v>
      </c>
      <c r="M1441" s="8"/>
      <c r="N1441" s="8" t="s">
        <v>62</v>
      </c>
      <c r="O1441" s="8" t="s">
        <v>63</v>
      </c>
      <c r="P1441" s="4" t="n">
        <v>51</v>
      </c>
      <c r="Q1441" s="8"/>
      <c r="R1441" s="4" t="s">
        <v>4961</v>
      </c>
      <c r="S1441" s="4"/>
    </row>
    <row r="1442" customFormat="false" ht="26.85" hidden="false" customHeight="false" outlineLevel="0" collapsed="false">
      <c r="A1442" s="4" t="s">
        <v>4964</v>
      </c>
      <c r="B1442" s="8" t="s">
        <v>2452</v>
      </c>
      <c r="C1442" s="8"/>
      <c r="D1442" s="8"/>
      <c r="E1442" s="8" t="s">
        <v>68</v>
      </c>
      <c r="F1442" s="8" t="s">
        <v>2453</v>
      </c>
      <c r="G1442" s="8" t="s">
        <v>2454</v>
      </c>
      <c r="H1442" s="8"/>
      <c r="I1442" s="8" t="s">
        <v>4965</v>
      </c>
      <c r="J1442" s="8" t="s">
        <v>72</v>
      </c>
      <c r="K1442" s="8" t="s">
        <v>4154</v>
      </c>
      <c r="L1442" s="8" t="s">
        <v>688</v>
      </c>
      <c r="M1442" s="8"/>
      <c r="N1442" s="8" t="s">
        <v>62</v>
      </c>
      <c r="O1442" s="8" t="s">
        <v>63</v>
      </c>
      <c r="P1442" s="4" t="n">
        <v>51</v>
      </c>
      <c r="Q1442" s="8"/>
      <c r="R1442" s="4" t="s">
        <v>2452</v>
      </c>
      <c r="S1442" s="4"/>
    </row>
    <row r="1443" customFormat="false" ht="26.85" hidden="false" customHeight="false" outlineLevel="0" collapsed="false">
      <c r="A1443" s="4" t="s">
        <v>4966</v>
      </c>
      <c r="B1443" s="8" t="s">
        <v>2286</v>
      </c>
      <c r="C1443" s="8"/>
      <c r="D1443" s="8"/>
      <c r="E1443" s="8" t="s">
        <v>68</v>
      </c>
      <c r="F1443" s="8" t="s">
        <v>2287</v>
      </c>
      <c r="G1443" s="8" t="s">
        <v>2288</v>
      </c>
      <c r="H1443" s="8"/>
      <c r="I1443" s="8" t="s">
        <v>2289</v>
      </c>
      <c r="J1443" s="8" t="s">
        <v>72</v>
      </c>
      <c r="K1443" s="8" t="s">
        <v>4154</v>
      </c>
      <c r="L1443" s="8" t="s">
        <v>688</v>
      </c>
      <c r="M1443" s="8"/>
      <c r="N1443" s="8" t="s">
        <v>62</v>
      </c>
      <c r="O1443" s="8" t="s">
        <v>63</v>
      </c>
      <c r="P1443" s="4" t="n">
        <v>51</v>
      </c>
      <c r="Q1443" s="8"/>
      <c r="R1443" s="4" t="s">
        <v>2286</v>
      </c>
      <c r="S1443" s="4"/>
    </row>
    <row r="1444" customFormat="false" ht="26.85" hidden="false" customHeight="false" outlineLevel="0" collapsed="false">
      <c r="A1444" s="4" t="s">
        <v>4967</v>
      </c>
      <c r="B1444" s="8" t="s">
        <v>4968</v>
      </c>
      <c r="C1444" s="8"/>
      <c r="D1444" s="8"/>
      <c r="E1444" s="8"/>
      <c r="F1444" s="8"/>
      <c r="G1444" s="8"/>
      <c r="H1444" s="8"/>
      <c r="I1444" s="8" t="s">
        <v>4969</v>
      </c>
      <c r="J1444" s="8" t="s">
        <v>72</v>
      </c>
      <c r="K1444" s="8" t="s">
        <v>4154</v>
      </c>
      <c r="L1444" s="8" t="s">
        <v>688</v>
      </c>
      <c r="M1444" s="8"/>
      <c r="N1444" s="8" t="s">
        <v>62</v>
      </c>
      <c r="O1444" s="8" t="s">
        <v>63</v>
      </c>
      <c r="P1444" s="4" t="n">
        <v>51</v>
      </c>
      <c r="Q1444" s="8"/>
      <c r="R1444" s="4" t="s">
        <v>4968</v>
      </c>
      <c r="S1444" s="4"/>
    </row>
    <row r="1445" customFormat="false" ht="26.85" hidden="false" customHeight="false" outlineLevel="0" collapsed="false">
      <c r="A1445" s="4" t="s">
        <v>4970</v>
      </c>
      <c r="B1445" s="8" t="s">
        <v>4971</v>
      </c>
      <c r="C1445" s="8"/>
      <c r="D1445" s="8"/>
      <c r="E1445" s="8"/>
      <c r="F1445" s="8"/>
      <c r="G1445" s="8"/>
      <c r="H1445" s="8"/>
      <c r="I1445" s="8" t="s">
        <v>4972</v>
      </c>
      <c r="J1445" s="8" t="s">
        <v>72</v>
      </c>
      <c r="K1445" s="8" t="s">
        <v>4154</v>
      </c>
      <c r="L1445" s="8" t="s">
        <v>688</v>
      </c>
      <c r="M1445" s="8"/>
      <c r="N1445" s="8" t="s">
        <v>62</v>
      </c>
      <c r="O1445" s="8" t="s">
        <v>63</v>
      </c>
      <c r="P1445" s="4" t="n">
        <v>51</v>
      </c>
      <c r="Q1445" s="8"/>
      <c r="R1445" s="4" t="s">
        <v>4971</v>
      </c>
      <c r="S1445" s="4"/>
    </row>
    <row r="1446" customFormat="false" ht="26.85" hidden="false" customHeight="false" outlineLevel="0" collapsed="false">
      <c r="A1446" s="4" t="s">
        <v>4973</v>
      </c>
      <c r="B1446" s="8" t="s">
        <v>4974</v>
      </c>
      <c r="C1446" s="8"/>
      <c r="D1446" s="8"/>
      <c r="E1446" s="8"/>
      <c r="F1446" s="8"/>
      <c r="G1446" s="8"/>
      <c r="H1446" s="8"/>
      <c r="I1446" s="8" t="s">
        <v>4975</v>
      </c>
      <c r="J1446" s="8" t="s">
        <v>72</v>
      </c>
      <c r="K1446" s="8" t="s">
        <v>4154</v>
      </c>
      <c r="L1446" s="8" t="s">
        <v>688</v>
      </c>
      <c r="M1446" s="8"/>
      <c r="N1446" s="8" t="s">
        <v>62</v>
      </c>
      <c r="O1446" s="8" t="s">
        <v>63</v>
      </c>
      <c r="P1446" s="4" t="n">
        <v>51</v>
      </c>
      <c r="Q1446" s="8"/>
      <c r="R1446" s="4" t="s">
        <v>4974</v>
      </c>
      <c r="S1446" s="4"/>
    </row>
    <row r="1447" customFormat="false" ht="26.85" hidden="false" customHeight="false" outlineLevel="0" collapsed="false">
      <c r="A1447" s="4" t="s">
        <v>4976</v>
      </c>
      <c r="B1447" s="8" t="s">
        <v>4977</v>
      </c>
      <c r="C1447" s="8"/>
      <c r="D1447" s="8"/>
      <c r="E1447" s="8"/>
      <c r="F1447" s="8"/>
      <c r="G1447" s="8"/>
      <c r="H1447" s="8"/>
      <c r="I1447" s="8" t="s">
        <v>4978</v>
      </c>
      <c r="J1447" s="8" t="s">
        <v>72</v>
      </c>
      <c r="K1447" s="8" t="s">
        <v>4154</v>
      </c>
      <c r="L1447" s="8" t="s">
        <v>688</v>
      </c>
      <c r="M1447" s="8"/>
      <c r="N1447" s="8" t="s">
        <v>62</v>
      </c>
      <c r="O1447" s="8" t="s">
        <v>63</v>
      </c>
      <c r="P1447" s="4" t="n">
        <v>51</v>
      </c>
      <c r="Q1447" s="8"/>
      <c r="R1447" s="4" t="s">
        <v>4977</v>
      </c>
      <c r="S1447" s="4"/>
    </row>
    <row r="1448" customFormat="false" ht="26.85" hidden="false" customHeight="false" outlineLevel="0" collapsed="false">
      <c r="A1448" s="4" t="s">
        <v>4979</v>
      </c>
      <c r="B1448" s="8" t="s">
        <v>4980</v>
      </c>
      <c r="C1448" s="8"/>
      <c r="D1448" s="8"/>
      <c r="E1448" s="8"/>
      <c r="F1448" s="8"/>
      <c r="G1448" s="8"/>
      <c r="H1448" s="8"/>
      <c r="I1448" s="8" t="s">
        <v>4981</v>
      </c>
      <c r="J1448" s="8" t="s">
        <v>72</v>
      </c>
      <c r="K1448" s="8" t="s">
        <v>4982</v>
      </c>
      <c r="L1448" s="8" t="s">
        <v>4983</v>
      </c>
      <c r="M1448" s="8"/>
      <c r="N1448" s="8" t="s">
        <v>62</v>
      </c>
      <c r="O1448" s="8" t="s">
        <v>63</v>
      </c>
      <c r="P1448" s="4" t="n">
        <v>51</v>
      </c>
      <c r="Q1448" s="8"/>
      <c r="R1448" s="4" t="s">
        <v>4980</v>
      </c>
      <c r="S1448" s="4"/>
    </row>
    <row r="1449" customFormat="false" ht="26.85" hidden="false" customHeight="false" outlineLevel="0" collapsed="false">
      <c r="A1449" s="4" t="s">
        <v>4984</v>
      </c>
      <c r="B1449" s="8" t="s">
        <v>4985</v>
      </c>
      <c r="C1449" s="8"/>
      <c r="D1449" s="8"/>
      <c r="E1449" s="8"/>
      <c r="F1449" s="8"/>
      <c r="G1449" s="8"/>
      <c r="H1449" s="8"/>
      <c r="I1449" s="8" t="s">
        <v>4986</v>
      </c>
      <c r="J1449" s="8" t="s">
        <v>72</v>
      </c>
      <c r="K1449" s="8" t="s">
        <v>4982</v>
      </c>
      <c r="L1449" s="8" t="s">
        <v>4983</v>
      </c>
      <c r="M1449" s="8"/>
      <c r="N1449" s="8" t="s">
        <v>62</v>
      </c>
      <c r="O1449" s="8" t="s">
        <v>63</v>
      </c>
      <c r="P1449" s="4" t="n">
        <v>51</v>
      </c>
      <c r="Q1449" s="8"/>
      <c r="R1449" s="4" t="s">
        <v>4985</v>
      </c>
      <c r="S1449" s="4"/>
    </row>
    <row r="1450" customFormat="false" ht="26.85" hidden="false" customHeight="false" outlineLevel="0" collapsed="false">
      <c r="A1450" s="4" t="s">
        <v>4987</v>
      </c>
      <c r="B1450" s="8" t="s">
        <v>4988</v>
      </c>
      <c r="C1450" s="8"/>
      <c r="D1450" s="8"/>
      <c r="E1450" s="8"/>
      <c r="F1450" s="8"/>
      <c r="G1450" s="8"/>
      <c r="H1450" s="8"/>
      <c r="I1450" s="8" t="s">
        <v>4989</v>
      </c>
      <c r="J1450" s="8" t="s">
        <v>72</v>
      </c>
      <c r="K1450" s="8" t="s">
        <v>4982</v>
      </c>
      <c r="L1450" s="8" t="s">
        <v>4983</v>
      </c>
      <c r="M1450" s="8"/>
      <c r="N1450" s="8" t="s">
        <v>62</v>
      </c>
      <c r="O1450" s="8" t="s">
        <v>63</v>
      </c>
      <c r="P1450" s="4" t="n">
        <v>51</v>
      </c>
      <c r="Q1450" s="8"/>
      <c r="R1450" s="4" t="s">
        <v>4988</v>
      </c>
      <c r="S1450" s="4"/>
    </row>
    <row r="1451" customFormat="false" ht="26.85" hidden="false" customHeight="false" outlineLevel="0" collapsed="false">
      <c r="A1451" s="4" t="s">
        <v>4990</v>
      </c>
      <c r="B1451" s="8" t="s">
        <v>4991</v>
      </c>
      <c r="C1451" s="8"/>
      <c r="D1451" s="8"/>
      <c r="E1451" s="8"/>
      <c r="F1451" s="8"/>
      <c r="G1451" s="8"/>
      <c r="H1451" s="8"/>
      <c r="I1451" s="8" t="s">
        <v>4992</v>
      </c>
      <c r="J1451" s="8" t="s">
        <v>72</v>
      </c>
      <c r="K1451" s="8" t="s">
        <v>4982</v>
      </c>
      <c r="L1451" s="8" t="s">
        <v>4983</v>
      </c>
      <c r="M1451" s="8"/>
      <c r="N1451" s="8" t="s">
        <v>62</v>
      </c>
      <c r="O1451" s="8" t="s">
        <v>63</v>
      </c>
      <c r="P1451" s="4" t="n">
        <v>51</v>
      </c>
      <c r="Q1451" s="8"/>
      <c r="R1451" s="4" t="s">
        <v>4991</v>
      </c>
      <c r="S1451" s="4"/>
    </row>
    <row r="1452" customFormat="false" ht="26.85" hidden="false" customHeight="false" outlineLevel="0" collapsed="false">
      <c r="A1452" s="4" t="s">
        <v>4993</v>
      </c>
      <c r="B1452" s="8" t="s">
        <v>4994</v>
      </c>
      <c r="C1452" s="8"/>
      <c r="D1452" s="8"/>
      <c r="E1452" s="8"/>
      <c r="F1452" s="8"/>
      <c r="G1452" s="8"/>
      <c r="H1452" s="8"/>
      <c r="I1452" s="8" t="s">
        <v>4995</v>
      </c>
      <c r="J1452" s="8" t="s">
        <v>72</v>
      </c>
      <c r="K1452" s="8" t="s">
        <v>4982</v>
      </c>
      <c r="L1452" s="8" t="s">
        <v>4983</v>
      </c>
      <c r="M1452" s="8"/>
      <c r="N1452" s="8" t="s">
        <v>62</v>
      </c>
      <c r="O1452" s="8" t="s">
        <v>63</v>
      </c>
      <c r="P1452" s="4" t="n">
        <v>51</v>
      </c>
      <c r="Q1452" s="8"/>
      <c r="R1452" s="4" t="s">
        <v>4994</v>
      </c>
      <c r="S1452" s="4"/>
    </row>
    <row r="1453" customFormat="false" ht="26.85" hidden="false" customHeight="false" outlineLevel="0" collapsed="false">
      <c r="A1453" s="4" t="s">
        <v>4996</v>
      </c>
      <c r="B1453" s="8" t="s">
        <v>4997</v>
      </c>
      <c r="C1453" s="8"/>
      <c r="D1453" s="8"/>
      <c r="E1453" s="8"/>
      <c r="F1453" s="8"/>
      <c r="G1453" s="8"/>
      <c r="H1453" s="8"/>
      <c r="I1453" s="8" t="s">
        <v>4998</v>
      </c>
      <c r="J1453" s="8" t="s">
        <v>72</v>
      </c>
      <c r="K1453" s="8" t="s">
        <v>4982</v>
      </c>
      <c r="L1453" s="8" t="s">
        <v>4983</v>
      </c>
      <c r="M1453" s="8"/>
      <c r="N1453" s="8" t="s">
        <v>62</v>
      </c>
      <c r="O1453" s="8" t="s">
        <v>63</v>
      </c>
      <c r="P1453" s="4" t="n">
        <v>51</v>
      </c>
      <c r="Q1453" s="8"/>
      <c r="R1453" s="4" t="s">
        <v>4997</v>
      </c>
      <c r="S1453" s="4"/>
    </row>
    <row r="1454" customFormat="false" ht="26.85" hidden="false" customHeight="false" outlineLevel="0" collapsed="false">
      <c r="A1454" s="4" t="s">
        <v>4999</v>
      </c>
      <c r="B1454" s="8" t="s">
        <v>5000</v>
      </c>
      <c r="C1454" s="8"/>
      <c r="D1454" s="8"/>
      <c r="E1454" s="8"/>
      <c r="F1454" s="8"/>
      <c r="G1454" s="8"/>
      <c r="H1454" s="8"/>
      <c r="I1454" s="8" t="s">
        <v>5001</v>
      </c>
      <c r="J1454" s="8" t="s">
        <v>72</v>
      </c>
      <c r="K1454" s="8" t="s">
        <v>4982</v>
      </c>
      <c r="L1454" s="8" t="s">
        <v>4983</v>
      </c>
      <c r="M1454" s="8"/>
      <c r="N1454" s="8" t="s">
        <v>62</v>
      </c>
      <c r="O1454" s="8" t="s">
        <v>63</v>
      </c>
      <c r="P1454" s="4" t="n">
        <v>51</v>
      </c>
      <c r="Q1454" s="8"/>
      <c r="R1454" s="4" t="s">
        <v>5000</v>
      </c>
      <c r="S1454" s="4"/>
    </row>
    <row r="1455" customFormat="false" ht="26.85" hidden="false" customHeight="false" outlineLevel="0" collapsed="false">
      <c r="A1455" s="4" t="s">
        <v>5002</v>
      </c>
      <c r="B1455" s="8" t="s">
        <v>5003</v>
      </c>
      <c r="C1455" s="8"/>
      <c r="D1455" s="8"/>
      <c r="E1455" s="8"/>
      <c r="F1455" s="8"/>
      <c r="G1455" s="8"/>
      <c r="H1455" s="8"/>
      <c r="I1455" s="8" t="s">
        <v>5004</v>
      </c>
      <c r="J1455" s="8" t="s">
        <v>72</v>
      </c>
      <c r="K1455" s="8" t="s">
        <v>4982</v>
      </c>
      <c r="L1455" s="8" t="s">
        <v>4983</v>
      </c>
      <c r="M1455" s="8"/>
      <c r="N1455" s="8" t="s">
        <v>62</v>
      </c>
      <c r="O1455" s="8" t="s">
        <v>63</v>
      </c>
      <c r="P1455" s="4" t="n">
        <v>52</v>
      </c>
      <c r="Q1455" s="8"/>
      <c r="R1455" s="4" t="s">
        <v>5003</v>
      </c>
      <c r="S1455" s="4"/>
    </row>
    <row r="1456" customFormat="false" ht="26.85" hidden="false" customHeight="false" outlineLevel="0" collapsed="false">
      <c r="A1456" s="4" t="s">
        <v>5005</v>
      </c>
      <c r="B1456" s="8" t="s">
        <v>5006</v>
      </c>
      <c r="C1456" s="8"/>
      <c r="D1456" s="8"/>
      <c r="E1456" s="8"/>
      <c r="F1456" s="8"/>
      <c r="G1456" s="8"/>
      <c r="H1456" s="8"/>
      <c r="I1456" s="8" t="s">
        <v>5007</v>
      </c>
      <c r="J1456" s="8" t="s">
        <v>72</v>
      </c>
      <c r="K1456" s="8" t="s">
        <v>4982</v>
      </c>
      <c r="L1456" s="8" t="s">
        <v>4983</v>
      </c>
      <c r="M1456" s="8"/>
      <c r="N1456" s="8" t="s">
        <v>62</v>
      </c>
      <c r="O1456" s="8" t="s">
        <v>63</v>
      </c>
      <c r="P1456" s="4" t="n">
        <v>52</v>
      </c>
      <c r="Q1456" s="8"/>
      <c r="R1456" s="4" t="s">
        <v>5006</v>
      </c>
      <c r="S1456" s="4"/>
    </row>
    <row r="1457" customFormat="false" ht="26.85" hidden="false" customHeight="false" outlineLevel="0" collapsed="false">
      <c r="A1457" s="4" t="s">
        <v>5008</v>
      </c>
      <c r="B1457" s="8" t="s">
        <v>5009</v>
      </c>
      <c r="C1457" s="8"/>
      <c r="D1457" s="8"/>
      <c r="E1457" s="8"/>
      <c r="F1457" s="8"/>
      <c r="G1457" s="8"/>
      <c r="H1457" s="8"/>
      <c r="I1457" s="8" t="s">
        <v>5010</v>
      </c>
      <c r="J1457" s="8" t="s">
        <v>72</v>
      </c>
      <c r="K1457" s="8" t="s">
        <v>4982</v>
      </c>
      <c r="L1457" s="8" t="s">
        <v>4983</v>
      </c>
      <c r="M1457" s="8"/>
      <c r="N1457" s="8" t="s">
        <v>62</v>
      </c>
      <c r="O1457" s="8" t="s">
        <v>63</v>
      </c>
      <c r="P1457" s="4" t="n">
        <v>52</v>
      </c>
      <c r="Q1457" s="8"/>
      <c r="R1457" s="4" t="s">
        <v>5009</v>
      </c>
      <c r="S1457" s="4"/>
    </row>
    <row r="1458" customFormat="false" ht="26.85" hidden="false" customHeight="false" outlineLevel="0" collapsed="false">
      <c r="A1458" s="4" t="s">
        <v>5011</v>
      </c>
      <c r="B1458" s="8" t="s">
        <v>5012</v>
      </c>
      <c r="C1458" s="8"/>
      <c r="D1458" s="8"/>
      <c r="E1458" s="8"/>
      <c r="F1458" s="8"/>
      <c r="G1458" s="8"/>
      <c r="H1458" s="8"/>
      <c r="I1458" s="8" t="s">
        <v>5013</v>
      </c>
      <c r="J1458" s="8" t="s">
        <v>72</v>
      </c>
      <c r="K1458" s="8" t="s">
        <v>4982</v>
      </c>
      <c r="L1458" s="8" t="s">
        <v>4983</v>
      </c>
      <c r="M1458" s="8"/>
      <c r="N1458" s="8" t="s">
        <v>62</v>
      </c>
      <c r="O1458" s="8" t="s">
        <v>63</v>
      </c>
      <c r="P1458" s="4" t="n">
        <v>52</v>
      </c>
      <c r="Q1458" s="8"/>
      <c r="R1458" s="4" t="s">
        <v>5012</v>
      </c>
      <c r="S1458" s="4"/>
    </row>
    <row r="1459" customFormat="false" ht="26.85" hidden="false" customHeight="false" outlineLevel="0" collapsed="false">
      <c r="A1459" s="4" t="s">
        <v>5014</v>
      </c>
      <c r="B1459" s="8" t="s">
        <v>5015</v>
      </c>
      <c r="C1459" s="8"/>
      <c r="D1459" s="8"/>
      <c r="E1459" s="8"/>
      <c r="F1459" s="8"/>
      <c r="G1459" s="8"/>
      <c r="H1459" s="8"/>
      <c r="I1459" s="8" t="s">
        <v>5016</v>
      </c>
      <c r="J1459" s="8" t="s">
        <v>72</v>
      </c>
      <c r="K1459" s="8" t="s">
        <v>4982</v>
      </c>
      <c r="L1459" s="8" t="s">
        <v>4983</v>
      </c>
      <c r="M1459" s="8"/>
      <c r="N1459" s="8" t="s">
        <v>62</v>
      </c>
      <c r="O1459" s="8" t="s">
        <v>63</v>
      </c>
      <c r="P1459" s="4" t="n">
        <v>52</v>
      </c>
      <c r="Q1459" s="8"/>
      <c r="R1459" s="4" t="s">
        <v>5015</v>
      </c>
      <c r="S1459" s="4"/>
    </row>
    <row r="1460" customFormat="false" ht="26.85" hidden="false" customHeight="false" outlineLevel="0" collapsed="false">
      <c r="A1460" s="4" t="s">
        <v>5017</v>
      </c>
      <c r="B1460" s="8" t="s">
        <v>5018</v>
      </c>
      <c r="C1460" s="8"/>
      <c r="D1460" s="8"/>
      <c r="E1460" s="8"/>
      <c r="F1460" s="8"/>
      <c r="G1460" s="8"/>
      <c r="H1460" s="8"/>
      <c r="I1460" s="8" t="s">
        <v>5019</v>
      </c>
      <c r="J1460" s="8" t="s">
        <v>72</v>
      </c>
      <c r="K1460" s="8" t="s">
        <v>4982</v>
      </c>
      <c r="L1460" s="8" t="s">
        <v>4983</v>
      </c>
      <c r="M1460" s="8"/>
      <c r="N1460" s="8" t="s">
        <v>62</v>
      </c>
      <c r="O1460" s="8" t="s">
        <v>63</v>
      </c>
      <c r="P1460" s="4" t="n">
        <v>52</v>
      </c>
      <c r="Q1460" s="8"/>
      <c r="R1460" s="4" t="s">
        <v>5018</v>
      </c>
      <c r="S1460" s="4"/>
    </row>
    <row r="1461" customFormat="false" ht="26.85" hidden="false" customHeight="false" outlineLevel="0" collapsed="false">
      <c r="A1461" s="4" t="s">
        <v>5020</v>
      </c>
      <c r="B1461" s="8" t="s">
        <v>5021</v>
      </c>
      <c r="C1461" s="8"/>
      <c r="D1461" s="8"/>
      <c r="E1461" s="8"/>
      <c r="F1461" s="8"/>
      <c r="G1461" s="8"/>
      <c r="H1461" s="8"/>
      <c r="I1461" s="8" t="s">
        <v>5022</v>
      </c>
      <c r="J1461" s="8" t="s">
        <v>72</v>
      </c>
      <c r="K1461" s="8" t="s">
        <v>4982</v>
      </c>
      <c r="L1461" s="8" t="s">
        <v>4983</v>
      </c>
      <c r="M1461" s="8"/>
      <c r="N1461" s="8" t="s">
        <v>62</v>
      </c>
      <c r="O1461" s="8" t="s">
        <v>63</v>
      </c>
      <c r="P1461" s="4" t="n">
        <v>52</v>
      </c>
      <c r="Q1461" s="8"/>
      <c r="R1461" s="4" t="s">
        <v>5021</v>
      </c>
      <c r="S1461" s="4"/>
    </row>
    <row r="1462" customFormat="false" ht="26.85" hidden="false" customHeight="false" outlineLevel="0" collapsed="false">
      <c r="A1462" s="4" t="s">
        <v>5023</v>
      </c>
      <c r="B1462" s="8" t="s">
        <v>5024</v>
      </c>
      <c r="C1462" s="8"/>
      <c r="D1462" s="8"/>
      <c r="E1462" s="8"/>
      <c r="F1462" s="8"/>
      <c r="G1462" s="8"/>
      <c r="H1462" s="8"/>
      <c r="I1462" s="8" t="s">
        <v>5025</v>
      </c>
      <c r="J1462" s="8" t="s">
        <v>72</v>
      </c>
      <c r="K1462" s="8" t="s">
        <v>4982</v>
      </c>
      <c r="L1462" s="8" t="s">
        <v>4983</v>
      </c>
      <c r="M1462" s="8"/>
      <c r="N1462" s="8" t="s">
        <v>62</v>
      </c>
      <c r="O1462" s="8" t="s">
        <v>63</v>
      </c>
      <c r="P1462" s="4" t="n">
        <v>52</v>
      </c>
      <c r="Q1462" s="8"/>
      <c r="R1462" s="4" t="s">
        <v>5024</v>
      </c>
      <c r="S1462" s="4"/>
    </row>
    <row r="1463" customFormat="false" ht="26.85" hidden="false" customHeight="false" outlineLevel="0" collapsed="false">
      <c r="A1463" s="4" t="s">
        <v>5026</v>
      </c>
      <c r="B1463" s="8" t="s">
        <v>5027</v>
      </c>
      <c r="C1463" s="8"/>
      <c r="D1463" s="8"/>
      <c r="E1463" s="8"/>
      <c r="F1463" s="8"/>
      <c r="G1463" s="8"/>
      <c r="H1463" s="8"/>
      <c r="I1463" s="8" t="s">
        <v>5028</v>
      </c>
      <c r="J1463" s="8" t="s">
        <v>72</v>
      </c>
      <c r="K1463" s="8" t="s">
        <v>4982</v>
      </c>
      <c r="L1463" s="8" t="s">
        <v>4983</v>
      </c>
      <c r="M1463" s="8"/>
      <c r="N1463" s="8" t="s">
        <v>62</v>
      </c>
      <c r="O1463" s="8" t="s">
        <v>63</v>
      </c>
      <c r="P1463" s="4" t="n">
        <v>52</v>
      </c>
      <c r="Q1463" s="8"/>
      <c r="R1463" s="4" t="s">
        <v>5027</v>
      </c>
      <c r="S1463" s="4"/>
    </row>
    <row r="1464" customFormat="false" ht="26.85" hidden="false" customHeight="false" outlineLevel="0" collapsed="false">
      <c r="A1464" s="4" t="s">
        <v>5029</v>
      </c>
      <c r="B1464" s="8" t="s">
        <v>5030</v>
      </c>
      <c r="C1464" s="8"/>
      <c r="D1464" s="8"/>
      <c r="E1464" s="8"/>
      <c r="F1464" s="8"/>
      <c r="G1464" s="8"/>
      <c r="H1464" s="8"/>
      <c r="I1464" s="8" t="s">
        <v>5031</v>
      </c>
      <c r="J1464" s="8" t="s">
        <v>72</v>
      </c>
      <c r="K1464" s="8" t="s">
        <v>4982</v>
      </c>
      <c r="L1464" s="8" t="s">
        <v>4983</v>
      </c>
      <c r="M1464" s="8"/>
      <c r="N1464" s="8" t="s">
        <v>62</v>
      </c>
      <c r="O1464" s="8" t="s">
        <v>63</v>
      </c>
      <c r="P1464" s="4" t="n">
        <v>52</v>
      </c>
      <c r="Q1464" s="8"/>
      <c r="R1464" s="4" t="s">
        <v>5030</v>
      </c>
      <c r="S1464" s="4"/>
    </row>
    <row r="1465" customFormat="false" ht="26.85" hidden="false" customHeight="false" outlineLevel="0" collapsed="false">
      <c r="A1465" s="4" t="s">
        <v>5032</v>
      </c>
      <c r="B1465" s="8" t="s">
        <v>5033</v>
      </c>
      <c r="C1465" s="8"/>
      <c r="D1465" s="8"/>
      <c r="E1465" s="8"/>
      <c r="F1465" s="8"/>
      <c r="G1465" s="8"/>
      <c r="H1465" s="8"/>
      <c r="I1465" s="8" t="s">
        <v>5034</v>
      </c>
      <c r="J1465" s="8" t="s">
        <v>72</v>
      </c>
      <c r="K1465" s="8" t="s">
        <v>4982</v>
      </c>
      <c r="L1465" s="8" t="s">
        <v>4983</v>
      </c>
      <c r="M1465" s="8"/>
      <c r="N1465" s="8" t="s">
        <v>62</v>
      </c>
      <c r="O1465" s="8" t="s">
        <v>63</v>
      </c>
      <c r="P1465" s="4" t="n">
        <v>52</v>
      </c>
      <c r="Q1465" s="8"/>
      <c r="R1465" s="4" t="s">
        <v>5033</v>
      </c>
      <c r="S1465" s="4"/>
    </row>
    <row r="1466" customFormat="false" ht="26.85" hidden="false" customHeight="false" outlineLevel="0" collapsed="false">
      <c r="A1466" s="4" t="s">
        <v>5035</v>
      </c>
      <c r="B1466" s="8" t="s">
        <v>5036</v>
      </c>
      <c r="C1466" s="8"/>
      <c r="D1466" s="8"/>
      <c r="E1466" s="8"/>
      <c r="F1466" s="8"/>
      <c r="G1466" s="8"/>
      <c r="H1466" s="8"/>
      <c r="I1466" s="8" t="s">
        <v>5037</v>
      </c>
      <c r="J1466" s="8" t="s">
        <v>72</v>
      </c>
      <c r="K1466" s="8" t="s">
        <v>4982</v>
      </c>
      <c r="L1466" s="8" t="s">
        <v>4983</v>
      </c>
      <c r="M1466" s="8"/>
      <c r="N1466" s="8" t="s">
        <v>62</v>
      </c>
      <c r="O1466" s="8" t="s">
        <v>63</v>
      </c>
      <c r="P1466" s="4" t="n">
        <v>52</v>
      </c>
      <c r="Q1466" s="8"/>
      <c r="R1466" s="4" t="s">
        <v>5036</v>
      </c>
      <c r="S1466" s="4"/>
    </row>
    <row r="1467" customFormat="false" ht="26.85" hidden="false" customHeight="false" outlineLevel="0" collapsed="false">
      <c r="A1467" s="4" t="s">
        <v>5038</v>
      </c>
      <c r="B1467" s="8" t="s">
        <v>5039</v>
      </c>
      <c r="C1467" s="8"/>
      <c r="D1467" s="8"/>
      <c r="E1467" s="8"/>
      <c r="F1467" s="8"/>
      <c r="G1467" s="8"/>
      <c r="H1467" s="8"/>
      <c r="I1467" s="8" t="s">
        <v>5040</v>
      </c>
      <c r="J1467" s="8" t="s">
        <v>72</v>
      </c>
      <c r="K1467" s="8" t="s">
        <v>4982</v>
      </c>
      <c r="L1467" s="8" t="s">
        <v>4983</v>
      </c>
      <c r="M1467" s="8"/>
      <c r="N1467" s="8" t="s">
        <v>62</v>
      </c>
      <c r="O1467" s="8" t="s">
        <v>63</v>
      </c>
      <c r="P1467" s="4" t="n">
        <v>52</v>
      </c>
      <c r="Q1467" s="8"/>
      <c r="R1467" s="4" t="s">
        <v>5039</v>
      </c>
      <c r="S1467" s="4"/>
    </row>
    <row r="1468" customFormat="false" ht="26.85" hidden="false" customHeight="false" outlineLevel="0" collapsed="false">
      <c r="A1468" s="4" t="s">
        <v>5041</v>
      </c>
      <c r="B1468" s="8" t="s">
        <v>5042</v>
      </c>
      <c r="C1468" s="8"/>
      <c r="D1468" s="8"/>
      <c r="E1468" s="8"/>
      <c r="F1468" s="8"/>
      <c r="G1468" s="8"/>
      <c r="H1468" s="8"/>
      <c r="I1468" s="8" t="s">
        <v>5043</v>
      </c>
      <c r="J1468" s="8" t="s">
        <v>72</v>
      </c>
      <c r="K1468" s="8" t="s">
        <v>4982</v>
      </c>
      <c r="L1468" s="8" t="s">
        <v>4983</v>
      </c>
      <c r="M1468" s="8"/>
      <c r="N1468" s="8" t="s">
        <v>62</v>
      </c>
      <c r="O1468" s="8" t="s">
        <v>63</v>
      </c>
      <c r="P1468" s="4" t="n">
        <v>52</v>
      </c>
      <c r="Q1468" s="8"/>
      <c r="R1468" s="4" t="s">
        <v>5042</v>
      </c>
      <c r="S1468" s="4"/>
    </row>
    <row r="1469" customFormat="false" ht="26.85" hidden="false" customHeight="false" outlineLevel="0" collapsed="false">
      <c r="A1469" s="4" t="s">
        <v>5044</v>
      </c>
      <c r="B1469" s="8" t="s">
        <v>5045</v>
      </c>
      <c r="C1469" s="8"/>
      <c r="D1469" s="8"/>
      <c r="E1469" s="8"/>
      <c r="F1469" s="8"/>
      <c r="G1469" s="8"/>
      <c r="H1469" s="8"/>
      <c r="I1469" s="8" t="s">
        <v>5046</v>
      </c>
      <c r="J1469" s="8" t="s">
        <v>72</v>
      </c>
      <c r="K1469" s="8" t="s">
        <v>4982</v>
      </c>
      <c r="L1469" s="8" t="s">
        <v>4983</v>
      </c>
      <c r="M1469" s="8"/>
      <c r="N1469" s="8" t="s">
        <v>62</v>
      </c>
      <c r="O1469" s="8" t="s">
        <v>63</v>
      </c>
      <c r="P1469" s="4" t="n">
        <v>52</v>
      </c>
      <c r="Q1469" s="8"/>
      <c r="R1469" s="4" t="s">
        <v>5045</v>
      </c>
      <c r="S1469" s="4"/>
    </row>
    <row r="1470" customFormat="false" ht="26.85" hidden="false" customHeight="false" outlineLevel="0" collapsed="false">
      <c r="A1470" s="4" t="s">
        <v>5047</v>
      </c>
      <c r="B1470" s="8" t="s">
        <v>5048</v>
      </c>
      <c r="C1470" s="8"/>
      <c r="D1470" s="8"/>
      <c r="E1470" s="8"/>
      <c r="F1470" s="8"/>
      <c r="G1470" s="8"/>
      <c r="H1470" s="8"/>
      <c r="I1470" s="8" t="s">
        <v>5049</v>
      </c>
      <c r="J1470" s="8" t="s">
        <v>72</v>
      </c>
      <c r="K1470" s="8" t="s">
        <v>4982</v>
      </c>
      <c r="L1470" s="8" t="s">
        <v>4983</v>
      </c>
      <c r="M1470" s="8"/>
      <c r="N1470" s="8" t="s">
        <v>62</v>
      </c>
      <c r="O1470" s="8" t="s">
        <v>63</v>
      </c>
      <c r="P1470" s="4" t="n">
        <v>52</v>
      </c>
      <c r="Q1470" s="8"/>
      <c r="R1470" s="4" t="s">
        <v>5048</v>
      </c>
      <c r="S1470" s="4"/>
    </row>
    <row r="1471" customFormat="false" ht="26.85" hidden="false" customHeight="false" outlineLevel="0" collapsed="false">
      <c r="A1471" s="4" t="s">
        <v>5050</v>
      </c>
      <c r="B1471" s="8" t="s">
        <v>5051</v>
      </c>
      <c r="C1471" s="8"/>
      <c r="D1471" s="8"/>
      <c r="E1471" s="8"/>
      <c r="F1471" s="8"/>
      <c r="G1471" s="8"/>
      <c r="H1471" s="8"/>
      <c r="I1471" s="8" t="s">
        <v>5052</v>
      </c>
      <c r="J1471" s="8" t="s">
        <v>72</v>
      </c>
      <c r="K1471" s="8" t="s">
        <v>4982</v>
      </c>
      <c r="L1471" s="8" t="s">
        <v>4983</v>
      </c>
      <c r="M1471" s="8"/>
      <c r="N1471" s="8" t="s">
        <v>62</v>
      </c>
      <c r="O1471" s="8" t="s">
        <v>63</v>
      </c>
      <c r="P1471" s="4" t="n">
        <v>52</v>
      </c>
      <c r="Q1471" s="8"/>
      <c r="R1471" s="4" t="s">
        <v>5051</v>
      </c>
      <c r="S1471" s="4"/>
    </row>
    <row r="1472" customFormat="false" ht="26.85" hidden="false" customHeight="false" outlineLevel="0" collapsed="false">
      <c r="A1472" s="4" t="s">
        <v>5053</v>
      </c>
      <c r="B1472" s="8" t="s">
        <v>5054</v>
      </c>
      <c r="C1472" s="8"/>
      <c r="D1472" s="8"/>
      <c r="E1472" s="8"/>
      <c r="F1472" s="8"/>
      <c r="G1472" s="8"/>
      <c r="H1472" s="8"/>
      <c r="I1472" s="8" t="s">
        <v>5055</v>
      </c>
      <c r="J1472" s="8" t="s">
        <v>72</v>
      </c>
      <c r="K1472" s="8" t="s">
        <v>4982</v>
      </c>
      <c r="L1472" s="8" t="s">
        <v>4983</v>
      </c>
      <c r="M1472" s="8"/>
      <c r="N1472" s="8" t="s">
        <v>62</v>
      </c>
      <c r="O1472" s="8" t="s">
        <v>63</v>
      </c>
      <c r="P1472" s="4" t="n">
        <v>52</v>
      </c>
      <c r="Q1472" s="8"/>
      <c r="R1472" s="4" t="s">
        <v>5054</v>
      </c>
      <c r="S1472" s="4"/>
    </row>
    <row r="1473" customFormat="false" ht="26.85" hidden="false" customHeight="false" outlineLevel="0" collapsed="false">
      <c r="A1473" s="4" t="s">
        <v>5056</v>
      </c>
      <c r="B1473" s="8" t="s">
        <v>5057</v>
      </c>
      <c r="C1473" s="8"/>
      <c r="D1473" s="8"/>
      <c r="E1473" s="8"/>
      <c r="F1473" s="8"/>
      <c r="G1473" s="8"/>
      <c r="H1473" s="8"/>
      <c r="I1473" s="8" t="s">
        <v>5058</v>
      </c>
      <c r="J1473" s="8" t="s">
        <v>72</v>
      </c>
      <c r="K1473" s="8" t="s">
        <v>4982</v>
      </c>
      <c r="L1473" s="8" t="s">
        <v>4983</v>
      </c>
      <c r="M1473" s="8"/>
      <c r="N1473" s="8" t="s">
        <v>62</v>
      </c>
      <c r="O1473" s="8" t="s">
        <v>63</v>
      </c>
      <c r="P1473" s="4" t="n">
        <v>52</v>
      </c>
      <c r="Q1473" s="8"/>
      <c r="R1473" s="4" t="s">
        <v>5057</v>
      </c>
      <c r="S1473" s="4"/>
    </row>
    <row r="1474" customFormat="false" ht="26.85" hidden="false" customHeight="false" outlineLevel="0" collapsed="false">
      <c r="A1474" s="4" t="s">
        <v>5059</v>
      </c>
      <c r="B1474" s="8" t="s">
        <v>5060</v>
      </c>
      <c r="C1474" s="8"/>
      <c r="D1474" s="8"/>
      <c r="E1474" s="8"/>
      <c r="F1474" s="8"/>
      <c r="G1474" s="8"/>
      <c r="H1474" s="8"/>
      <c r="I1474" s="8" t="s">
        <v>5061</v>
      </c>
      <c r="J1474" s="8" t="s">
        <v>72</v>
      </c>
      <c r="K1474" s="8" t="s">
        <v>4982</v>
      </c>
      <c r="L1474" s="8" t="s">
        <v>4983</v>
      </c>
      <c r="M1474" s="8"/>
      <c r="N1474" s="8" t="s">
        <v>62</v>
      </c>
      <c r="O1474" s="8" t="s">
        <v>63</v>
      </c>
      <c r="P1474" s="4" t="n">
        <v>52</v>
      </c>
      <c r="Q1474" s="8"/>
      <c r="R1474" s="4" t="s">
        <v>5060</v>
      </c>
      <c r="S1474" s="4"/>
    </row>
    <row r="1475" customFormat="false" ht="26.85" hidden="false" customHeight="false" outlineLevel="0" collapsed="false">
      <c r="A1475" s="4" t="s">
        <v>5062</v>
      </c>
      <c r="B1475" s="8" t="s">
        <v>5063</v>
      </c>
      <c r="C1475" s="8"/>
      <c r="D1475" s="8"/>
      <c r="E1475" s="8"/>
      <c r="F1475" s="8"/>
      <c r="G1475" s="8"/>
      <c r="H1475" s="8"/>
      <c r="I1475" s="8" t="s">
        <v>5064</v>
      </c>
      <c r="J1475" s="8" t="s">
        <v>72</v>
      </c>
      <c r="K1475" s="8" t="s">
        <v>4982</v>
      </c>
      <c r="L1475" s="8" t="s">
        <v>4983</v>
      </c>
      <c r="M1475" s="8"/>
      <c r="N1475" s="8" t="s">
        <v>62</v>
      </c>
      <c r="O1475" s="8" t="s">
        <v>63</v>
      </c>
      <c r="P1475" s="4" t="n">
        <v>52</v>
      </c>
      <c r="Q1475" s="8"/>
      <c r="R1475" s="4" t="s">
        <v>5063</v>
      </c>
      <c r="S1475" s="4"/>
    </row>
    <row r="1476" customFormat="false" ht="26.85" hidden="false" customHeight="false" outlineLevel="0" collapsed="false">
      <c r="A1476" s="4" t="s">
        <v>5065</v>
      </c>
      <c r="B1476" s="8" t="s">
        <v>5066</v>
      </c>
      <c r="C1476" s="8"/>
      <c r="D1476" s="8"/>
      <c r="E1476" s="8"/>
      <c r="F1476" s="8"/>
      <c r="G1476" s="8"/>
      <c r="H1476" s="8"/>
      <c r="I1476" s="8" t="s">
        <v>5067</v>
      </c>
      <c r="J1476" s="8" t="s">
        <v>72</v>
      </c>
      <c r="K1476" s="8" t="s">
        <v>4982</v>
      </c>
      <c r="L1476" s="8" t="s">
        <v>4983</v>
      </c>
      <c r="M1476" s="8"/>
      <c r="N1476" s="8" t="s">
        <v>62</v>
      </c>
      <c r="O1476" s="8" t="s">
        <v>63</v>
      </c>
      <c r="P1476" s="4" t="n">
        <v>52</v>
      </c>
      <c r="Q1476" s="8"/>
      <c r="R1476" s="4" t="s">
        <v>5066</v>
      </c>
      <c r="S1476" s="4"/>
    </row>
    <row r="1477" customFormat="false" ht="26.85" hidden="false" customHeight="false" outlineLevel="0" collapsed="false">
      <c r="A1477" s="4" t="s">
        <v>5068</v>
      </c>
      <c r="B1477" s="8" t="s">
        <v>5069</v>
      </c>
      <c r="C1477" s="8"/>
      <c r="D1477" s="8"/>
      <c r="E1477" s="8"/>
      <c r="F1477" s="8"/>
      <c r="G1477" s="8"/>
      <c r="H1477" s="8"/>
      <c r="I1477" s="8" t="s">
        <v>5070</v>
      </c>
      <c r="J1477" s="8" t="s">
        <v>72</v>
      </c>
      <c r="K1477" s="8" t="s">
        <v>4982</v>
      </c>
      <c r="L1477" s="8" t="s">
        <v>4983</v>
      </c>
      <c r="M1477" s="8"/>
      <c r="N1477" s="8" t="s">
        <v>62</v>
      </c>
      <c r="O1477" s="8" t="s">
        <v>63</v>
      </c>
      <c r="P1477" s="4" t="n">
        <v>52</v>
      </c>
      <c r="Q1477" s="8"/>
      <c r="R1477" s="4" t="s">
        <v>5069</v>
      </c>
      <c r="S1477" s="4" t="n">
        <v>151</v>
      </c>
    </row>
    <row r="1478" customFormat="false" ht="26.85" hidden="false" customHeight="false" outlineLevel="0" collapsed="false">
      <c r="A1478" s="4" t="s">
        <v>5071</v>
      </c>
      <c r="B1478" s="8" t="s">
        <v>5072</v>
      </c>
      <c r="C1478" s="8"/>
      <c r="D1478" s="8"/>
      <c r="E1478" s="8"/>
      <c r="F1478" s="8"/>
      <c r="G1478" s="8"/>
      <c r="H1478" s="8"/>
      <c r="I1478" s="8" t="s">
        <v>5073</v>
      </c>
      <c r="J1478" s="8" t="s">
        <v>72</v>
      </c>
      <c r="K1478" s="8" t="s">
        <v>4982</v>
      </c>
      <c r="L1478" s="8" t="s">
        <v>4983</v>
      </c>
      <c r="M1478" s="8"/>
      <c r="N1478" s="8" t="s">
        <v>62</v>
      </c>
      <c r="O1478" s="8" t="s">
        <v>63</v>
      </c>
      <c r="P1478" s="4" t="n">
        <v>52</v>
      </c>
      <c r="Q1478" s="8"/>
      <c r="R1478" s="4" t="s">
        <v>5072</v>
      </c>
      <c r="S1478" s="4"/>
    </row>
    <row r="1479" customFormat="false" ht="26.85" hidden="false" customHeight="false" outlineLevel="0" collapsed="false">
      <c r="A1479" s="4" t="s">
        <v>5074</v>
      </c>
      <c r="B1479" s="8" t="s">
        <v>5075</v>
      </c>
      <c r="C1479" s="8"/>
      <c r="D1479" s="8"/>
      <c r="E1479" s="8"/>
      <c r="F1479" s="8"/>
      <c r="G1479" s="8"/>
      <c r="H1479" s="8"/>
      <c r="I1479" s="8" t="s">
        <v>5076</v>
      </c>
      <c r="J1479" s="8" t="s">
        <v>72</v>
      </c>
      <c r="K1479" s="8" t="s">
        <v>4982</v>
      </c>
      <c r="L1479" s="8" t="s">
        <v>4983</v>
      </c>
      <c r="M1479" s="8"/>
      <c r="N1479" s="8" t="s">
        <v>62</v>
      </c>
      <c r="O1479" s="8" t="s">
        <v>63</v>
      </c>
      <c r="P1479" s="4" t="n">
        <v>52</v>
      </c>
      <c r="Q1479" s="8"/>
      <c r="R1479" s="4" t="s">
        <v>5075</v>
      </c>
      <c r="S1479" s="4"/>
    </row>
    <row r="1480" customFormat="false" ht="26.85" hidden="false" customHeight="false" outlineLevel="0" collapsed="false">
      <c r="A1480" s="4" t="s">
        <v>5077</v>
      </c>
      <c r="B1480" s="8" t="s">
        <v>5078</v>
      </c>
      <c r="C1480" s="8" t="s">
        <v>58</v>
      </c>
      <c r="D1480" s="8" t="s">
        <v>67</v>
      </c>
      <c r="E1480" s="8" t="s">
        <v>60</v>
      </c>
      <c r="F1480" s="8"/>
      <c r="G1480" s="8"/>
      <c r="H1480" s="8"/>
      <c r="I1480" s="8" t="s">
        <v>5079</v>
      </c>
      <c r="J1480" s="8" t="s">
        <v>72</v>
      </c>
      <c r="K1480" s="8" t="s">
        <v>4982</v>
      </c>
      <c r="L1480" s="8" t="s">
        <v>4983</v>
      </c>
      <c r="M1480" s="8"/>
      <c r="N1480" s="8" t="s">
        <v>62</v>
      </c>
      <c r="O1480" s="8" t="s">
        <v>63</v>
      </c>
      <c r="P1480" s="4" t="n">
        <v>52</v>
      </c>
      <c r="Q1480" s="8"/>
      <c r="R1480" s="4" t="s">
        <v>5080</v>
      </c>
      <c r="S1480" s="4"/>
    </row>
    <row r="1481" customFormat="false" ht="26.85" hidden="false" customHeight="false" outlineLevel="0" collapsed="false">
      <c r="A1481" s="4" t="s">
        <v>5081</v>
      </c>
      <c r="B1481" s="8" t="s">
        <v>5082</v>
      </c>
      <c r="C1481" s="8"/>
      <c r="D1481" s="8"/>
      <c r="E1481" s="8"/>
      <c r="F1481" s="8"/>
      <c r="G1481" s="8"/>
      <c r="H1481" s="8"/>
      <c r="I1481" s="8" t="s">
        <v>5083</v>
      </c>
      <c r="J1481" s="8" t="s">
        <v>72</v>
      </c>
      <c r="K1481" s="8" t="s">
        <v>4982</v>
      </c>
      <c r="L1481" s="8" t="s">
        <v>4983</v>
      </c>
      <c r="M1481" s="8"/>
      <c r="N1481" s="8" t="s">
        <v>62</v>
      </c>
      <c r="O1481" s="8" t="s">
        <v>63</v>
      </c>
      <c r="P1481" s="4" t="n">
        <v>52</v>
      </c>
      <c r="Q1481" s="8"/>
      <c r="R1481" s="4" t="s">
        <v>5082</v>
      </c>
      <c r="S1481" s="4"/>
    </row>
    <row r="1482" customFormat="false" ht="26.85" hidden="false" customHeight="false" outlineLevel="0" collapsed="false">
      <c r="A1482" s="4" t="s">
        <v>5084</v>
      </c>
      <c r="B1482" s="8" t="s">
        <v>5085</v>
      </c>
      <c r="C1482" s="8" t="s">
        <v>58</v>
      </c>
      <c r="D1482" s="8"/>
      <c r="E1482" s="8" t="s">
        <v>60</v>
      </c>
      <c r="F1482" s="8"/>
      <c r="G1482" s="8"/>
      <c r="H1482" s="8"/>
      <c r="I1482" s="8" t="s">
        <v>5086</v>
      </c>
      <c r="J1482" s="8" t="s">
        <v>72</v>
      </c>
      <c r="K1482" s="8" t="s">
        <v>4982</v>
      </c>
      <c r="L1482" s="8" t="s">
        <v>4983</v>
      </c>
      <c r="M1482" s="8"/>
      <c r="N1482" s="8" t="s">
        <v>62</v>
      </c>
      <c r="O1482" s="8" t="s">
        <v>63</v>
      </c>
      <c r="P1482" s="4" t="n">
        <v>52</v>
      </c>
      <c r="Q1482" s="8"/>
      <c r="R1482" s="4" t="s">
        <v>5087</v>
      </c>
      <c r="S1482" s="4"/>
    </row>
    <row r="1483" customFormat="false" ht="26.85" hidden="false" customHeight="false" outlineLevel="0" collapsed="false">
      <c r="A1483" s="4" t="s">
        <v>5088</v>
      </c>
      <c r="B1483" s="8" t="s">
        <v>5089</v>
      </c>
      <c r="C1483" s="8" t="s">
        <v>66</v>
      </c>
      <c r="D1483" s="8" t="s">
        <v>67</v>
      </c>
      <c r="E1483" s="8" t="s">
        <v>60</v>
      </c>
      <c r="F1483" s="8"/>
      <c r="G1483" s="8"/>
      <c r="H1483" s="8"/>
      <c r="I1483" s="8" t="s">
        <v>5090</v>
      </c>
      <c r="J1483" s="8" t="s">
        <v>72</v>
      </c>
      <c r="K1483" s="8" t="s">
        <v>4982</v>
      </c>
      <c r="L1483" s="8" t="s">
        <v>4983</v>
      </c>
      <c r="M1483" s="8"/>
      <c r="N1483" s="8" t="s">
        <v>62</v>
      </c>
      <c r="O1483" s="8" t="s">
        <v>63</v>
      </c>
      <c r="P1483" s="4" t="n">
        <v>52</v>
      </c>
      <c r="Q1483" s="8"/>
      <c r="R1483" s="4" t="s">
        <v>5091</v>
      </c>
      <c r="S1483" s="4"/>
    </row>
    <row r="1484" customFormat="false" ht="26.85" hidden="false" customHeight="false" outlineLevel="0" collapsed="false">
      <c r="A1484" s="4" t="s">
        <v>5092</v>
      </c>
      <c r="B1484" s="8" t="s">
        <v>5093</v>
      </c>
      <c r="C1484" s="8"/>
      <c r="D1484" s="8"/>
      <c r="E1484" s="8"/>
      <c r="F1484" s="8"/>
      <c r="G1484" s="8"/>
      <c r="H1484" s="8"/>
      <c r="I1484" s="8" t="s">
        <v>5094</v>
      </c>
      <c r="J1484" s="8" t="s">
        <v>72</v>
      </c>
      <c r="K1484" s="8" t="s">
        <v>4982</v>
      </c>
      <c r="L1484" s="8" t="s">
        <v>5095</v>
      </c>
      <c r="M1484" s="8"/>
      <c r="N1484" s="8" t="s">
        <v>62</v>
      </c>
      <c r="O1484" s="8" t="s">
        <v>63</v>
      </c>
      <c r="P1484" s="4" t="n">
        <v>52</v>
      </c>
      <c r="Q1484" s="8"/>
      <c r="R1484" s="4" t="s">
        <v>5093</v>
      </c>
      <c r="S1484" s="4"/>
    </row>
    <row r="1485" customFormat="false" ht="26.85" hidden="false" customHeight="false" outlineLevel="0" collapsed="false">
      <c r="A1485" s="4" t="s">
        <v>5096</v>
      </c>
      <c r="B1485" s="8" t="s">
        <v>5097</v>
      </c>
      <c r="C1485" s="8"/>
      <c r="D1485" s="8"/>
      <c r="E1485" s="8"/>
      <c r="F1485" s="8"/>
      <c r="G1485" s="8"/>
      <c r="H1485" s="8"/>
      <c r="I1485" s="8" t="s">
        <v>5098</v>
      </c>
      <c r="J1485" s="8" t="s">
        <v>72</v>
      </c>
      <c r="K1485" s="8" t="s">
        <v>4982</v>
      </c>
      <c r="L1485" s="8" t="s">
        <v>5095</v>
      </c>
      <c r="M1485" s="8"/>
      <c r="N1485" s="8" t="s">
        <v>62</v>
      </c>
      <c r="O1485" s="8" t="s">
        <v>63</v>
      </c>
      <c r="P1485" s="4" t="n">
        <v>52</v>
      </c>
      <c r="Q1485" s="8"/>
      <c r="R1485" s="4" t="s">
        <v>5097</v>
      </c>
      <c r="S1485" s="4"/>
    </row>
    <row r="1486" customFormat="false" ht="26.85" hidden="false" customHeight="false" outlineLevel="0" collapsed="false">
      <c r="A1486" s="4" t="s">
        <v>5099</v>
      </c>
      <c r="B1486" s="8" t="s">
        <v>5100</v>
      </c>
      <c r="C1486" s="8"/>
      <c r="D1486" s="8"/>
      <c r="E1486" s="8"/>
      <c r="F1486" s="8"/>
      <c r="G1486" s="8"/>
      <c r="H1486" s="8"/>
      <c r="I1486" s="8" t="s">
        <v>5101</v>
      </c>
      <c r="J1486" s="8" t="s">
        <v>72</v>
      </c>
      <c r="K1486" s="8" t="s">
        <v>4982</v>
      </c>
      <c r="L1486" s="8" t="s">
        <v>5095</v>
      </c>
      <c r="M1486" s="8"/>
      <c r="N1486" s="8" t="s">
        <v>62</v>
      </c>
      <c r="O1486" s="8" t="s">
        <v>63</v>
      </c>
      <c r="P1486" s="4" t="n">
        <v>52</v>
      </c>
      <c r="Q1486" s="8"/>
      <c r="R1486" s="4" t="s">
        <v>5100</v>
      </c>
      <c r="S1486" s="4"/>
    </row>
    <row r="1487" customFormat="false" ht="26.85" hidden="false" customHeight="false" outlineLevel="0" collapsed="false">
      <c r="A1487" s="4" t="s">
        <v>5102</v>
      </c>
      <c r="B1487" s="8" t="s">
        <v>5103</v>
      </c>
      <c r="C1487" s="8"/>
      <c r="D1487" s="8"/>
      <c r="E1487" s="8"/>
      <c r="F1487" s="8"/>
      <c r="G1487" s="8"/>
      <c r="H1487" s="8"/>
      <c r="I1487" s="8" t="s">
        <v>5104</v>
      </c>
      <c r="J1487" s="8" t="s">
        <v>72</v>
      </c>
      <c r="K1487" s="8" t="s">
        <v>4982</v>
      </c>
      <c r="L1487" s="8" t="s">
        <v>5095</v>
      </c>
      <c r="M1487" s="8"/>
      <c r="N1487" s="8" t="s">
        <v>62</v>
      </c>
      <c r="O1487" s="8" t="s">
        <v>63</v>
      </c>
      <c r="P1487" s="4" t="n">
        <v>52</v>
      </c>
      <c r="Q1487" s="8"/>
      <c r="R1487" s="4" t="s">
        <v>5103</v>
      </c>
      <c r="S1487" s="4"/>
    </row>
    <row r="1488" customFormat="false" ht="26.85" hidden="false" customHeight="false" outlineLevel="0" collapsed="false">
      <c r="A1488" s="4" t="s">
        <v>5105</v>
      </c>
      <c r="B1488" s="8" t="s">
        <v>5106</v>
      </c>
      <c r="C1488" s="8"/>
      <c r="D1488" s="8"/>
      <c r="E1488" s="8"/>
      <c r="F1488" s="8"/>
      <c r="G1488" s="8"/>
      <c r="H1488" s="8"/>
      <c r="I1488" s="8" t="s">
        <v>5107</v>
      </c>
      <c r="J1488" s="8" t="s">
        <v>72</v>
      </c>
      <c r="K1488" s="8" t="s">
        <v>4982</v>
      </c>
      <c r="L1488" s="8" t="s">
        <v>5095</v>
      </c>
      <c r="M1488" s="8"/>
      <c r="N1488" s="8" t="s">
        <v>62</v>
      </c>
      <c r="O1488" s="8" t="s">
        <v>63</v>
      </c>
      <c r="P1488" s="4" t="n">
        <v>52</v>
      </c>
      <c r="Q1488" s="8"/>
      <c r="R1488" s="4" t="s">
        <v>5106</v>
      </c>
      <c r="S1488" s="4"/>
    </row>
    <row r="1489" customFormat="false" ht="26.85" hidden="false" customHeight="false" outlineLevel="0" collapsed="false">
      <c r="A1489" s="4" t="s">
        <v>5108</v>
      </c>
      <c r="B1489" s="8" t="s">
        <v>5109</v>
      </c>
      <c r="C1489" s="8"/>
      <c r="D1489" s="8"/>
      <c r="E1489" s="8"/>
      <c r="F1489" s="8"/>
      <c r="G1489" s="8"/>
      <c r="H1489" s="8"/>
      <c r="I1489" s="8" t="s">
        <v>89</v>
      </c>
      <c r="J1489" s="8" t="s">
        <v>72</v>
      </c>
      <c r="K1489" s="8" t="s">
        <v>4982</v>
      </c>
      <c r="L1489" s="8" t="s">
        <v>5095</v>
      </c>
      <c r="M1489" s="8"/>
      <c r="N1489" s="8" t="s">
        <v>62</v>
      </c>
      <c r="O1489" s="8" t="s">
        <v>63</v>
      </c>
      <c r="P1489" s="4" t="n">
        <v>52</v>
      </c>
      <c r="Q1489" s="8"/>
      <c r="R1489" s="4" t="s">
        <v>5109</v>
      </c>
      <c r="S1489" s="4" t="n">
        <v>1058</v>
      </c>
    </row>
    <row r="1490" customFormat="false" ht="26.85" hidden="false" customHeight="false" outlineLevel="0" collapsed="false">
      <c r="A1490" s="4" t="s">
        <v>5110</v>
      </c>
      <c r="B1490" s="8" t="s">
        <v>5111</v>
      </c>
      <c r="C1490" s="8"/>
      <c r="D1490" s="8"/>
      <c r="E1490" s="8"/>
      <c r="F1490" s="8"/>
      <c r="G1490" s="8"/>
      <c r="H1490" s="8"/>
      <c r="I1490" s="8" t="s">
        <v>5112</v>
      </c>
      <c r="J1490" s="8" t="s">
        <v>72</v>
      </c>
      <c r="K1490" s="8" t="s">
        <v>4982</v>
      </c>
      <c r="L1490" s="8" t="s">
        <v>5095</v>
      </c>
      <c r="M1490" s="8"/>
      <c r="N1490" s="8" t="s">
        <v>62</v>
      </c>
      <c r="O1490" s="8" t="s">
        <v>63</v>
      </c>
      <c r="P1490" s="4" t="n">
        <v>52</v>
      </c>
      <c r="Q1490" s="8"/>
      <c r="R1490" s="4" t="s">
        <v>5111</v>
      </c>
      <c r="S1490" s="4"/>
    </row>
    <row r="1491" customFormat="false" ht="26.85" hidden="false" customHeight="false" outlineLevel="0" collapsed="false">
      <c r="A1491" s="4" t="s">
        <v>5113</v>
      </c>
      <c r="B1491" s="8" t="s">
        <v>5114</v>
      </c>
      <c r="C1491" s="8"/>
      <c r="D1491" s="8"/>
      <c r="E1491" s="8"/>
      <c r="F1491" s="8"/>
      <c r="G1491" s="8"/>
      <c r="H1491" s="8"/>
      <c r="I1491" s="8" t="s">
        <v>5115</v>
      </c>
      <c r="J1491" s="8" t="s">
        <v>72</v>
      </c>
      <c r="K1491" s="8" t="s">
        <v>4982</v>
      </c>
      <c r="L1491" s="8" t="s">
        <v>5095</v>
      </c>
      <c r="M1491" s="8"/>
      <c r="N1491" s="8" t="s">
        <v>62</v>
      </c>
      <c r="O1491" s="8" t="s">
        <v>63</v>
      </c>
      <c r="P1491" s="4" t="n">
        <v>52</v>
      </c>
      <c r="Q1491" s="8"/>
      <c r="R1491" s="4" t="s">
        <v>5114</v>
      </c>
      <c r="S1491" s="4"/>
    </row>
    <row r="1492" customFormat="false" ht="26.85" hidden="false" customHeight="false" outlineLevel="0" collapsed="false">
      <c r="A1492" s="4" t="s">
        <v>5116</v>
      </c>
      <c r="B1492" s="8" t="s">
        <v>5117</v>
      </c>
      <c r="C1492" s="8"/>
      <c r="D1492" s="8"/>
      <c r="E1492" s="8"/>
      <c r="F1492" s="8"/>
      <c r="G1492" s="8"/>
      <c r="H1492" s="8"/>
      <c r="I1492" s="8" t="s">
        <v>5118</v>
      </c>
      <c r="J1492" s="8" t="s">
        <v>72</v>
      </c>
      <c r="K1492" s="8" t="s">
        <v>4982</v>
      </c>
      <c r="L1492" s="8" t="s">
        <v>5095</v>
      </c>
      <c r="M1492" s="8"/>
      <c r="N1492" s="8" t="s">
        <v>62</v>
      </c>
      <c r="O1492" s="8" t="s">
        <v>63</v>
      </c>
      <c r="P1492" s="4" t="n">
        <v>52</v>
      </c>
      <c r="Q1492" s="8"/>
      <c r="R1492" s="4" t="s">
        <v>5117</v>
      </c>
      <c r="S1492" s="4"/>
    </row>
    <row r="1493" customFormat="false" ht="26.85" hidden="false" customHeight="false" outlineLevel="0" collapsed="false">
      <c r="A1493" s="4" t="s">
        <v>5119</v>
      </c>
      <c r="B1493" s="8" t="s">
        <v>5120</v>
      </c>
      <c r="C1493" s="8"/>
      <c r="D1493" s="8"/>
      <c r="E1493" s="8"/>
      <c r="F1493" s="8"/>
      <c r="G1493" s="8"/>
      <c r="H1493" s="8"/>
      <c r="I1493" s="8" t="s">
        <v>5121</v>
      </c>
      <c r="J1493" s="8" t="s">
        <v>72</v>
      </c>
      <c r="K1493" s="8" t="s">
        <v>4982</v>
      </c>
      <c r="L1493" s="8" t="s">
        <v>5095</v>
      </c>
      <c r="M1493" s="8"/>
      <c r="N1493" s="8" t="s">
        <v>62</v>
      </c>
      <c r="O1493" s="8" t="s">
        <v>63</v>
      </c>
      <c r="P1493" s="4" t="n">
        <v>52</v>
      </c>
      <c r="Q1493" s="8"/>
      <c r="R1493" s="4" t="s">
        <v>5120</v>
      </c>
      <c r="S1493" s="4"/>
    </row>
    <row r="1494" customFormat="false" ht="26.85" hidden="false" customHeight="false" outlineLevel="0" collapsed="false">
      <c r="A1494" s="4" t="s">
        <v>5122</v>
      </c>
      <c r="B1494" s="8" t="s">
        <v>5123</v>
      </c>
      <c r="C1494" s="8"/>
      <c r="D1494" s="8"/>
      <c r="E1494" s="8"/>
      <c r="F1494" s="8"/>
      <c r="G1494" s="8"/>
      <c r="H1494" s="8"/>
      <c r="I1494" s="8" t="s">
        <v>5124</v>
      </c>
      <c r="J1494" s="8" t="s">
        <v>72</v>
      </c>
      <c r="K1494" s="8" t="s">
        <v>4982</v>
      </c>
      <c r="L1494" s="8" t="s">
        <v>5095</v>
      </c>
      <c r="M1494" s="8"/>
      <c r="N1494" s="8" t="s">
        <v>62</v>
      </c>
      <c r="O1494" s="8" t="s">
        <v>63</v>
      </c>
      <c r="P1494" s="4" t="n">
        <v>52</v>
      </c>
      <c r="Q1494" s="8"/>
      <c r="R1494" s="4" t="s">
        <v>5123</v>
      </c>
      <c r="S1494" s="4"/>
    </row>
    <row r="1495" customFormat="false" ht="26.85" hidden="false" customHeight="false" outlineLevel="0" collapsed="false">
      <c r="A1495" s="4" t="s">
        <v>5125</v>
      </c>
      <c r="B1495" s="8" t="s">
        <v>5126</v>
      </c>
      <c r="C1495" s="8"/>
      <c r="D1495" s="8"/>
      <c r="E1495" s="8"/>
      <c r="F1495" s="8"/>
      <c r="G1495" s="8"/>
      <c r="H1495" s="8"/>
      <c r="I1495" s="8" t="s">
        <v>5127</v>
      </c>
      <c r="J1495" s="8" t="s">
        <v>72</v>
      </c>
      <c r="K1495" s="8" t="s">
        <v>4982</v>
      </c>
      <c r="L1495" s="8" t="s">
        <v>5095</v>
      </c>
      <c r="M1495" s="8"/>
      <c r="N1495" s="8" t="s">
        <v>62</v>
      </c>
      <c r="O1495" s="8" t="s">
        <v>63</v>
      </c>
      <c r="P1495" s="4" t="n">
        <v>52</v>
      </c>
      <c r="Q1495" s="8"/>
      <c r="R1495" s="4" t="s">
        <v>5126</v>
      </c>
      <c r="S1495" s="4"/>
    </row>
    <row r="1496" customFormat="false" ht="26.85" hidden="false" customHeight="false" outlineLevel="0" collapsed="false">
      <c r="A1496" s="4" t="s">
        <v>5128</v>
      </c>
      <c r="B1496" s="8" t="s">
        <v>5129</v>
      </c>
      <c r="C1496" s="8"/>
      <c r="D1496" s="8"/>
      <c r="E1496" s="8"/>
      <c r="F1496" s="8"/>
      <c r="G1496" s="8"/>
      <c r="H1496" s="8"/>
      <c r="I1496" s="8" t="s">
        <v>93</v>
      </c>
      <c r="J1496" s="8" t="s">
        <v>72</v>
      </c>
      <c r="K1496" s="8" t="s">
        <v>4982</v>
      </c>
      <c r="L1496" s="8" t="s">
        <v>5095</v>
      </c>
      <c r="M1496" s="8"/>
      <c r="N1496" s="8" t="s">
        <v>62</v>
      </c>
      <c r="O1496" s="8" t="s">
        <v>63</v>
      </c>
      <c r="P1496" s="4" t="n">
        <v>52</v>
      </c>
      <c r="Q1496" s="8"/>
      <c r="R1496" s="4" t="s">
        <v>5129</v>
      </c>
      <c r="S1496" s="4"/>
    </row>
    <row r="1497" customFormat="false" ht="26.85" hidden="false" customHeight="false" outlineLevel="0" collapsed="false">
      <c r="A1497" s="4" t="s">
        <v>5130</v>
      </c>
      <c r="B1497" s="8" t="s">
        <v>5131</v>
      </c>
      <c r="C1497" s="8"/>
      <c r="D1497" s="8"/>
      <c r="E1497" s="8"/>
      <c r="F1497" s="8"/>
      <c r="G1497" s="8"/>
      <c r="H1497" s="8"/>
      <c r="I1497" s="8" t="s">
        <v>5132</v>
      </c>
      <c r="J1497" s="8" t="s">
        <v>72</v>
      </c>
      <c r="K1497" s="8" t="s">
        <v>4982</v>
      </c>
      <c r="L1497" s="8" t="s">
        <v>5095</v>
      </c>
      <c r="M1497" s="8"/>
      <c r="N1497" s="8" t="s">
        <v>62</v>
      </c>
      <c r="O1497" s="8" t="s">
        <v>63</v>
      </c>
      <c r="P1497" s="4" t="n">
        <v>52</v>
      </c>
      <c r="Q1497" s="8"/>
      <c r="R1497" s="4" t="s">
        <v>5131</v>
      </c>
      <c r="S1497" s="4"/>
    </row>
    <row r="1498" customFormat="false" ht="26.85" hidden="false" customHeight="false" outlineLevel="0" collapsed="false">
      <c r="A1498" s="4" t="s">
        <v>5133</v>
      </c>
      <c r="B1498" s="8" t="s">
        <v>3160</v>
      </c>
      <c r="C1498" s="8" t="s">
        <v>58</v>
      </c>
      <c r="D1498" s="8"/>
      <c r="E1498" s="8" t="s">
        <v>60</v>
      </c>
      <c r="F1498" s="8"/>
      <c r="G1498" s="8"/>
      <c r="H1498" s="8"/>
      <c r="I1498" s="8" t="s">
        <v>5134</v>
      </c>
      <c r="J1498" s="8" t="s">
        <v>72</v>
      </c>
      <c r="K1498" s="8" t="s">
        <v>4982</v>
      </c>
      <c r="L1498" s="8" t="s">
        <v>5135</v>
      </c>
      <c r="M1498" s="8"/>
      <c r="N1498" s="8" t="s">
        <v>62</v>
      </c>
      <c r="O1498" s="8" t="s">
        <v>63</v>
      </c>
      <c r="P1498" s="4" t="n">
        <v>53</v>
      </c>
      <c r="Q1498" s="8"/>
      <c r="R1498" s="4" t="s">
        <v>5136</v>
      </c>
      <c r="S1498" s="4"/>
    </row>
    <row r="1499" customFormat="false" ht="26.85" hidden="false" customHeight="false" outlineLevel="0" collapsed="false">
      <c r="A1499" s="4" t="s">
        <v>5137</v>
      </c>
      <c r="B1499" s="8" t="s">
        <v>5138</v>
      </c>
      <c r="C1499" s="8" t="s">
        <v>58</v>
      </c>
      <c r="D1499" s="8"/>
      <c r="E1499" s="8" t="s">
        <v>60</v>
      </c>
      <c r="F1499" s="8"/>
      <c r="G1499" s="8"/>
      <c r="H1499" s="8"/>
      <c r="I1499" s="8" t="s">
        <v>5139</v>
      </c>
      <c r="J1499" s="8" t="s">
        <v>72</v>
      </c>
      <c r="K1499" s="8" t="s">
        <v>4982</v>
      </c>
      <c r="L1499" s="8" t="s">
        <v>5135</v>
      </c>
      <c r="M1499" s="8"/>
      <c r="N1499" s="8" t="s">
        <v>62</v>
      </c>
      <c r="O1499" s="8" t="s">
        <v>63</v>
      </c>
      <c r="P1499" s="4" t="n">
        <v>53</v>
      </c>
      <c r="Q1499" s="8"/>
      <c r="R1499" s="4" t="s">
        <v>5140</v>
      </c>
      <c r="S1499" s="4"/>
    </row>
    <row r="1500" customFormat="false" ht="26.85" hidden="false" customHeight="false" outlineLevel="0" collapsed="false">
      <c r="A1500" s="4" t="s">
        <v>5141</v>
      </c>
      <c r="B1500" s="8" t="s">
        <v>5142</v>
      </c>
      <c r="C1500" s="8" t="s">
        <v>58</v>
      </c>
      <c r="D1500" s="8"/>
      <c r="E1500" s="8" t="s">
        <v>60</v>
      </c>
      <c r="F1500" s="8"/>
      <c r="G1500" s="8"/>
      <c r="H1500" s="8"/>
      <c r="I1500" s="8" t="s">
        <v>5143</v>
      </c>
      <c r="J1500" s="8" t="s">
        <v>72</v>
      </c>
      <c r="K1500" s="8" t="s">
        <v>4982</v>
      </c>
      <c r="L1500" s="8" t="s">
        <v>5135</v>
      </c>
      <c r="M1500" s="8"/>
      <c r="N1500" s="8" t="s">
        <v>62</v>
      </c>
      <c r="O1500" s="8" t="s">
        <v>63</v>
      </c>
      <c r="P1500" s="4" t="n">
        <v>53</v>
      </c>
      <c r="Q1500" s="8"/>
      <c r="R1500" s="4" t="s">
        <v>5144</v>
      </c>
      <c r="S1500" s="4"/>
    </row>
    <row r="1501" customFormat="false" ht="26.85" hidden="false" customHeight="false" outlineLevel="0" collapsed="false">
      <c r="A1501" s="4" t="s">
        <v>5145</v>
      </c>
      <c r="B1501" s="8" t="s">
        <v>5146</v>
      </c>
      <c r="C1501" s="8"/>
      <c r="D1501" s="8"/>
      <c r="E1501" s="8"/>
      <c r="F1501" s="8"/>
      <c r="G1501" s="8"/>
      <c r="H1501" s="8"/>
      <c r="I1501" s="8" t="s">
        <v>5147</v>
      </c>
      <c r="J1501" s="8" t="s">
        <v>72</v>
      </c>
      <c r="K1501" s="8" t="s">
        <v>4982</v>
      </c>
      <c r="L1501" s="8" t="s">
        <v>5135</v>
      </c>
      <c r="M1501" s="8"/>
      <c r="N1501" s="8" t="s">
        <v>62</v>
      </c>
      <c r="O1501" s="8" t="s">
        <v>63</v>
      </c>
      <c r="P1501" s="4" t="n">
        <v>53</v>
      </c>
      <c r="Q1501" s="8"/>
      <c r="R1501" s="4" t="s">
        <v>5146</v>
      </c>
      <c r="S1501" s="4"/>
    </row>
    <row r="1502" customFormat="false" ht="26.85" hidden="false" customHeight="false" outlineLevel="0" collapsed="false">
      <c r="A1502" s="4" t="s">
        <v>5148</v>
      </c>
      <c r="B1502" s="8" t="s">
        <v>5149</v>
      </c>
      <c r="C1502" s="8"/>
      <c r="D1502" s="8"/>
      <c r="E1502" s="8"/>
      <c r="F1502" s="8"/>
      <c r="G1502" s="8"/>
      <c r="H1502" s="8"/>
      <c r="I1502" s="8" t="s">
        <v>5150</v>
      </c>
      <c r="J1502" s="8" t="s">
        <v>72</v>
      </c>
      <c r="K1502" s="8" t="s">
        <v>4982</v>
      </c>
      <c r="L1502" s="8" t="s">
        <v>5135</v>
      </c>
      <c r="M1502" s="8"/>
      <c r="N1502" s="8" t="s">
        <v>62</v>
      </c>
      <c r="O1502" s="8" t="s">
        <v>63</v>
      </c>
      <c r="P1502" s="4" t="n">
        <v>53</v>
      </c>
      <c r="Q1502" s="8"/>
      <c r="R1502" s="4" t="s">
        <v>5149</v>
      </c>
      <c r="S1502" s="4"/>
    </row>
    <row r="1503" customFormat="false" ht="26.85" hidden="false" customHeight="false" outlineLevel="0" collapsed="false">
      <c r="A1503" s="4" t="s">
        <v>5151</v>
      </c>
      <c r="B1503" s="8" t="s">
        <v>5152</v>
      </c>
      <c r="C1503" s="8"/>
      <c r="D1503" s="8"/>
      <c r="E1503" s="8"/>
      <c r="F1503" s="8"/>
      <c r="G1503" s="8"/>
      <c r="H1503" s="8"/>
      <c r="I1503" s="8" t="s">
        <v>5153</v>
      </c>
      <c r="J1503" s="8" t="s">
        <v>72</v>
      </c>
      <c r="K1503" s="8" t="s">
        <v>4982</v>
      </c>
      <c r="L1503" s="8" t="s">
        <v>5135</v>
      </c>
      <c r="M1503" s="8"/>
      <c r="N1503" s="8" t="s">
        <v>62</v>
      </c>
      <c r="O1503" s="8" t="s">
        <v>63</v>
      </c>
      <c r="P1503" s="4" t="n">
        <v>53</v>
      </c>
      <c r="Q1503" s="8"/>
      <c r="R1503" s="4" t="s">
        <v>5152</v>
      </c>
      <c r="S1503" s="4" t="n">
        <v>1679</v>
      </c>
    </row>
    <row r="1504" customFormat="false" ht="26.85" hidden="false" customHeight="false" outlineLevel="0" collapsed="false">
      <c r="A1504" s="4" t="s">
        <v>5154</v>
      </c>
      <c r="B1504" s="8" t="s">
        <v>5155</v>
      </c>
      <c r="C1504" s="8" t="s">
        <v>58</v>
      </c>
      <c r="D1504" s="8"/>
      <c r="E1504" s="8" t="s">
        <v>60</v>
      </c>
      <c r="F1504" s="8"/>
      <c r="G1504" s="8"/>
      <c r="H1504" s="8"/>
      <c r="I1504" s="8" t="s">
        <v>5156</v>
      </c>
      <c r="J1504" s="8" t="s">
        <v>72</v>
      </c>
      <c r="K1504" s="8" t="s">
        <v>4982</v>
      </c>
      <c r="L1504" s="8" t="s">
        <v>5135</v>
      </c>
      <c r="M1504" s="8"/>
      <c r="N1504" s="8" t="s">
        <v>62</v>
      </c>
      <c r="O1504" s="8" t="s">
        <v>63</v>
      </c>
      <c r="P1504" s="4" t="n">
        <v>53</v>
      </c>
      <c r="Q1504" s="8"/>
      <c r="R1504" s="4" t="s">
        <v>5157</v>
      </c>
      <c r="S1504" s="4"/>
    </row>
    <row r="1505" customFormat="false" ht="26.85" hidden="false" customHeight="false" outlineLevel="0" collapsed="false">
      <c r="A1505" s="4" t="s">
        <v>5158</v>
      </c>
      <c r="B1505" s="8" t="s">
        <v>5159</v>
      </c>
      <c r="C1505" s="8" t="s">
        <v>58</v>
      </c>
      <c r="D1505" s="8"/>
      <c r="E1505" s="8" t="s">
        <v>60</v>
      </c>
      <c r="F1505" s="8"/>
      <c r="G1505" s="8"/>
      <c r="H1505" s="8"/>
      <c r="I1505" s="8" t="s">
        <v>5160</v>
      </c>
      <c r="J1505" s="8" t="s">
        <v>72</v>
      </c>
      <c r="K1505" s="8" t="s">
        <v>4982</v>
      </c>
      <c r="L1505" s="8" t="s">
        <v>5135</v>
      </c>
      <c r="M1505" s="8"/>
      <c r="N1505" s="8" t="s">
        <v>62</v>
      </c>
      <c r="O1505" s="8" t="s">
        <v>63</v>
      </c>
      <c r="P1505" s="4" t="n">
        <v>53</v>
      </c>
      <c r="Q1505" s="8"/>
      <c r="R1505" s="4" t="s">
        <v>5161</v>
      </c>
      <c r="S1505" s="4"/>
    </row>
    <row r="1506" customFormat="false" ht="26.85" hidden="false" customHeight="false" outlineLevel="0" collapsed="false">
      <c r="A1506" s="4" t="s">
        <v>5162</v>
      </c>
      <c r="B1506" s="8" t="s">
        <v>5163</v>
      </c>
      <c r="C1506" s="8"/>
      <c r="D1506" s="8"/>
      <c r="E1506" s="8"/>
      <c r="F1506" s="8"/>
      <c r="G1506" s="8"/>
      <c r="H1506" s="8"/>
      <c r="I1506" s="8" t="s">
        <v>5164</v>
      </c>
      <c r="J1506" s="8" t="s">
        <v>72</v>
      </c>
      <c r="K1506" s="8" t="s">
        <v>4982</v>
      </c>
      <c r="L1506" s="8" t="s">
        <v>5135</v>
      </c>
      <c r="M1506" s="8"/>
      <c r="N1506" s="8" t="s">
        <v>62</v>
      </c>
      <c r="O1506" s="8" t="s">
        <v>63</v>
      </c>
      <c r="P1506" s="4" t="n">
        <v>53</v>
      </c>
      <c r="Q1506" s="8"/>
      <c r="R1506" s="4" t="s">
        <v>5163</v>
      </c>
      <c r="S1506" s="4"/>
    </row>
    <row r="1507" customFormat="false" ht="26.85" hidden="false" customHeight="false" outlineLevel="0" collapsed="false">
      <c r="A1507" s="4" t="s">
        <v>5165</v>
      </c>
      <c r="B1507" s="8" t="s">
        <v>5166</v>
      </c>
      <c r="C1507" s="8"/>
      <c r="D1507" s="8"/>
      <c r="E1507" s="8"/>
      <c r="F1507" s="8"/>
      <c r="G1507" s="8"/>
      <c r="H1507" s="8"/>
      <c r="I1507" s="8" t="s">
        <v>5167</v>
      </c>
      <c r="J1507" s="8" t="s">
        <v>72</v>
      </c>
      <c r="K1507" s="8" t="s">
        <v>4982</v>
      </c>
      <c r="L1507" s="8" t="s">
        <v>5135</v>
      </c>
      <c r="M1507" s="8"/>
      <c r="N1507" s="8" t="s">
        <v>62</v>
      </c>
      <c r="O1507" s="8" t="s">
        <v>63</v>
      </c>
      <c r="P1507" s="4" t="n">
        <v>53</v>
      </c>
      <c r="Q1507" s="8"/>
      <c r="R1507" s="4" t="s">
        <v>5166</v>
      </c>
      <c r="S1507" s="4"/>
    </row>
    <row r="1508" customFormat="false" ht="26.85" hidden="false" customHeight="false" outlineLevel="0" collapsed="false">
      <c r="A1508" s="4" t="s">
        <v>5168</v>
      </c>
      <c r="B1508" s="8" t="s">
        <v>5169</v>
      </c>
      <c r="C1508" s="8" t="s">
        <v>58</v>
      </c>
      <c r="D1508" s="8"/>
      <c r="E1508" s="8" t="s">
        <v>60</v>
      </c>
      <c r="F1508" s="8"/>
      <c r="G1508" s="8"/>
      <c r="H1508" s="8"/>
      <c r="I1508" s="8" t="s">
        <v>5170</v>
      </c>
      <c r="J1508" s="8" t="s">
        <v>72</v>
      </c>
      <c r="K1508" s="8" t="s">
        <v>4982</v>
      </c>
      <c r="L1508" s="8" t="s">
        <v>5135</v>
      </c>
      <c r="M1508" s="8"/>
      <c r="N1508" s="8" t="s">
        <v>62</v>
      </c>
      <c r="O1508" s="8" t="s">
        <v>63</v>
      </c>
      <c r="P1508" s="4" t="n">
        <v>53</v>
      </c>
      <c r="Q1508" s="8"/>
      <c r="R1508" s="4" t="s">
        <v>5171</v>
      </c>
      <c r="S1508" s="4"/>
    </row>
    <row r="1509" customFormat="false" ht="26.85" hidden="false" customHeight="false" outlineLevel="0" collapsed="false">
      <c r="A1509" s="4" t="s">
        <v>5172</v>
      </c>
      <c r="B1509" s="8" t="s">
        <v>3362</v>
      </c>
      <c r="C1509" s="8" t="s">
        <v>58</v>
      </c>
      <c r="D1509" s="8"/>
      <c r="E1509" s="8" t="s">
        <v>60</v>
      </c>
      <c r="F1509" s="8"/>
      <c r="G1509" s="8"/>
      <c r="H1509" s="8"/>
      <c r="I1509" s="8" t="s">
        <v>5173</v>
      </c>
      <c r="J1509" s="8" t="s">
        <v>72</v>
      </c>
      <c r="K1509" s="8" t="s">
        <v>4982</v>
      </c>
      <c r="L1509" s="8" t="s">
        <v>5135</v>
      </c>
      <c r="M1509" s="8"/>
      <c r="N1509" s="8" t="s">
        <v>62</v>
      </c>
      <c r="O1509" s="8" t="s">
        <v>63</v>
      </c>
      <c r="P1509" s="4" t="n">
        <v>53</v>
      </c>
      <c r="Q1509" s="8"/>
      <c r="R1509" s="4" t="s">
        <v>3364</v>
      </c>
      <c r="S1509" s="4"/>
    </row>
    <row r="1510" customFormat="false" ht="26.85" hidden="false" customHeight="false" outlineLevel="0" collapsed="false">
      <c r="A1510" s="4" t="s">
        <v>5174</v>
      </c>
      <c r="B1510" s="8" t="s">
        <v>5175</v>
      </c>
      <c r="C1510" s="8"/>
      <c r="D1510" s="8"/>
      <c r="E1510" s="8"/>
      <c r="F1510" s="8"/>
      <c r="G1510" s="8"/>
      <c r="H1510" s="8"/>
      <c r="I1510" s="8" t="s">
        <v>5176</v>
      </c>
      <c r="J1510" s="8" t="s">
        <v>76</v>
      </c>
      <c r="K1510" s="8" t="s">
        <v>5177</v>
      </c>
      <c r="L1510" s="8"/>
      <c r="M1510" s="8"/>
      <c r="N1510" s="8" t="s">
        <v>62</v>
      </c>
      <c r="O1510" s="8" t="s">
        <v>63</v>
      </c>
      <c r="P1510" s="4" t="n">
        <v>54</v>
      </c>
      <c r="Q1510" s="8"/>
      <c r="R1510" s="4" t="s">
        <v>5175</v>
      </c>
      <c r="S1510" s="4"/>
    </row>
    <row r="1511" customFormat="false" ht="26.85" hidden="false" customHeight="false" outlineLevel="0" collapsed="false">
      <c r="A1511" s="4" t="s">
        <v>5178</v>
      </c>
      <c r="B1511" s="8" t="s">
        <v>5179</v>
      </c>
      <c r="C1511" s="8"/>
      <c r="D1511" s="8"/>
      <c r="E1511" s="8"/>
      <c r="F1511" s="8"/>
      <c r="G1511" s="8"/>
      <c r="H1511" s="8"/>
      <c r="I1511" s="8" t="s">
        <v>5180</v>
      </c>
      <c r="J1511" s="8" t="s">
        <v>76</v>
      </c>
      <c r="K1511" s="8" t="s">
        <v>5177</v>
      </c>
      <c r="L1511" s="8"/>
      <c r="M1511" s="8"/>
      <c r="N1511" s="8" t="s">
        <v>62</v>
      </c>
      <c r="O1511" s="8" t="s">
        <v>63</v>
      </c>
      <c r="P1511" s="4" t="n">
        <v>54</v>
      </c>
      <c r="Q1511" s="8"/>
      <c r="R1511" s="4" t="s">
        <v>5179</v>
      </c>
      <c r="S1511" s="4"/>
    </row>
    <row r="1512" customFormat="false" ht="26.85" hidden="false" customHeight="false" outlineLevel="0" collapsed="false">
      <c r="A1512" s="4" t="s">
        <v>5181</v>
      </c>
      <c r="B1512" s="8" t="s">
        <v>5182</v>
      </c>
      <c r="C1512" s="8" t="s">
        <v>58</v>
      </c>
      <c r="D1512" s="8"/>
      <c r="E1512" s="8" t="s">
        <v>60</v>
      </c>
      <c r="F1512" s="8"/>
      <c r="G1512" s="8"/>
      <c r="H1512" s="8"/>
      <c r="I1512" s="8" t="s">
        <v>5183</v>
      </c>
      <c r="J1512" s="8" t="s">
        <v>76</v>
      </c>
      <c r="K1512" s="8" t="s">
        <v>5177</v>
      </c>
      <c r="L1512" s="8"/>
      <c r="M1512" s="8"/>
      <c r="N1512" s="8" t="s">
        <v>62</v>
      </c>
      <c r="O1512" s="8" t="s">
        <v>63</v>
      </c>
      <c r="P1512" s="4" t="n">
        <v>54</v>
      </c>
      <c r="Q1512" s="8"/>
      <c r="R1512" s="4" t="s">
        <v>5184</v>
      </c>
      <c r="S1512" s="4" t="n">
        <v>695</v>
      </c>
    </row>
    <row r="1513" customFormat="false" ht="26.85" hidden="false" customHeight="false" outlineLevel="0" collapsed="false">
      <c r="A1513" s="4" t="s">
        <v>5185</v>
      </c>
      <c r="B1513" s="8" t="s">
        <v>5186</v>
      </c>
      <c r="C1513" s="8" t="s">
        <v>58</v>
      </c>
      <c r="D1513" s="8"/>
      <c r="E1513" s="8" t="s">
        <v>60</v>
      </c>
      <c r="F1513" s="8"/>
      <c r="G1513" s="8"/>
      <c r="H1513" s="8"/>
      <c r="I1513" s="8" t="s">
        <v>5187</v>
      </c>
      <c r="J1513" s="8" t="s">
        <v>76</v>
      </c>
      <c r="K1513" s="8" t="s">
        <v>5177</v>
      </c>
      <c r="L1513" s="8"/>
      <c r="M1513" s="8"/>
      <c r="N1513" s="8" t="s">
        <v>62</v>
      </c>
      <c r="O1513" s="8" t="s">
        <v>63</v>
      </c>
      <c r="P1513" s="4" t="n">
        <v>54</v>
      </c>
      <c r="Q1513" s="8"/>
      <c r="R1513" s="4" t="s">
        <v>5188</v>
      </c>
      <c r="S1513" s="4" t="n">
        <v>23060</v>
      </c>
    </row>
    <row r="1514" customFormat="false" ht="26.85" hidden="false" customHeight="false" outlineLevel="0" collapsed="false">
      <c r="A1514" s="4" t="s">
        <v>5189</v>
      </c>
      <c r="B1514" s="8" t="s">
        <v>5190</v>
      </c>
      <c r="C1514" s="8" t="s">
        <v>58</v>
      </c>
      <c r="D1514" s="8"/>
      <c r="E1514" s="8" t="s">
        <v>60</v>
      </c>
      <c r="F1514" s="8"/>
      <c r="G1514" s="8"/>
      <c r="H1514" s="8"/>
      <c r="I1514" s="8" t="s">
        <v>1468</v>
      </c>
      <c r="J1514" s="8" t="s">
        <v>76</v>
      </c>
      <c r="K1514" s="8" t="s">
        <v>5177</v>
      </c>
      <c r="L1514" s="8"/>
      <c r="M1514" s="8"/>
      <c r="N1514" s="8" t="s">
        <v>62</v>
      </c>
      <c r="O1514" s="8" t="s">
        <v>63</v>
      </c>
      <c r="P1514" s="4" t="n">
        <v>54</v>
      </c>
      <c r="Q1514" s="8"/>
      <c r="R1514" s="4" t="s">
        <v>5191</v>
      </c>
      <c r="S1514" s="4" t="n">
        <v>1340</v>
      </c>
    </row>
    <row r="1515" customFormat="false" ht="26.85" hidden="false" customHeight="false" outlineLevel="0" collapsed="false">
      <c r="A1515" s="4" t="s">
        <v>5192</v>
      </c>
      <c r="B1515" s="8" t="s">
        <v>5193</v>
      </c>
      <c r="C1515" s="8"/>
      <c r="D1515" s="8"/>
      <c r="E1515" s="8"/>
      <c r="F1515" s="8"/>
      <c r="G1515" s="8"/>
      <c r="H1515" s="8"/>
      <c r="I1515" s="8" t="s">
        <v>5194</v>
      </c>
      <c r="J1515" s="8" t="s">
        <v>76</v>
      </c>
      <c r="K1515" s="8" t="s">
        <v>5177</v>
      </c>
      <c r="L1515" s="8"/>
      <c r="M1515" s="8"/>
      <c r="N1515" s="8" t="s">
        <v>62</v>
      </c>
      <c r="O1515" s="8" t="s">
        <v>63</v>
      </c>
      <c r="P1515" s="4" t="n">
        <v>54</v>
      </c>
      <c r="Q1515" s="8"/>
      <c r="R1515" s="4" t="s">
        <v>5193</v>
      </c>
      <c r="S1515" s="4"/>
    </row>
    <row r="1516" customFormat="false" ht="26.85" hidden="false" customHeight="false" outlineLevel="0" collapsed="false">
      <c r="A1516" s="4" t="s">
        <v>5195</v>
      </c>
      <c r="B1516" s="8" t="s">
        <v>5196</v>
      </c>
      <c r="C1516" s="8"/>
      <c r="D1516" s="8"/>
      <c r="E1516" s="8"/>
      <c r="F1516" s="8"/>
      <c r="G1516" s="8"/>
      <c r="H1516" s="8"/>
      <c r="I1516" s="8" t="s">
        <v>5197</v>
      </c>
      <c r="J1516" s="8" t="s">
        <v>76</v>
      </c>
      <c r="K1516" s="8" t="s">
        <v>5177</v>
      </c>
      <c r="L1516" s="8"/>
      <c r="M1516" s="8"/>
      <c r="N1516" s="8" t="s">
        <v>62</v>
      </c>
      <c r="O1516" s="8" t="s">
        <v>63</v>
      </c>
      <c r="P1516" s="4" t="n">
        <v>54</v>
      </c>
      <c r="Q1516" s="8"/>
      <c r="R1516" s="4" t="s">
        <v>5196</v>
      </c>
      <c r="S1516" s="4"/>
    </row>
    <row r="1517" customFormat="false" ht="26.85" hidden="false" customHeight="false" outlineLevel="0" collapsed="false">
      <c r="A1517" s="4" t="s">
        <v>5198</v>
      </c>
      <c r="B1517" s="8" t="s">
        <v>5199</v>
      </c>
      <c r="C1517" s="8"/>
      <c r="D1517" s="8"/>
      <c r="E1517" s="8"/>
      <c r="F1517" s="8"/>
      <c r="G1517" s="8"/>
      <c r="H1517" s="8"/>
      <c r="I1517" s="8" t="s">
        <v>5200</v>
      </c>
      <c r="J1517" s="8" t="s">
        <v>76</v>
      </c>
      <c r="K1517" s="8" t="s">
        <v>5177</v>
      </c>
      <c r="L1517" s="8"/>
      <c r="M1517" s="8"/>
      <c r="N1517" s="8" t="s">
        <v>62</v>
      </c>
      <c r="O1517" s="8" t="s">
        <v>63</v>
      </c>
      <c r="P1517" s="4" t="n">
        <v>54</v>
      </c>
      <c r="Q1517" s="8"/>
      <c r="R1517" s="4" t="s">
        <v>5199</v>
      </c>
      <c r="S1517" s="4"/>
    </row>
    <row r="1518" customFormat="false" ht="26.85" hidden="false" customHeight="false" outlineLevel="0" collapsed="false">
      <c r="A1518" s="4" t="s">
        <v>5201</v>
      </c>
      <c r="B1518" s="8" t="s">
        <v>5202</v>
      </c>
      <c r="C1518" s="8" t="s">
        <v>58</v>
      </c>
      <c r="D1518" s="8"/>
      <c r="E1518" s="8" t="s">
        <v>60</v>
      </c>
      <c r="F1518" s="8"/>
      <c r="G1518" s="8"/>
      <c r="H1518" s="8"/>
      <c r="I1518" s="8" t="s">
        <v>5203</v>
      </c>
      <c r="J1518" s="8" t="s">
        <v>76</v>
      </c>
      <c r="K1518" s="8" t="s">
        <v>5177</v>
      </c>
      <c r="L1518" s="8"/>
      <c r="M1518" s="8"/>
      <c r="N1518" s="8" t="s">
        <v>62</v>
      </c>
      <c r="O1518" s="8" t="s">
        <v>63</v>
      </c>
      <c r="P1518" s="4" t="n">
        <v>54</v>
      </c>
      <c r="Q1518" s="8"/>
      <c r="R1518" s="4" t="s">
        <v>5204</v>
      </c>
      <c r="S1518" s="4"/>
    </row>
    <row r="1519" customFormat="false" ht="26.85" hidden="false" customHeight="false" outlineLevel="0" collapsed="false">
      <c r="A1519" s="4" t="s">
        <v>5205</v>
      </c>
      <c r="B1519" s="8" t="s">
        <v>5206</v>
      </c>
      <c r="C1519" s="8"/>
      <c r="D1519" s="8"/>
      <c r="E1519" s="8"/>
      <c r="F1519" s="8"/>
      <c r="G1519" s="8"/>
      <c r="H1519" s="8"/>
      <c r="I1519" s="8" t="s">
        <v>5115</v>
      </c>
      <c r="J1519" s="8" t="s">
        <v>76</v>
      </c>
      <c r="K1519" s="8" t="s">
        <v>5177</v>
      </c>
      <c r="L1519" s="8"/>
      <c r="M1519" s="8"/>
      <c r="N1519" s="8" t="s">
        <v>62</v>
      </c>
      <c r="O1519" s="8" t="s">
        <v>63</v>
      </c>
      <c r="P1519" s="4" t="n">
        <v>54</v>
      </c>
      <c r="Q1519" s="8"/>
      <c r="R1519" s="4" t="s">
        <v>5206</v>
      </c>
      <c r="S1519" s="4"/>
    </row>
    <row r="1520" customFormat="false" ht="26.85" hidden="false" customHeight="false" outlineLevel="0" collapsed="false">
      <c r="A1520" s="4" t="s">
        <v>5207</v>
      </c>
      <c r="B1520" s="8" t="s">
        <v>5208</v>
      </c>
      <c r="C1520" s="8"/>
      <c r="D1520" s="8"/>
      <c r="E1520" s="8"/>
      <c r="F1520" s="8"/>
      <c r="G1520" s="8"/>
      <c r="H1520" s="8"/>
      <c r="I1520" s="8" t="s">
        <v>89</v>
      </c>
      <c r="J1520" s="8" t="s">
        <v>76</v>
      </c>
      <c r="K1520" s="8" t="s">
        <v>5177</v>
      </c>
      <c r="L1520" s="8"/>
      <c r="M1520" s="8"/>
      <c r="N1520" s="8" t="s">
        <v>62</v>
      </c>
      <c r="O1520" s="8" t="s">
        <v>63</v>
      </c>
      <c r="P1520" s="4" t="n">
        <v>54</v>
      </c>
      <c r="Q1520" s="8"/>
      <c r="R1520" s="4" t="s">
        <v>5208</v>
      </c>
      <c r="S1520" s="4" t="n">
        <v>53</v>
      </c>
    </row>
    <row r="1521" customFormat="false" ht="26.85" hidden="false" customHeight="false" outlineLevel="0" collapsed="false">
      <c r="A1521" s="4" t="s">
        <v>5209</v>
      </c>
      <c r="B1521" s="8" t="s">
        <v>5210</v>
      </c>
      <c r="C1521" s="8"/>
      <c r="D1521" s="8"/>
      <c r="E1521" s="8"/>
      <c r="F1521" s="8"/>
      <c r="G1521" s="8"/>
      <c r="H1521" s="8"/>
      <c r="I1521" s="8" t="s">
        <v>5118</v>
      </c>
      <c r="J1521" s="8" t="s">
        <v>76</v>
      </c>
      <c r="K1521" s="8" t="s">
        <v>5177</v>
      </c>
      <c r="L1521" s="8"/>
      <c r="M1521" s="8"/>
      <c r="N1521" s="8" t="s">
        <v>62</v>
      </c>
      <c r="O1521" s="8" t="s">
        <v>63</v>
      </c>
      <c r="P1521" s="4" t="n">
        <v>54</v>
      </c>
      <c r="Q1521" s="8"/>
      <c r="R1521" s="4" t="s">
        <v>5210</v>
      </c>
      <c r="S1521" s="4"/>
    </row>
    <row r="1522" customFormat="false" ht="26.85" hidden="false" customHeight="false" outlineLevel="0" collapsed="false">
      <c r="A1522" s="4" t="s">
        <v>5211</v>
      </c>
      <c r="B1522" s="8" t="s">
        <v>5212</v>
      </c>
      <c r="C1522" s="8"/>
      <c r="D1522" s="8"/>
      <c r="E1522" s="8"/>
      <c r="F1522" s="8"/>
      <c r="G1522" s="8"/>
      <c r="H1522" s="8"/>
      <c r="I1522" s="8" t="s">
        <v>5213</v>
      </c>
      <c r="J1522" s="8" t="s">
        <v>76</v>
      </c>
      <c r="K1522" s="8" t="s">
        <v>5177</v>
      </c>
      <c r="L1522" s="8"/>
      <c r="M1522" s="8"/>
      <c r="N1522" s="8" t="s">
        <v>62</v>
      </c>
      <c r="O1522" s="8" t="s">
        <v>63</v>
      </c>
      <c r="P1522" s="4" t="n">
        <v>54</v>
      </c>
      <c r="Q1522" s="8"/>
      <c r="R1522" s="4" t="s">
        <v>5212</v>
      </c>
      <c r="S1522" s="4"/>
    </row>
    <row r="1523" customFormat="false" ht="26.85" hidden="false" customHeight="false" outlineLevel="0" collapsed="false">
      <c r="A1523" s="4" t="s">
        <v>5214</v>
      </c>
      <c r="B1523" s="8" t="s">
        <v>5215</v>
      </c>
      <c r="C1523" s="8"/>
      <c r="D1523" s="8"/>
      <c r="E1523" s="8"/>
      <c r="F1523" s="8"/>
      <c r="G1523" s="8"/>
      <c r="H1523" s="8"/>
      <c r="I1523" s="8" t="s">
        <v>5121</v>
      </c>
      <c r="J1523" s="8" t="s">
        <v>76</v>
      </c>
      <c r="K1523" s="8" t="s">
        <v>5177</v>
      </c>
      <c r="L1523" s="8"/>
      <c r="M1523" s="8"/>
      <c r="N1523" s="8" t="s">
        <v>62</v>
      </c>
      <c r="O1523" s="8" t="s">
        <v>63</v>
      </c>
      <c r="P1523" s="4" t="n">
        <v>54</v>
      </c>
      <c r="Q1523" s="8"/>
      <c r="R1523" s="4" t="s">
        <v>5215</v>
      </c>
      <c r="S1523" s="4"/>
    </row>
    <row r="1524" customFormat="false" ht="26.85" hidden="false" customHeight="false" outlineLevel="0" collapsed="false">
      <c r="A1524" s="4" t="s">
        <v>5216</v>
      </c>
      <c r="B1524" s="8" t="s">
        <v>5217</v>
      </c>
      <c r="C1524" s="8"/>
      <c r="D1524" s="8"/>
      <c r="E1524" s="8"/>
      <c r="F1524" s="8"/>
      <c r="G1524" s="8"/>
      <c r="H1524" s="8"/>
      <c r="I1524" s="8" t="s">
        <v>5218</v>
      </c>
      <c r="J1524" s="8" t="s">
        <v>76</v>
      </c>
      <c r="K1524" s="8" t="s">
        <v>5177</v>
      </c>
      <c r="L1524" s="8"/>
      <c r="M1524" s="8"/>
      <c r="N1524" s="8" t="s">
        <v>62</v>
      </c>
      <c r="O1524" s="8" t="s">
        <v>63</v>
      </c>
      <c r="P1524" s="4" t="n">
        <v>54</v>
      </c>
      <c r="Q1524" s="8"/>
      <c r="R1524" s="4" t="s">
        <v>5217</v>
      </c>
      <c r="S1524" s="4"/>
    </row>
    <row r="1525" customFormat="false" ht="26.85" hidden="false" customHeight="false" outlineLevel="0" collapsed="false">
      <c r="A1525" s="4" t="s">
        <v>5219</v>
      </c>
      <c r="B1525" s="8" t="s">
        <v>5220</v>
      </c>
      <c r="C1525" s="8"/>
      <c r="D1525" s="8"/>
      <c r="E1525" s="8"/>
      <c r="F1525" s="8"/>
      <c r="G1525" s="8"/>
      <c r="H1525" s="8"/>
      <c r="I1525" s="8" t="s">
        <v>5221</v>
      </c>
      <c r="J1525" s="8" t="s">
        <v>76</v>
      </c>
      <c r="K1525" s="8" t="s">
        <v>5177</v>
      </c>
      <c r="L1525" s="8"/>
      <c r="M1525" s="8"/>
      <c r="N1525" s="8" t="s">
        <v>62</v>
      </c>
      <c r="O1525" s="8" t="s">
        <v>63</v>
      </c>
      <c r="P1525" s="4" t="n">
        <v>54</v>
      </c>
      <c r="Q1525" s="8"/>
      <c r="R1525" s="4" t="s">
        <v>5220</v>
      </c>
      <c r="S1525" s="4"/>
    </row>
    <row r="1526" customFormat="false" ht="26.85" hidden="false" customHeight="false" outlineLevel="0" collapsed="false">
      <c r="A1526" s="4" t="s">
        <v>5222</v>
      </c>
      <c r="B1526" s="8" t="s">
        <v>945</v>
      </c>
      <c r="C1526" s="8"/>
      <c r="D1526" s="8"/>
      <c r="E1526" s="8"/>
      <c r="F1526" s="8"/>
      <c r="G1526" s="8"/>
      <c r="H1526" s="8"/>
      <c r="I1526" s="8" t="s">
        <v>5223</v>
      </c>
      <c r="J1526" s="8" t="s">
        <v>76</v>
      </c>
      <c r="K1526" s="8" t="s">
        <v>5177</v>
      </c>
      <c r="L1526" s="8"/>
      <c r="M1526" s="8"/>
      <c r="N1526" s="8" t="s">
        <v>62</v>
      </c>
      <c r="O1526" s="8" t="s">
        <v>63</v>
      </c>
      <c r="P1526" s="4" t="n">
        <v>54</v>
      </c>
      <c r="Q1526" s="8"/>
      <c r="R1526" s="4" t="s">
        <v>945</v>
      </c>
      <c r="S1526" s="4"/>
    </row>
    <row r="1527" customFormat="false" ht="26.85" hidden="false" customHeight="false" outlineLevel="0" collapsed="false">
      <c r="A1527" s="4" t="s">
        <v>5224</v>
      </c>
      <c r="B1527" s="8" t="s">
        <v>5225</v>
      </c>
      <c r="C1527" s="8"/>
      <c r="D1527" s="8"/>
      <c r="E1527" s="8"/>
      <c r="F1527" s="8"/>
      <c r="G1527" s="8"/>
      <c r="H1527" s="8"/>
      <c r="I1527" s="8" t="s">
        <v>5226</v>
      </c>
      <c r="J1527" s="8" t="s">
        <v>76</v>
      </c>
      <c r="K1527" s="8" t="s">
        <v>5177</v>
      </c>
      <c r="L1527" s="8"/>
      <c r="M1527" s="8"/>
      <c r="N1527" s="8" t="s">
        <v>62</v>
      </c>
      <c r="O1527" s="8" t="s">
        <v>63</v>
      </c>
      <c r="P1527" s="4" t="n">
        <v>54</v>
      </c>
      <c r="Q1527" s="8"/>
      <c r="R1527" s="4" t="s">
        <v>5225</v>
      </c>
      <c r="S1527" s="4"/>
    </row>
    <row r="1528" customFormat="false" ht="26.85" hidden="false" customHeight="false" outlineLevel="0" collapsed="false">
      <c r="A1528" s="4" t="s">
        <v>5227</v>
      </c>
      <c r="B1528" s="8" t="s">
        <v>5228</v>
      </c>
      <c r="C1528" s="8"/>
      <c r="D1528" s="8"/>
      <c r="E1528" s="8"/>
      <c r="F1528" s="8"/>
      <c r="G1528" s="8"/>
      <c r="H1528" s="8"/>
      <c r="I1528" s="8" t="s">
        <v>5132</v>
      </c>
      <c r="J1528" s="8" t="s">
        <v>76</v>
      </c>
      <c r="K1528" s="8" t="s">
        <v>5177</v>
      </c>
      <c r="L1528" s="8"/>
      <c r="M1528" s="8"/>
      <c r="N1528" s="8" t="s">
        <v>62</v>
      </c>
      <c r="O1528" s="8" t="s">
        <v>63</v>
      </c>
      <c r="P1528" s="4" t="n">
        <v>54</v>
      </c>
      <c r="Q1528" s="8"/>
      <c r="R1528" s="4" t="s">
        <v>5228</v>
      </c>
      <c r="S1528" s="4"/>
    </row>
    <row r="1529" customFormat="false" ht="26.85" hidden="false" customHeight="false" outlineLevel="0" collapsed="false">
      <c r="A1529" s="4" t="s">
        <v>5229</v>
      </c>
      <c r="B1529" s="8" t="s">
        <v>5230</v>
      </c>
      <c r="C1529" s="8"/>
      <c r="D1529" s="8"/>
      <c r="E1529" s="8"/>
      <c r="F1529" s="8"/>
      <c r="G1529" s="8"/>
      <c r="H1529" s="8"/>
      <c r="I1529" s="8" t="s">
        <v>5231</v>
      </c>
      <c r="J1529" s="8" t="s">
        <v>76</v>
      </c>
      <c r="K1529" s="8" t="s">
        <v>5177</v>
      </c>
      <c r="L1529" s="8"/>
      <c r="M1529" s="8"/>
      <c r="N1529" s="8" t="s">
        <v>62</v>
      </c>
      <c r="O1529" s="8" t="s">
        <v>63</v>
      </c>
      <c r="P1529" s="4" t="n">
        <v>54</v>
      </c>
      <c r="Q1529" s="8"/>
      <c r="R1529" s="4" t="s">
        <v>5230</v>
      </c>
      <c r="S1529" s="4" t="n">
        <v>666</v>
      </c>
    </row>
    <row r="1530" customFormat="false" ht="26.85" hidden="false" customHeight="false" outlineLevel="0" collapsed="false">
      <c r="A1530" s="4" t="s">
        <v>5232</v>
      </c>
      <c r="B1530" s="8" t="s">
        <v>5233</v>
      </c>
      <c r="C1530" s="8" t="s">
        <v>58</v>
      </c>
      <c r="D1530" s="8"/>
      <c r="E1530" s="8" t="s">
        <v>60</v>
      </c>
      <c r="F1530" s="8"/>
      <c r="G1530" s="8"/>
      <c r="H1530" s="8"/>
      <c r="I1530" s="8" t="s">
        <v>5234</v>
      </c>
      <c r="J1530" s="8" t="s">
        <v>76</v>
      </c>
      <c r="K1530" s="8" t="s">
        <v>5177</v>
      </c>
      <c r="L1530" s="8"/>
      <c r="M1530" s="8"/>
      <c r="N1530" s="8" t="s">
        <v>62</v>
      </c>
      <c r="O1530" s="8" t="s">
        <v>63</v>
      </c>
      <c r="P1530" s="4" t="n">
        <v>54</v>
      </c>
      <c r="Q1530" s="8"/>
      <c r="R1530" s="4" t="s">
        <v>5235</v>
      </c>
      <c r="S1530" s="4"/>
    </row>
    <row r="1531" customFormat="false" ht="26.85" hidden="false" customHeight="false" outlineLevel="0" collapsed="false">
      <c r="A1531" s="4" t="s">
        <v>5236</v>
      </c>
      <c r="B1531" s="8" t="s">
        <v>5237</v>
      </c>
      <c r="C1531" s="8"/>
      <c r="D1531" s="8"/>
      <c r="E1531" s="8"/>
      <c r="F1531" s="8"/>
      <c r="G1531" s="8"/>
      <c r="H1531" s="8"/>
      <c r="I1531" s="8" t="s">
        <v>5238</v>
      </c>
      <c r="J1531" s="8" t="s">
        <v>76</v>
      </c>
      <c r="K1531" s="8" t="s">
        <v>5177</v>
      </c>
      <c r="L1531" s="8"/>
      <c r="M1531" s="8"/>
      <c r="N1531" s="8" t="s">
        <v>62</v>
      </c>
      <c r="O1531" s="8" t="s">
        <v>63</v>
      </c>
      <c r="P1531" s="4" t="n">
        <v>54</v>
      </c>
      <c r="Q1531" s="8"/>
      <c r="R1531" s="4" t="s">
        <v>5237</v>
      </c>
      <c r="S1531" s="4"/>
    </row>
    <row r="1532" customFormat="false" ht="26.85" hidden="false" customHeight="false" outlineLevel="0" collapsed="false">
      <c r="A1532" s="4" t="s">
        <v>5239</v>
      </c>
      <c r="B1532" s="8" t="s">
        <v>5240</v>
      </c>
      <c r="C1532" s="8"/>
      <c r="D1532" s="8"/>
      <c r="E1532" s="8"/>
      <c r="F1532" s="8"/>
      <c r="G1532" s="8"/>
      <c r="H1532" s="8"/>
      <c r="I1532" s="8" t="s">
        <v>5241</v>
      </c>
      <c r="J1532" s="8" t="s">
        <v>76</v>
      </c>
      <c r="K1532" s="8" t="s">
        <v>5177</v>
      </c>
      <c r="L1532" s="8"/>
      <c r="M1532" s="8"/>
      <c r="N1532" s="8" t="s">
        <v>62</v>
      </c>
      <c r="O1532" s="8" t="s">
        <v>63</v>
      </c>
      <c r="P1532" s="4" t="n">
        <v>54</v>
      </c>
      <c r="Q1532" s="8"/>
      <c r="R1532" s="4" t="s">
        <v>5240</v>
      </c>
      <c r="S1532" s="4"/>
    </row>
    <row r="1533" customFormat="false" ht="26.85" hidden="false" customHeight="false" outlineLevel="0" collapsed="false">
      <c r="A1533" s="4" t="s">
        <v>5242</v>
      </c>
      <c r="B1533" s="8" t="s">
        <v>5243</v>
      </c>
      <c r="C1533" s="8"/>
      <c r="D1533" s="8"/>
      <c r="E1533" s="8"/>
      <c r="F1533" s="8"/>
      <c r="G1533" s="8"/>
      <c r="H1533" s="8"/>
      <c r="I1533" s="8" t="s">
        <v>5244</v>
      </c>
      <c r="J1533" s="8" t="s">
        <v>76</v>
      </c>
      <c r="K1533" s="8" t="s">
        <v>5177</v>
      </c>
      <c r="L1533" s="8"/>
      <c r="M1533" s="8"/>
      <c r="N1533" s="8" t="s">
        <v>62</v>
      </c>
      <c r="O1533" s="8" t="s">
        <v>63</v>
      </c>
      <c r="P1533" s="4" t="n">
        <v>54</v>
      </c>
      <c r="Q1533" s="8"/>
      <c r="R1533" s="4" t="s">
        <v>5243</v>
      </c>
      <c r="S1533" s="4" t="n">
        <v>9647</v>
      </c>
    </row>
    <row r="1534" customFormat="false" ht="26.85" hidden="false" customHeight="false" outlineLevel="0" collapsed="false">
      <c r="A1534" s="4" t="s">
        <v>5245</v>
      </c>
      <c r="B1534" s="8" t="s">
        <v>5246</v>
      </c>
      <c r="C1534" s="8" t="s">
        <v>58</v>
      </c>
      <c r="D1534" s="8"/>
      <c r="E1534" s="8" t="s">
        <v>60</v>
      </c>
      <c r="F1534" s="8"/>
      <c r="G1534" s="8"/>
      <c r="H1534" s="8"/>
      <c r="I1534" s="8" t="s">
        <v>5247</v>
      </c>
      <c r="J1534" s="8" t="s">
        <v>76</v>
      </c>
      <c r="K1534" s="8" t="s">
        <v>5177</v>
      </c>
      <c r="L1534" s="8" t="s">
        <v>5248</v>
      </c>
      <c r="M1534" s="8"/>
      <c r="N1534" s="8" t="s">
        <v>62</v>
      </c>
      <c r="O1534" s="8" t="s">
        <v>63</v>
      </c>
      <c r="P1534" s="4" t="n">
        <v>54</v>
      </c>
      <c r="Q1534" s="8"/>
      <c r="R1534" s="4" t="s">
        <v>5249</v>
      </c>
      <c r="S1534" s="4"/>
    </row>
    <row r="1535" customFormat="false" ht="26.85" hidden="false" customHeight="false" outlineLevel="0" collapsed="false">
      <c r="A1535" s="4" t="s">
        <v>5250</v>
      </c>
      <c r="B1535" s="8" t="s">
        <v>5251</v>
      </c>
      <c r="C1535" s="8" t="s">
        <v>58</v>
      </c>
      <c r="D1535" s="8"/>
      <c r="E1535" s="8" t="s">
        <v>60</v>
      </c>
      <c r="F1535" s="8"/>
      <c r="G1535" s="8"/>
      <c r="H1535" s="8"/>
      <c r="I1535" s="8" t="s">
        <v>5252</v>
      </c>
      <c r="J1535" s="8" t="s">
        <v>76</v>
      </c>
      <c r="K1535" s="8" t="s">
        <v>5177</v>
      </c>
      <c r="L1535" s="8" t="s">
        <v>5248</v>
      </c>
      <c r="M1535" s="8"/>
      <c r="N1535" s="8" t="s">
        <v>62</v>
      </c>
      <c r="O1535" s="8" t="s">
        <v>63</v>
      </c>
      <c r="P1535" s="4" t="n">
        <v>54</v>
      </c>
      <c r="Q1535" s="8"/>
      <c r="R1535" s="4" t="s">
        <v>5253</v>
      </c>
      <c r="S1535" s="4"/>
    </row>
    <row r="1536" customFormat="false" ht="26.85" hidden="false" customHeight="false" outlineLevel="0" collapsed="false">
      <c r="A1536" s="4" t="s">
        <v>5254</v>
      </c>
      <c r="B1536" s="8" t="s">
        <v>3400</v>
      </c>
      <c r="C1536" s="8"/>
      <c r="D1536" s="8"/>
      <c r="E1536" s="8"/>
      <c r="F1536" s="8"/>
      <c r="G1536" s="8"/>
      <c r="H1536" s="8"/>
      <c r="I1536" s="8" t="s">
        <v>1928</v>
      </c>
      <c r="J1536" s="8" t="s">
        <v>76</v>
      </c>
      <c r="K1536" s="8" t="s">
        <v>5177</v>
      </c>
      <c r="L1536" s="8" t="s">
        <v>5248</v>
      </c>
      <c r="M1536" s="8"/>
      <c r="N1536" s="8" t="s">
        <v>62</v>
      </c>
      <c r="O1536" s="8" t="s">
        <v>63</v>
      </c>
      <c r="P1536" s="4" t="n">
        <v>54</v>
      </c>
      <c r="Q1536" s="8"/>
      <c r="R1536" s="4" t="s">
        <v>3400</v>
      </c>
      <c r="S1536" s="4" t="n">
        <v>136</v>
      </c>
    </row>
    <row r="1537" customFormat="false" ht="26.85" hidden="false" customHeight="false" outlineLevel="0" collapsed="false">
      <c r="A1537" s="4" t="s">
        <v>5255</v>
      </c>
      <c r="B1537" s="8" t="s">
        <v>5256</v>
      </c>
      <c r="C1537" s="8"/>
      <c r="D1537" s="8"/>
      <c r="E1537" s="8"/>
      <c r="F1537" s="8"/>
      <c r="G1537" s="8"/>
      <c r="H1537" s="8"/>
      <c r="I1537" s="8" t="s">
        <v>5257</v>
      </c>
      <c r="J1537" s="8" t="s">
        <v>76</v>
      </c>
      <c r="K1537" s="8" t="s">
        <v>5177</v>
      </c>
      <c r="L1537" s="8" t="s">
        <v>5248</v>
      </c>
      <c r="M1537" s="8"/>
      <c r="N1537" s="8" t="s">
        <v>62</v>
      </c>
      <c r="O1537" s="8" t="s">
        <v>63</v>
      </c>
      <c r="P1537" s="4" t="n">
        <v>54</v>
      </c>
      <c r="Q1537" s="8"/>
      <c r="R1537" s="4" t="s">
        <v>5256</v>
      </c>
      <c r="S1537" s="4"/>
    </row>
    <row r="1538" customFormat="false" ht="26.85" hidden="false" customHeight="false" outlineLevel="0" collapsed="false">
      <c r="A1538" s="4" t="s">
        <v>5258</v>
      </c>
      <c r="B1538" s="8" t="s">
        <v>5259</v>
      </c>
      <c r="C1538" s="8"/>
      <c r="D1538" s="8"/>
      <c r="E1538" s="8"/>
      <c r="F1538" s="8"/>
      <c r="G1538" s="8"/>
      <c r="H1538" s="8"/>
      <c r="I1538" s="8" t="s">
        <v>5260</v>
      </c>
      <c r="J1538" s="8" t="s">
        <v>76</v>
      </c>
      <c r="K1538" s="8" t="s">
        <v>5177</v>
      </c>
      <c r="L1538" s="8" t="s">
        <v>5248</v>
      </c>
      <c r="M1538" s="8"/>
      <c r="N1538" s="8" t="s">
        <v>62</v>
      </c>
      <c r="O1538" s="8" t="s">
        <v>63</v>
      </c>
      <c r="P1538" s="4" t="n">
        <v>54</v>
      </c>
      <c r="Q1538" s="8"/>
      <c r="R1538" s="4" t="s">
        <v>5259</v>
      </c>
      <c r="S1538" s="4"/>
    </row>
    <row r="1539" customFormat="false" ht="26.85" hidden="false" customHeight="false" outlineLevel="0" collapsed="false">
      <c r="A1539" s="4" t="s">
        <v>5261</v>
      </c>
      <c r="B1539" s="8" t="s">
        <v>5262</v>
      </c>
      <c r="C1539" s="8"/>
      <c r="D1539" s="8"/>
      <c r="E1539" s="8"/>
      <c r="F1539" s="8"/>
      <c r="G1539" s="8"/>
      <c r="H1539" s="8"/>
      <c r="I1539" s="8" t="s">
        <v>5263</v>
      </c>
      <c r="J1539" s="8" t="s">
        <v>76</v>
      </c>
      <c r="K1539" s="8" t="s">
        <v>5177</v>
      </c>
      <c r="L1539" s="8" t="s">
        <v>5248</v>
      </c>
      <c r="M1539" s="8"/>
      <c r="N1539" s="8" t="s">
        <v>62</v>
      </c>
      <c r="O1539" s="8" t="s">
        <v>63</v>
      </c>
      <c r="P1539" s="4" t="n">
        <v>54</v>
      </c>
      <c r="Q1539" s="8"/>
      <c r="R1539" s="4" t="s">
        <v>5262</v>
      </c>
      <c r="S1539" s="4"/>
    </row>
    <row r="1540" customFormat="false" ht="26.85" hidden="false" customHeight="false" outlineLevel="0" collapsed="false">
      <c r="A1540" s="4" t="s">
        <v>5264</v>
      </c>
      <c r="B1540" s="8" t="s">
        <v>5265</v>
      </c>
      <c r="C1540" s="8"/>
      <c r="D1540" s="8"/>
      <c r="E1540" s="8"/>
      <c r="F1540" s="8"/>
      <c r="G1540" s="8"/>
      <c r="H1540" s="8"/>
      <c r="I1540" s="8" t="s">
        <v>5266</v>
      </c>
      <c r="J1540" s="8" t="s">
        <v>76</v>
      </c>
      <c r="K1540" s="8" t="s">
        <v>5177</v>
      </c>
      <c r="L1540" s="8" t="s">
        <v>5248</v>
      </c>
      <c r="M1540" s="8"/>
      <c r="N1540" s="8" t="s">
        <v>62</v>
      </c>
      <c r="O1540" s="8" t="s">
        <v>63</v>
      </c>
      <c r="P1540" s="4" t="n">
        <v>54</v>
      </c>
      <c r="Q1540" s="8"/>
      <c r="R1540" s="4" t="s">
        <v>5265</v>
      </c>
      <c r="S1540" s="4"/>
    </row>
    <row r="1541" customFormat="false" ht="26.85" hidden="false" customHeight="false" outlineLevel="0" collapsed="false">
      <c r="A1541" s="4" t="s">
        <v>5267</v>
      </c>
      <c r="B1541" s="8" t="s">
        <v>5268</v>
      </c>
      <c r="C1541" s="8"/>
      <c r="D1541" s="8"/>
      <c r="E1541" s="8"/>
      <c r="F1541" s="8"/>
      <c r="G1541" s="8"/>
      <c r="H1541" s="8"/>
      <c r="I1541" s="8" t="s">
        <v>5269</v>
      </c>
      <c r="J1541" s="8" t="s">
        <v>76</v>
      </c>
      <c r="K1541" s="8" t="s">
        <v>5177</v>
      </c>
      <c r="L1541" s="8" t="s">
        <v>5248</v>
      </c>
      <c r="M1541" s="8"/>
      <c r="N1541" s="8" t="s">
        <v>62</v>
      </c>
      <c r="O1541" s="8" t="s">
        <v>63</v>
      </c>
      <c r="P1541" s="4" t="n">
        <v>54</v>
      </c>
      <c r="Q1541" s="8"/>
      <c r="R1541" s="4" t="s">
        <v>5268</v>
      </c>
      <c r="S1541" s="4"/>
    </row>
    <row r="1542" customFormat="false" ht="26.85" hidden="false" customHeight="false" outlineLevel="0" collapsed="false">
      <c r="A1542" s="4" t="s">
        <v>5270</v>
      </c>
      <c r="B1542" s="8" t="s">
        <v>5271</v>
      </c>
      <c r="C1542" s="8"/>
      <c r="D1542" s="8"/>
      <c r="E1542" s="8"/>
      <c r="F1542" s="8"/>
      <c r="G1542" s="8"/>
      <c r="H1542" s="8"/>
      <c r="I1542" s="8" t="s">
        <v>5272</v>
      </c>
      <c r="J1542" s="8" t="s">
        <v>76</v>
      </c>
      <c r="K1542" s="8" t="s">
        <v>5177</v>
      </c>
      <c r="L1542" s="8" t="s">
        <v>5248</v>
      </c>
      <c r="M1542" s="8"/>
      <c r="N1542" s="8" t="s">
        <v>62</v>
      </c>
      <c r="O1542" s="8" t="s">
        <v>63</v>
      </c>
      <c r="P1542" s="4" t="n">
        <v>54</v>
      </c>
      <c r="Q1542" s="8"/>
      <c r="R1542" s="4" t="s">
        <v>5271</v>
      </c>
      <c r="S1542" s="4"/>
    </row>
    <row r="1543" customFormat="false" ht="26.85" hidden="false" customHeight="false" outlineLevel="0" collapsed="false">
      <c r="A1543" s="4" t="s">
        <v>5273</v>
      </c>
      <c r="B1543" s="8" t="s">
        <v>5274</v>
      </c>
      <c r="C1543" s="8" t="s">
        <v>58</v>
      </c>
      <c r="D1543" s="8"/>
      <c r="E1543" s="8" t="s">
        <v>60</v>
      </c>
      <c r="F1543" s="8"/>
      <c r="G1543" s="8"/>
      <c r="H1543" s="8"/>
      <c r="I1543" s="8" t="s">
        <v>5275</v>
      </c>
      <c r="J1543" s="8" t="s">
        <v>76</v>
      </c>
      <c r="K1543" s="8" t="s">
        <v>5177</v>
      </c>
      <c r="L1543" s="8" t="s">
        <v>5248</v>
      </c>
      <c r="M1543" s="8"/>
      <c r="N1543" s="8" t="s">
        <v>62</v>
      </c>
      <c r="O1543" s="8" t="s">
        <v>63</v>
      </c>
      <c r="P1543" s="4" t="n">
        <v>54</v>
      </c>
      <c r="Q1543" s="8"/>
      <c r="R1543" s="4" t="s">
        <v>5276</v>
      </c>
      <c r="S1543" s="4"/>
    </row>
    <row r="1544" customFormat="false" ht="26.85" hidden="false" customHeight="false" outlineLevel="0" collapsed="false">
      <c r="A1544" s="4" t="s">
        <v>5277</v>
      </c>
      <c r="B1544" s="8" t="s">
        <v>5278</v>
      </c>
      <c r="C1544" s="8" t="s">
        <v>58</v>
      </c>
      <c r="D1544" s="8"/>
      <c r="E1544" s="8" t="s">
        <v>60</v>
      </c>
      <c r="F1544" s="8"/>
      <c r="G1544" s="8"/>
      <c r="H1544" s="8"/>
      <c r="I1544" s="8" t="s">
        <v>5279</v>
      </c>
      <c r="J1544" s="8" t="s">
        <v>76</v>
      </c>
      <c r="K1544" s="8" t="s">
        <v>5177</v>
      </c>
      <c r="L1544" s="8" t="s">
        <v>5248</v>
      </c>
      <c r="M1544" s="8"/>
      <c r="N1544" s="8" t="s">
        <v>62</v>
      </c>
      <c r="O1544" s="8" t="s">
        <v>63</v>
      </c>
      <c r="P1544" s="4" t="n">
        <v>54</v>
      </c>
      <c r="Q1544" s="8"/>
      <c r="R1544" s="4" t="s">
        <v>5280</v>
      </c>
      <c r="S1544" s="4"/>
    </row>
    <row r="1545" customFormat="false" ht="26.85" hidden="false" customHeight="false" outlineLevel="0" collapsed="false">
      <c r="A1545" s="4" t="s">
        <v>5281</v>
      </c>
      <c r="B1545" s="8" t="s">
        <v>5282</v>
      </c>
      <c r="C1545" s="8" t="s">
        <v>58</v>
      </c>
      <c r="D1545" s="8"/>
      <c r="E1545" s="8" t="s">
        <v>60</v>
      </c>
      <c r="F1545" s="8"/>
      <c r="G1545" s="8"/>
      <c r="H1545" s="8"/>
      <c r="I1545" s="8" t="s">
        <v>5283</v>
      </c>
      <c r="J1545" s="8" t="s">
        <v>76</v>
      </c>
      <c r="K1545" s="8" t="s">
        <v>5177</v>
      </c>
      <c r="L1545" s="8" t="s">
        <v>5248</v>
      </c>
      <c r="M1545" s="8"/>
      <c r="N1545" s="8" t="s">
        <v>62</v>
      </c>
      <c r="O1545" s="8" t="s">
        <v>63</v>
      </c>
      <c r="P1545" s="4" t="n">
        <v>54</v>
      </c>
      <c r="Q1545" s="8"/>
      <c r="R1545" s="4" t="s">
        <v>5284</v>
      </c>
      <c r="S1545" s="4"/>
    </row>
    <row r="1546" customFormat="false" ht="26.85" hidden="false" customHeight="false" outlineLevel="0" collapsed="false">
      <c r="A1546" s="4" t="s">
        <v>5285</v>
      </c>
      <c r="B1546" s="8" t="s">
        <v>5286</v>
      </c>
      <c r="C1546" s="8" t="s">
        <v>58</v>
      </c>
      <c r="D1546" s="8"/>
      <c r="E1546" s="8" t="s">
        <v>60</v>
      </c>
      <c r="F1546" s="8"/>
      <c r="G1546" s="8"/>
      <c r="H1546" s="8"/>
      <c r="I1546" s="8" t="s">
        <v>5287</v>
      </c>
      <c r="J1546" s="8" t="s">
        <v>76</v>
      </c>
      <c r="K1546" s="8" t="s">
        <v>5177</v>
      </c>
      <c r="L1546" s="8" t="s">
        <v>5248</v>
      </c>
      <c r="M1546" s="8"/>
      <c r="N1546" s="8" t="s">
        <v>62</v>
      </c>
      <c r="O1546" s="8" t="s">
        <v>63</v>
      </c>
      <c r="P1546" s="4" t="n">
        <v>54</v>
      </c>
      <c r="Q1546" s="8"/>
      <c r="R1546" s="4" t="s">
        <v>5288</v>
      </c>
      <c r="S1546" s="4"/>
    </row>
    <row r="1547" customFormat="false" ht="26.85" hidden="false" customHeight="false" outlineLevel="0" collapsed="false">
      <c r="A1547" s="4" t="s">
        <v>5289</v>
      </c>
      <c r="B1547" s="8" t="s">
        <v>5290</v>
      </c>
      <c r="C1547" s="8"/>
      <c r="D1547" s="8"/>
      <c r="E1547" s="8"/>
      <c r="F1547" s="8"/>
      <c r="G1547" s="8"/>
      <c r="H1547" s="8"/>
      <c r="I1547" s="8" t="s">
        <v>5291</v>
      </c>
      <c r="J1547" s="8" t="s">
        <v>76</v>
      </c>
      <c r="K1547" s="8" t="s">
        <v>5177</v>
      </c>
      <c r="L1547" s="8" t="s">
        <v>5248</v>
      </c>
      <c r="M1547" s="8"/>
      <c r="N1547" s="8" t="s">
        <v>62</v>
      </c>
      <c r="O1547" s="8" t="s">
        <v>63</v>
      </c>
      <c r="P1547" s="4" t="n">
        <v>54</v>
      </c>
      <c r="Q1547" s="8"/>
      <c r="R1547" s="4" t="s">
        <v>5290</v>
      </c>
      <c r="S1547" s="4"/>
    </row>
    <row r="1548" customFormat="false" ht="26.85" hidden="false" customHeight="false" outlineLevel="0" collapsed="false">
      <c r="A1548" s="4" t="s">
        <v>5292</v>
      </c>
      <c r="B1548" s="8" t="s">
        <v>5293</v>
      </c>
      <c r="C1548" s="8" t="s">
        <v>58</v>
      </c>
      <c r="D1548" s="8"/>
      <c r="E1548" s="8" t="s">
        <v>60</v>
      </c>
      <c r="F1548" s="8"/>
      <c r="G1548" s="8"/>
      <c r="H1548" s="8"/>
      <c r="I1548" s="8" t="s">
        <v>5294</v>
      </c>
      <c r="J1548" s="8" t="s">
        <v>76</v>
      </c>
      <c r="K1548" s="8" t="s">
        <v>5177</v>
      </c>
      <c r="L1548" s="8" t="s">
        <v>5248</v>
      </c>
      <c r="M1548" s="8"/>
      <c r="N1548" s="8" t="s">
        <v>62</v>
      </c>
      <c r="O1548" s="8" t="s">
        <v>63</v>
      </c>
      <c r="P1548" s="4" t="n">
        <v>54</v>
      </c>
      <c r="Q1548" s="8"/>
      <c r="R1548" s="4" t="s">
        <v>5295</v>
      </c>
      <c r="S1548" s="4" t="n">
        <v>502</v>
      </c>
    </row>
    <row r="1549" customFormat="false" ht="26.85" hidden="false" customHeight="false" outlineLevel="0" collapsed="false">
      <c r="A1549" s="4" t="s">
        <v>5296</v>
      </c>
      <c r="B1549" s="8" t="s">
        <v>3594</v>
      </c>
      <c r="C1549" s="8" t="s">
        <v>58</v>
      </c>
      <c r="D1549" s="8"/>
      <c r="E1549" s="8" t="s">
        <v>60</v>
      </c>
      <c r="F1549" s="8"/>
      <c r="G1549" s="8"/>
      <c r="H1549" s="8"/>
      <c r="I1549" s="8" t="s">
        <v>3595</v>
      </c>
      <c r="J1549" s="8" t="s">
        <v>76</v>
      </c>
      <c r="K1549" s="8" t="s">
        <v>5177</v>
      </c>
      <c r="L1549" s="8" t="s">
        <v>5248</v>
      </c>
      <c r="M1549" s="8"/>
      <c r="N1549" s="8" t="s">
        <v>62</v>
      </c>
      <c r="O1549" s="8" t="s">
        <v>63</v>
      </c>
      <c r="P1549" s="4" t="n">
        <v>54</v>
      </c>
      <c r="Q1549" s="8"/>
      <c r="R1549" s="4" t="s">
        <v>3596</v>
      </c>
      <c r="S1549" s="4"/>
    </row>
    <row r="1550" customFormat="false" ht="26.85" hidden="false" customHeight="false" outlineLevel="0" collapsed="false">
      <c r="A1550" s="4" t="s">
        <v>5297</v>
      </c>
      <c r="B1550" s="8" t="s">
        <v>5298</v>
      </c>
      <c r="C1550" s="8"/>
      <c r="D1550" s="8"/>
      <c r="E1550" s="8"/>
      <c r="F1550" s="8"/>
      <c r="G1550" s="8"/>
      <c r="H1550" s="8"/>
      <c r="I1550" s="8" t="s">
        <v>5299</v>
      </c>
      <c r="J1550" s="8" t="s">
        <v>76</v>
      </c>
      <c r="K1550" s="8" t="s">
        <v>5177</v>
      </c>
      <c r="L1550" s="8" t="s">
        <v>5248</v>
      </c>
      <c r="M1550" s="8"/>
      <c r="N1550" s="8" t="s">
        <v>62</v>
      </c>
      <c r="O1550" s="8" t="s">
        <v>63</v>
      </c>
      <c r="P1550" s="4" t="n">
        <v>54</v>
      </c>
      <c r="Q1550" s="8"/>
      <c r="R1550" s="4" t="s">
        <v>5298</v>
      </c>
      <c r="S1550" s="4"/>
    </row>
    <row r="1551" customFormat="false" ht="26.85" hidden="false" customHeight="false" outlineLevel="0" collapsed="false">
      <c r="A1551" s="4" t="s">
        <v>5300</v>
      </c>
      <c r="B1551" s="8" t="s">
        <v>5301</v>
      </c>
      <c r="C1551" s="8"/>
      <c r="D1551" s="8"/>
      <c r="E1551" s="8"/>
      <c r="F1551" s="8"/>
      <c r="G1551" s="8"/>
      <c r="H1551" s="8"/>
      <c r="I1551" s="8" t="s">
        <v>5302</v>
      </c>
      <c r="J1551" s="8" t="s">
        <v>76</v>
      </c>
      <c r="K1551" s="8" t="s">
        <v>5177</v>
      </c>
      <c r="L1551" s="8" t="s">
        <v>5248</v>
      </c>
      <c r="M1551" s="8"/>
      <c r="N1551" s="8" t="s">
        <v>62</v>
      </c>
      <c r="O1551" s="8" t="s">
        <v>63</v>
      </c>
      <c r="P1551" s="4" t="n">
        <v>55</v>
      </c>
      <c r="Q1551" s="8"/>
      <c r="R1551" s="4" t="s">
        <v>5301</v>
      </c>
      <c r="S1551" s="4"/>
    </row>
    <row r="1552" customFormat="false" ht="26.85" hidden="false" customHeight="false" outlineLevel="0" collapsed="false">
      <c r="A1552" s="4" t="s">
        <v>5303</v>
      </c>
      <c r="B1552" s="8" t="s">
        <v>1395</v>
      </c>
      <c r="C1552" s="8" t="s">
        <v>58</v>
      </c>
      <c r="D1552" s="8"/>
      <c r="E1552" s="8" t="s">
        <v>60</v>
      </c>
      <c r="F1552" s="8"/>
      <c r="G1552" s="8"/>
      <c r="H1552" s="8"/>
      <c r="I1552" s="8" t="s">
        <v>5304</v>
      </c>
      <c r="J1552" s="8" t="s">
        <v>76</v>
      </c>
      <c r="K1552" s="8" t="s">
        <v>5177</v>
      </c>
      <c r="L1552" s="8" t="s">
        <v>5248</v>
      </c>
      <c r="M1552" s="8"/>
      <c r="N1552" s="8" t="s">
        <v>62</v>
      </c>
      <c r="O1552" s="8" t="s">
        <v>63</v>
      </c>
      <c r="P1552" s="4" t="n">
        <v>55</v>
      </c>
      <c r="Q1552" s="8"/>
      <c r="R1552" s="4" t="s">
        <v>1397</v>
      </c>
      <c r="S1552" s="4"/>
    </row>
    <row r="1553" customFormat="false" ht="26.85" hidden="false" customHeight="false" outlineLevel="0" collapsed="false">
      <c r="A1553" s="4" t="s">
        <v>5305</v>
      </c>
      <c r="B1553" s="8" t="s">
        <v>5306</v>
      </c>
      <c r="C1553" s="8" t="s">
        <v>58</v>
      </c>
      <c r="D1553" s="8"/>
      <c r="E1553" s="8" t="s">
        <v>60</v>
      </c>
      <c r="F1553" s="8"/>
      <c r="G1553" s="8"/>
      <c r="H1553" s="8"/>
      <c r="I1553" s="8" t="s">
        <v>5307</v>
      </c>
      <c r="J1553" s="8" t="s">
        <v>76</v>
      </c>
      <c r="K1553" s="8" t="s">
        <v>5177</v>
      </c>
      <c r="L1553" s="8" t="s">
        <v>5248</v>
      </c>
      <c r="M1553" s="8"/>
      <c r="N1553" s="8" t="s">
        <v>62</v>
      </c>
      <c r="O1553" s="8" t="s">
        <v>63</v>
      </c>
      <c r="P1553" s="4" t="n">
        <v>55</v>
      </c>
      <c r="Q1553" s="8"/>
      <c r="R1553" s="4" t="s">
        <v>5308</v>
      </c>
      <c r="S1553" s="4"/>
    </row>
    <row r="1554" customFormat="false" ht="26.85" hidden="false" customHeight="false" outlineLevel="0" collapsed="false">
      <c r="A1554" s="4" t="s">
        <v>5309</v>
      </c>
      <c r="B1554" s="8" t="s">
        <v>5310</v>
      </c>
      <c r="C1554" s="8" t="s">
        <v>58</v>
      </c>
      <c r="D1554" s="8"/>
      <c r="E1554" s="8" t="s">
        <v>60</v>
      </c>
      <c r="F1554" s="8"/>
      <c r="G1554" s="8"/>
      <c r="H1554" s="8"/>
      <c r="I1554" s="8" t="s">
        <v>5311</v>
      </c>
      <c r="J1554" s="8" t="s">
        <v>76</v>
      </c>
      <c r="K1554" s="8" t="s">
        <v>5177</v>
      </c>
      <c r="L1554" s="8" t="s">
        <v>5248</v>
      </c>
      <c r="M1554" s="8"/>
      <c r="N1554" s="8" t="s">
        <v>62</v>
      </c>
      <c r="O1554" s="8" t="s">
        <v>63</v>
      </c>
      <c r="P1554" s="4" t="n">
        <v>55</v>
      </c>
      <c r="Q1554" s="8"/>
      <c r="R1554" s="4" t="s">
        <v>5312</v>
      </c>
      <c r="S1554" s="4"/>
    </row>
    <row r="1555" customFormat="false" ht="26.85" hidden="false" customHeight="false" outlineLevel="0" collapsed="false">
      <c r="A1555" s="4" t="s">
        <v>5313</v>
      </c>
      <c r="B1555" s="8" t="s">
        <v>5314</v>
      </c>
      <c r="C1555" s="8"/>
      <c r="D1555" s="8"/>
      <c r="E1555" s="8"/>
      <c r="F1555" s="8"/>
      <c r="G1555" s="8"/>
      <c r="H1555" s="8"/>
      <c r="I1555" s="8" t="s">
        <v>5315</v>
      </c>
      <c r="J1555" s="8" t="s">
        <v>76</v>
      </c>
      <c r="K1555" s="8" t="s">
        <v>5177</v>
      </c>
      <c r="L1555" s="8" t="s">
        <v>5248</v>
      </c>
      <c r="M1555" s="8"/>
      <c r="N1555" s="8" t="s">
        <v>62</v>
      </c>
      <c r="O1555" s="8" t="s">
        <v>63</v>
      </c>
      <c r="P1555" s="4" t="n">
        <v>55</v>
      </c>
      <c r="Q1555" s="8"/>
      <c r="R1555" s="4" t="s">
        <v>5314</v>
      </c>
      <c r="S1555" s="4"/>
    </row>
    <row r="1556" customFormat="false" ht="26.85" hidden="false" customHeight="false" outlineLevel="0" collapsed="false">
      <c r="A1556" s="4" t="s">
        <v>5316</v>
      </c>
      <c r="B1556" s="8" t="s">
        <v>5317</v>
      </c>
      <c r="C1556" s="8" t="s">
        <v>58</v>
      </c>
      <c r="D1556" s="8"/>
      <c r="E1556" s="8" t="s">
        <v>60</v>
      </c>
      <c r="F1556" s="8"/>
      <c r="G1556" s="8"/>
      <c r="H1556" s="8"/>
      <c r="I1556" s="8" t="s">
        <v>5318</v>
      </c>
      <c r="J1556" s="8" t="s">
        <v>76</v>
      </c>
      <c r="K1556" s="8" t="s">
        <v>5177</v>
      </c>
      <c r="L1556" s="8" t="s">
        <v>5248</v>
      </c>
      <c r="M1556" s="8"/>
      <c r="N1556" s="8" t="s">
        <v>62</v>
      </c>
      <c r="O1556" s="8" t="s">
        <v>63</v>
      </c>
      <c r="P1556" s="4" t="n">
        <v>55</v>
      </c>
      <c r="Q1556" s="8"/>
      <c r="R1556" s="4" t="s">
        <v>5319</v>
      </c>
      <c r="S1556" s="4"/>
    </row>
    <row r="1557" customFormat="false" ht="26.85" hidden="false" customHeight="false" outlineLevel="0" collapsed="false">
      <c r="A1557" s="4" t="s">
        <v>5320</v>
      </c>
      <c r="B1557" s="8" t="s">
        <v>5321</v>
      </c>
      <c r="C1557" s="8" t="s">
        <v>58</v>
      </c>
      <c r="D1557" s="8"/>
      <c r="E1557" s="8" t="s">
        <v>60</v>
      </c>
      <c r="F1557" s="8"/>
      <c r="G1557" s="8"/>
      <c r="H1557" s="8"/>
      <c r="I1557" s="8" t="s">
        <v>5322</v>
      </c>
      <c r="J1557" s="8" t="s">
        <v>76</v>
      </c>
      <c r="K1557" s="8" t="s">
        <v>5177</v>
      </c>
      <c r="L1557" s="8" t="s">
        <v>5248</v>
      </c>
      <c r="M1557" s="8"/>
      <c r="N1557" s="8" t="s">
        <v>62</v>
      </c>
      <c r="O1557" s="8" t="s">
        <v>63</v>
      </c>
      <c r="P1557" s="4" t="n">
        <v>55</v>
      </c>
      <c r="Q1557" s="8"/>
      <c r="R1557" s="4" t="s">
        <v>5323</v>
      </c>
      <c r="S1557" s="4"/>
    </row>
    <row r="1558" customFormat="false" ht="26.85" hidden="false" customHeight="false" outlineLevel="0" collapsed="false">
      <c r="A1558" s="4" t="s">
        <v>5324</v>
      </c>
      <c r="B1558" s="8" t="s">
        <v>5325</v>
      </c>
      <c r="C1558" s="8"/>
      <c r="D1558" s="8"/>
      <c r="E1558" s="8"/>
      <c r="F1558" s="8"/>
      <c r="G1558" s="8"/>
      <c r="H1558" s="8"/>
      <c r="I1558" s="8" t="s">
        <v>5326</v>
      </c>
      <c r="J1558" s="8" t="s">
        <v>76</v>
      </c>
      <c r="K1558" s="8" t="s">
        <v>5177</v>
      </c>
      <c r="L1558" s="8" t="s">
        <v>5248</v>
      </c>
      <c r="M1558" s="8"/>
      <c r="N1558" s="8" t="s">
        <v>62</v>
      </c>
      <c r="O1558" s="8" t="s">
        <v>63</v>
      </c>
      <c r="P1558" s="4" t="n">
        <v>55</v>
      </c>
      <c r="Q1558" s="8"/>
      <c r="R1558" s="4" t="s">
        <v>5325</v>
      </c>
      <c r="S1558" s="4"/>
    </row>
    <row r="1559" customFormat="false" ht="26.85" hidden="false" customHeight="false" outlineLevel="0" collapsed="false">
      <c r="A1559" s="4" t="s">
        <v>5327</v>
      </c>
      <c r="B1559" s="8" t="s">
        <v>5328</v>
      </c>
      <c r="C1559" s="8" t="s">
        <v>58</v>
      </c>
      <c r="D1559" s="8"/>
      <c r="E1559" s="8" t="s">
        <v>60</v>
      </c>
      <c r="F1559" s="8"/>
      <c r="G1559" s="8"/>
      <c r="H1559" s="8"/>
      <c r="I1559" s="8" t="s">
        <v>5329</v>
      </c>
      <c r="J1559" s="8" t="s">
        <v>76</v>
      </c>
      <c r="K1559" s="8" t="s">
        <v>5177</v>
      </c>
      <c r="L1559" s="8" t="s">
        <v>5248</v>
      </c>
      <c r="M1559" s="8"/>
      <c r="N1559" s="8" t="s">
        <v>62</v>
      </c>
      <c r="O1559" s="8" t="s">
        <v>63</v>
      </c>
      <c r="P1559" s="4" t="n">
        <v>55</v>
      </c>
      <c r="Q1559" s="8"/>
      <c r="R1559" s="4" t="s">
        <v>5330</v>
      </c>
      <c r="S1559" s="4"/>
    </row>
    <row r="1560" customFormat="false" ht="26.85" hidden="false" customHeight="false" outlineLevel="0" collapsed="false">
      <c r="A1560" s="4" t="s">
        <v>5331</v>
      </c>
      <c r="B1560" s="8" t="s">
        <v>5332</v>
      </c>
      <c r="C1560" s="8" t="s">
        <v>58</v>
      </c>
      <c r="D1560" s="8"/>
      <c r="E1560" s="8" t="s">
        <v>60</v>
      </c>
      <c r="F1560" s="8"/>
      <c r="G1560" s="8"/>
      <c r="H1560" s="8"/>
      <c r="I1560" s="8" t="s">
        <v>5333</v>
      </c>
      <c r="J1560" s="8" t="s">
        <v>76</v>
      </c>
      <c r="K1560" s="8" t="s">
        <v>5177</v>
      </c>
      <c r="L1560" s="8" t="s">
        <v>5248</v>
      </c>
      <c r="M1560" s="8"/>
      <c r="N1560" s="8" t="s">
        <v>62</v>
      </c>
      <c r="O1560" s="8" t="s">
        <v>63</v>
      </c>
      <c r="P1560" s="4" t="n">
        <v>55</v>
      </c>
      <c r="Q1560" s="8"/>
      <c r="R1560" s="4" t="s">
        <v>5334</v>
      </c>
      <c r="S1560" s="4"/>
    </row>
    <row r="1561" customFormat="false" ht="26.85" hidden="false" customHeight="false" outlineLevel="0" collapsed="false">
      <c r="A1561" s="4" t="s">
        <v>5335</v>
      </c>
      <c r="B1561" s="8" t="s">
        <v>5336</v>
      </c>
      <c r="C1561" s="8" t="s">
        <v>58</v>
      </c>
      <c r="D1561" s="8"/>
      <c r="E1561" s="8" t="s">
        <v>60</v>
      </c>
      <c r="F1561" s="8"/>
      <c r="G1561" s="8"/>
      <c r="H1561" s="8"/>
      <c r="I1561" s="8" t="s">
        <v>5337</v>
      </c>
      <c r="J1561" s="8" t="s">
        <v>76</v>
      </c>
      <c r="K1561" s="8" t="s">
        <v>5177</v>
      </c>
      <c r="L1561" s="8" t="s">
        <v>5248</v>
      </c>
      <c r="M1561" s="8"/>
      <c r="N1561" s="8" t="s">
        <v>62</v>
      </c>
      <c r="O1561" s="8" t="s">
        <v>63</v>
      </c>
      <c r="P1561" s="4" t="n">
        <v>55</v>
      </c>
      <c r="Q1561" s="8"/>
      <c r="R1561" s="4" t="s">
        <v>5338</v>
      </c>
      <c r="S1561" s="4"/>
    </row>
    <row r="1562" customFormat="false" ht="26.85" hidden="false" customHeight="false" outlineLevel="0" collapsed="false">
      <c r="A1562" s="4" t="s">
        <v>5339</v>
      </c>
      <c r="B1562" s="8" t="s">
        <v>5340</v>
      </c>
      <c r="C1562" s="8"/>
      <c r="D1562" s="8"/>
      <c r="E1562" s="8"/>
      <c r="F1562" s="8"/>
      <c r="G1562" s="8"/>
      <c r="H1562" s="8"/>
      <c r="I1562" s="8" t="s">
        <v>5341</v>
      </c>
      <c r="J1562" s="8" t="s">
        <v>76</v>
      </c>
      <c r="K1562" s="8" t="s">
        <v>5177</v>
      </c>
      <c r="L1562" s="8" t="s">
        <v>5248</v>
      </c>
      <c r="M1562" s="8"/>
      <c r="N1562" s="8" t="s">
        <v>62</v>
      </c>
      <c r="O1562" s="8" t="s">
        <v>63</v>
      </c>
      <c r="P1562" s="4" t="n">
        <v>55</v>
      </c>
      <c r="Q1562" s="8"/>
      <c r="R1562" s="4" t="s">
        <v>5340</v>
      </c>
      <c r="S1562" s="4"/>
    </row>
    <row r="1563" customFormat="false" ht="26.85" hidden="false" customHeight="false" outlineLevel="0" collapsed="false">
      <c r="A1563" s="4" t="s">
        <v>5342</v>
      </c>
      <c r="B1563" s="8" t="s">
        <v>5343</v>
      </c>
      <c r="C1563" s="8" t="s">
        <v>58</v>
      </c>
      <c r="D1563" s="8"/>
      <c r="E1563" s="8" t="s">
        <v>60</v>
      </c>
      <c r="F1563" s="8"/>
      <c r="G1563" s="8"/>
      <c r="H1563" s="8"/>
      <c r="I1563" s="8" t="s">
        <v>5344</v>
      </c>
      <c r="J1563" s="8" t="s">
        <v>76</v>
      </c>
      <c r="K1563" s="8" t="s">
        <v>5177</v>
      </c>
      <c r="L1563" s="8" t="s">
        <v>5248</v>
      </c>
      <c r="M1563" s="8"/>
      <c r="N1563" s="8" t="s">
        <v>62</v>
      </c>
      <c r="O1563" s="8" t="s">
        <v>63</v>
      </c>
      <c r="P1563" s="4" t="n">
        <v>55</v>
      </c>
      <c r="Q1563" s="8"/>
      <c r="R1563" s="4" t="s">
        <v>5345</v>
      </c>
      <c r="S1563" s="4"/>
    </row>
    <row r="1564" customFormat="false" ht="26.85" hidden="false" customHeight="false" outlineLevel="0" collapsed="false">
      <c r="A1564" s="4" t="s">
        <v>5346</v>
      </c>
      <c r="B1564" s="8" t="s">
        <v>5347</v>
      </c>
      <c r="C1564" s="8"/>
      <c r="D1564" s="8"/>
      <c r="E1564" s="8"/>
      <c r="F1564" s="8"/>
      <c r="G1564" s="8"/>
      <c r="H1564" s="8"/>
      <c r="I1564" s="8" t="s">
        <v>5348</v>
      </c>
      <c r="J1564" s="8" t="s">
        <v>76</v>
      </c>
      <c r="K1564" s="8" t="s">
        <v>5177</v>
      </c>
      <c r="L1564" s="8" t="s">
        <v>5248</v>
      </c>
      <c r="M1564" s="8"/>
      <c r="N1564" s="8" t="s">
        <v>62</v>
      </c>
      <c r="O1564" s="8" t="s">
        <v>63</v>
      </c>
      <c r="P1564" s="4" t="n">
        <v>55</v>
      </c>
      <c r="Q1564" s="8"/>
      <c r="R1564" s="4" t="s">
        <v>5347</v>
      </c>
      <c r="S1564" s="4"/>
    </row>
    <row r="1565" customFormat="false" ht="26.85" hidden="false" customHeight="false" outlineLevel="0" collapsed="false">
      <c r="A1565" s="4" t="s">
        <v>5349</v>
      </c>
      <c r="B1565" s="8" t="s">
        <v>5350</v>
      </c>
      <c r="C1565" s="8" t="s">
        <v>58</v>
      </c>
      <c r="D1565" s="8"/>
      <c r="E1565" s="8" t="s">
        <v>60</v>
      </c>
      <c r="F1565" s="8"/>
      <c r="G1565" s="8"/>
      <c r="H1565" s="8"/>
      <c r="I1565" s="8" t="s">
        <v>5351</v>
      </c>
      <c r="J1565" s="8" t="s">
        <v>76</v>
      </c>
      <c r="K1565" s="8" t="s">
        <v>5177</v>
      </c>
      <c r="L1565" s="8" t="s">
        <v>5248</v>
      </c>
      <c r="M1565" s="8"/>
      <c r="N1565" s="8" t="s">
        <v>62</v>
      </c>
      <c r="O1565" s="8" t="s">
        <v>63</v>
      </c>
      <c r="P1565" s="4" t="n">
        <v>55</v>
      </c>
      <c r="Q1565" s="8"/>
      <c r="R1565" s="4" t="s">
        <v>5352</v>
      </c>
      <c r="S1565" s="4"/>
    </row>
    <row r="1566" customFormat="false" ht="26.85" hidden="false" customHeight="false" outlineLevel="0" collapsed="false">
      <c r="A1566" s="4" t="s">
        <v>5353</v>
      </c>
      <c r="B1566" s="8" t="s">
        <v>1505</v>
      </c>
      <c r="C1566" s="8"/>
      <c r="D1566" s="8"/>
      <c r="E1566" s="8"/>
      <c r="F1566" s="8"/>
      <c r="G1566" s="8"/>
      <c r="H1566" s="8"/>
      <c r="I1566" s="8" t="s">
        <v>5354</v>
      </c>
      <c r="J1566" s="8" t="s">
        <v>76</v>
      </c>
      <c r="K1566" s="8" t="s">
        <v>5177</v>
      </c>
      <c r="L1566" s="8" t="s">
        <v>5248</v>
      </c>
      <c r="M1566" s="8"/>
      <c r="N1566" s="8" t="s">
        <v>62</v>
      </c>
      <c r="O1566" s="8" t="s">
        <v>63</v>
      </c>
      <c r="P1566" s="4" t="n">
        <v>55</v>
      </c>
      <c r="Q1566" s="8"/>
      <c r="R1566" s="4" t="s">
        <v>1505</v>
      </c>
      <c r="S1566" s="4" t="n">
        <v>426</v>
      </c>
    </row>
    <row r="1567" customFormat="false" ht="26.85" hidden="false" customHeight="false" outlineLevel="0" collapsed="false">
      <c r="A1567" s="4" t="s">
        <v>5355</v>
      </c>
      <c r="B1567" s="8" t="s">
        <v>5356</v>
      </c>
      <c r="C1567" s="8" t="s">
        <v>58</v>
      </c>
      <c r="D1567" s="8"/>
      <c r="E1567" s="8" t="s">
        <v>60</v>
      </c>
      <c r="F1567" s="8"/>
      <c r="G1567" s="8"/>
      <c r="H1567" s="8"/>
      <c r="I1567" s="8" t="s">
        <v>5357</v>
      </c>
      <c r="J1567" s="8" t="s">
        <v>76</v>
      </c>
      <c r="K1567" s="8" t="s">
        <v>5177</v>
      </c>
      <c r="L1567" s="8" t="s">
        <v>5248</v>
      </c>
      <c r="M1567" s="8"/>
      <c r="N1567" s="8" t="s">
        <v>62</v>
      </c>
      <c r="O1567" s="8" t="s">
        <v>63</v>
      </c>
      <c r="P1567" s="4" t="n">
        <v>55</v>
      </c>
      <c r="Q1567" s="8"/>
      <c r="R1567" s="4" t="s">
        <v>5358</v>
      </c>
      <c r="S1567" s="4" t="n">
        <v>945</v>
      </c>
    </row>
    <row r="1568" customFormat="false" ht="26.85" hidden="false" customHeight="false" outlineLevel="0" collapsed="false">
      <c r="A1568" s="4" t="s">
        <v>5359</v>
      </c>
      <c r="B1568" s="8" t="s">
        <v>4196</v>
      </c>
      <c r="C1568" s="8" t="s">
        <v>58</v>
      </c>
      <c r="D1568" s="8"/>
      <c r="E1568" s="8" t="s">
        <v>60</v>
      </c>
      <c r="F1568" s="8"/>
      <c r="G1568" s="8"/>
      <c r="H1568" s="8"/>
      <c r="I1568" s="8" t="s">
        <v>5360</v>
      </c>
      <c r="J1568" s="8" t="s">
        <v>76</v>
      </c>
      <c r="K1568" s="8" t="s">
        <v>5177</v>
      </c>
      <c r="L1568" s="8" t="s">
        <v>5248</v>
      </c>
      <c r="M1568" s="8"/>
      <c r="N1568" s="8" t="s">
        <v>62</v>
      </c>
      <c r="O1568" s="8" t="s">
        <v>63</v>
      </c>
      <c r="P1568" s="4" t="n">
        <v>55</v>
      </c>
      <c r="Q1568" s="8"/>
      <c r="R1568" s="4" t="s">
        <v>4198</v>
      </c>
      <c r="S1568" s="4"/>
    </row>
    <row r="1569" customFormat="false" ht="26.85" hidden="false" customHeight="false" outlineLevel="0" collapsed="false">
      <c r="A1569" s="4" t="s">
        <v>5361</v>
      </c>
      <c r="B1569" s="8" t="s">
        <v>5362</v>
      </c>
      <c r="C1569" s="8" t="s">
        <v>58</v>
      </c>
      <c r="D1569" s="8"/>
      <c r="E1569" s="8" t="s">
        <v>60</v>
      </c>
      <c r="F1569" s="8"/>
      <c r="G1569" s="8"/>
      <c r="H1569" s="8"/>
      <c r="I1569" s="8" t="s">
        <v>5363</v>
      </c>
      <c r="J1569" s="8" t="s">
        <v>76</v>
      </c>
      <c r="K1569" s="8" t="s">
        <v>5177</v>
      </c>
      <c r="L1569" s="8" t="s">
        <v>5248</v>
      </c>
      <c r="M1569" s="8"/>
      <c r="N1569" s="8" t="s">
        <v>62</v>
      </c>
      <c r="O1569" s="8" t="s">
        <v>63</v>
      </c>
      <c r="P1569" s="4" t="n">
        <v>55</v>
      </c>
      <c r="Q1569" s="8"/>
      <c r="R1569" s="4" t="s">
        <v>5364</v>
      </c>
      <c r="S1569" s="4"/>
    </row>
    <row r="1570" customFormat="false" ht="26.85" hidden="false" customHeight="false" outlineLevel="0" collapsed="false">
      <c r="A1570" s="4" t="s">
        <v>5365</v>
      </c>
      <c r="B1570" s="8" t="s">
        <v>5366</v>
      </c>
      <c r="C1570" s="8"/>
      <c r="D1570" s="8"/>
      <c r="E1570" s="8"/>
      <c r="F1570" s="8"/>
      <c r="G1570" s="8"/>
      <c r="H1570" s="8"/>
      <c r="I1570" s="8" t="s">
        <v>5367</v>
      </c>
      <c r="J1570" s="8" t="s">
        <v>76</v>
      </c>
      <c r="K1570" s="8" t="s">
        <v>5177</v>
      </c>
      <c r="L1570" s="8" t="s">
        <v>5248</v>
      </c>
      <c r="M1570" s="8"/>
      <c r="N1570" s="8" t="s">
        <v>62</v>
      </c>
      <c r="O1570" s="8" t="s">
        <v>63</v>
      </c>
      <c r="P1570" s="4" t="n">
        <v>55</v>
      </c>
      <c r="Q1570" s="8"/>
      <c r="R1570" s="4" t="s">
        <v>5366</v>
      </c>
      <c r="S1570" s="4"/>
    </row>
    <row r="1571" customFormat="false" ht="26.85" hidden="false" customHeight="false" outlineLevel="0" collapsed="false">
      <c r="A1571" s="4" t="s">
        <v>5368</v>
      </c>
      <c r="B1571" s="8" t="s">
        <v>1577</v>
      </c>
      <c r="C1571" s="8" t="s">
        <v>58</v>
      </c>
      <c r="D1571" s="8"/>
      <c r="E1571" s="8" t="s">
        <v>60</v>
      </c>
      <c r="F1571" s="8"/>
      <c r="G1571" s="8"/>
      <c r="H1571" s="8"/>
      <c r="I1571" s="8" t="s">
        <v>1578</v>
      </c>
      <c r="J1571" s="8" t="s">
        <v>76</v>
      </c>
      <c r="K1571" s="8" t="s">
        <v>5177</v>
      </c>
      <c r="L1571" s="8" t="s">
        <v>5248</v>
      </c>
      <c r="M1571" s="8"/>
      <c r="N1571" s="8" t="s">
        <v>62</v>
      </c>
      <c r="O1571" s="8" t="s">
        <v>63</v>
      </c>
      <c r="P1571" s="4" t="n">
        <v>55</v>
      </c>
      <c r="Q1571" s="8"/>
      <c r="R1571" s="4" t="s">
        <v>1579</v>
      </c>
      <c r="S1571" s="4" t="n">
        <v>234</v>
      </c>
    </row>
    <row r="1572" customFormat="false" ht="26.85" hidden="false" customHeight="false" outlineLevel="0" collapsed="false">
      <c r="A1572" s="4" t="s">
        <v>5369</v>
      </c>
      <c r="B1572" s="8" t="s">
        <v>1585</v>
      </c>
      <c r="C1572" s="8"/>
      <c r="D1572" s="8"/>
      <c r="E1572" s="8"/>
      <c r="F1572" s="8"/>
      <c r="G1572" s="8"/>
      <c r="H1572" s="8"/>
      <c r="I1572" s="8" t="s">
        <v>1586</v>
      </c>
      <c r="J1572" s="8" t="s">
        <v>76</v>
      </c>
      <c r="K1572" s="8" t="s">
        <v>5177</v>
      </c>
      <c r="L1572" s="8" t="s">
        <v>5248</v>
      </c>
      <c r="M1572" s="8"/>
      <c r="N1572" s="8" t="s">
        <v>62</v>
      </c>
      <c r="O1572" s="8" t="s">
        <v>63</v>
      </c>
      <c r="P1572" s="4" t="n">
        <v>55</v>
      </c>
      <c r="Q1572" s="8"/>
      <c r="R1572" s="4" t="s">
        <v>1585</v>
      </c>
      <c r="S1572" s="4"/>
    </row>
    <row r="1573" customFormat="false" ht="26.85" hidden="false" customHeight="false" outlineLevel="0" collapsed="false">
      <c r="A1573" s="4" t="s">
        <v>5370</v>
      </c>
      <c r="B1573" s="8" t="s">
        <v>5371</v>
      </c>
      <c r="C1573" s="8"/>
      <c r="D1573" s="8"/>
      <c r="E1573" s="8"/>
      <c r="F1573" s="8"/>
      <c r="G1573" s="8"/>
      <c r="H1573" s="8"/>
      <c r="I1573" s="8" t="s">
        <v>5372</v>
      </c>
      <c r="J1573" s="8" t="s">
        <v>76</v>
      </c>
      <c r="K1573" s="8" t="s">
        <v>5177</v>
      </c>
      <c r="L1573" s="8" t="s">
        <v>5248</v>
      </c>
      <c r="M1573" s="8"/>
      <c r="N1573" s="8" t="s">
        <v>62</v>
      </c>
      <c r="O1573" s="8" t="s">
        <v>63</v>
      </c>
      <c r="P1573" s="4" t="n">
        <v>55</v>
      </c>
      <c r="Q1573" s="8"/>
      <c r="R1573" s="4" t="s">
        <v>5371</v>
      </c>
      <c r="S1573" s="4"/>
    </row>
    <row r="1574" customFormat="false" ht="26.85" hidden="false" customHeight="false" outlineLevel="0" collapsed="false">
      <c r="A1574" s="4" t="s">
        <v>5373</v>
      </c>
      <c r="B1574" s="8" t="s">
        <v>5374</v>
      </c>
      <c r="C1574" s="8" t="s">
        <v>58</v>
      </c>
      <c r="D1574" s="8"/>
      <c r="E1574" s="8" t="s">
        <v>60</v>
      </c>
      <c r="F1574" s="8"/>
      <c r="G1574" s="8"/>
      <c r="H1574" s="8"/>
      <c r="I1574" s="8" t="s">
        <v>5375</v>
      </c>
      <c r="J1574" s="8" t="s">
        <v>76</v>
      </c>
      <c r="K1574" s="8" t="s">
        <v>5177</v>
      </c>
      <c r="L1574" s="8" t="s">
        <v>5248</v>
      </c>
      <c r="M1574" s="8"/>
      <c r="N1574" s="8" t="s">
        <v>62</v>
      </c>
      <c r="O1574" s="8" t="s">
        <v>63</v>
      </c>
      <c r="P1574" s="4" t="n">
        <v>55</v>
      </c>
      <c r="Q1574" s="8"/>
      <c r="R1574" s="4" t="s">
        <v>5376</v>
      </c>
      <c r="S1574" s="4"/>
    </row>
    <row r="1575" customFormat="false" ht="26.85" hidden="false" customHeight="false" outlineLevel="0" collapsed="false">
      <c r="A1575" s="4" t="s">
        <v>5377</v>
      </c>
      <c r="B1575" s="8" t="s">
        <v>5378</v>
      </c>
      <c r="C1575" s="8" t="s">
        <v>58</v>
      </c>
      <c r="D1575" s="8"/>
      <c r="E1575" s="8" t="s">
        <v>60</v>
      </c>
      <c r="F1575" s="8"/>
      <c r="G1575" s="8"/>
      <c r="H1575" s="8"/>
      <c r="I1575" s="8" t="s">
        <v>5379</v>
      </c>
      <c r="J1575" s="8" t="s">
        <v>76</v>
      </c>
      <c r="K1575" s="8" t="s">
        <v>5177</v>
      </c>
      <c r="L1575" s="8" t="s">
        <v>5248</v>
      </c>
      <c r="M1575" s="8"/>
      <c r="N1575" s="8" t="s">
        <v>62</v>
      </c>
      <c r="O1575" s="8" t="s">
        <v>63</v>
      </c>
      <c r="P1575" s="4" t="n">
        <v>55</v>
      </c>
      <c r="Q1575" s="8"/>
      <c r="R1575" s="4" t="s">
        <v>5380</v>
      </c>
      <c r="S1575" s="4"/>
    </row>
    <row r="1576" customFormat="false" ht="26.85" hidden="false" customHeight="false" outlineLevel="0" collapsed="false">
      <c r="A1576" s="4" t="s">
        <v>5381</v>
      </c>
      <c r="B1576" s="8" t="s">
        <v>5382</v>
      </c>
      <c r="C1576" s="8"/>
      <c r="D1576" s="8"/>
      <c r="E1576" s="8"/>
      <c r="F1576" s="8"/>
      <c r="G1576" s="8"/>
      <c r="H1576" s="8"/>
      <c r="I1576" s="8" t="s">
        <v>5383</v>
      </c>
      <c r="J1576" s="8" t="s">
        <v>76</v>
      </c>
      <c r="K1576" s="8" t="s">
        <v>5177</v>
      </c>
      <c r="L1576" s="8" t="s">
        <v>5248</v>
      </c>
      <c r="M1576" s="8"/>
      <c r="N1576" s="8" t="s">
        <v>62</v>
      </c>
      <c r="O1576" s="8" t="s">
        <v>63</v>
      </c>
      <c r="P1576" s="4" t="n">
        <v>55</v>
      </c>
      <c r="Q1576" s="8"/>
      <c r="R1576" s="4" t="s">
        <v>5382</v>
      </c>
      <c r="S1576" s="4" t="n">
        <v>6160</v>
      </c>
    </row>
    <row r="1577" customFormat="false" ht="26.85" hidden="false" customHeight="false" outlineLevel="0" collapsed="false">
      <c r="A1577" s="4" t="s">
        <v>5384</v>
      </c>
      <c r="B1577" s="8" t="s">
        <v>5385</v>
      </c>
      <c r="C1577" s="8" t="s">
        <v>58</v>
      </c>
      <c r="D1577" s="8"/>
      <c r="E1577" s="8" t="s">
        <v>60</v>
      </c>
      <c r="F1577" s="8"/>
      <c r="G1577" s="8"/>
      <c r="H1577" s="8"/>
      <c r="I1577" s="8" t="s">
        <v>5386</v>
      </c>
      <c r="J1577" s="8" t="s">
        <v>76</v>
      </c>
      <c r="K1577" s="8" t="s">
        <v>5177</v>
      </c>
      <c r="L1577" s="8" t="s">
        <v>5248</v>
      </c>
      <c r="M1577" s="8"/>
      <c r="N1577" s="8" t="s">
        <v>62</v>
      </c>
      <c r="O1577" s="8" t="s">
        <v>63</v>
      </c>
      <c r="P1577" s="4" t="n">
        <v>55</v>
      </c>
      <c r="Q1577" s="8"/>
      <c r="R1577" s="4" t="s">
        <v>5387</v>
      </c>
      <c r="S1577" s="4"/>
    </row>
    <row r="1578" customFormat="false" ht="26.85" hidden="false" customHeight="false" outlineLevel="0" collapsed="false">
      <c r="A1578" s="4" t="s">
        <v>5388</v>
      </c>
      <c r="B1578" s="8" t="s">
        <v>5389</v>
      </c>
      <c r="C1578" s="8" t="s">
        <v>58</v>
      </c>
      <c r="D1578" s="8"/>
      <c r="E1578" s="8" t="s">
        <v>60</v>
      </c>
      <c r="F1578" s="8"/>
      <c r="G1578" s="8"/>
      <c r="H1578" s="8"/>
      <c r="I1578" s="8" t="s">
        <v>5390</v>
      </c>
      <c r="J1578" s="8" t="s">
        <v>76</v>
      </c>
      <c r="K1578" s="8" t="s">
        <v>5177</v>
      </c>
      <c r="L1578" s="8" t="s">
        <v>5248</v>
      </c>
      <c r="M1578" s="8"/>
      <c r="N1578" s="8" t="s">
        <v>62</v>
      </c>
      <c r="O1578" s="8" t="s">
        <v>63</v>
      </c>
      <c r="P1578" s="4" t="n">
        <v>55</v>
      </c>
      <c r="Q1578" s="8"/>
      <c r="R1578" s="4" t="s">
        <v>5391</v>
      </c>
      <c r="S1578" s="4" t="n">
        <v>711</v>
      </c>
    </row>
    <row r="1579" customFormat="false" ht="26.85" hidden="false" customHeight="false" outlineLevel="0" collapsed="false">
      <c r="A1579" s="4" t="s">
        <v>5392</v>
      </c>
      <c r="B1579" s="8" t="s">
        <v>5393</v>
      </c>
      <c r="C1579" s="8"/>
      <c r="D1579" s="8"/>
      <c r="E1579" s="8"/>
      <c r="F1579" s="8"/>
      <c r="G1579" s="8"/>
      <c r="H1579" s="8"/>
      <c r="I1579" s="8" t="s">
        <v>5394</v>
      </c>
      <c r="J1579" s="8" t="s">
        <v>76</v>
      </c>
      <c r="K1579" s="8" t="s">
        <v>5177</v>
      </c>
      <c r="L1579" s="8" t="s">
        <v>5248</v>
      </c>
      <c r="M1579" s="8"/>
      <c r="N1579" s="8" t="s">
        <v>62</v>
      </c>
      <c r="O1579" s="8" t="s">
        <v>63</v>
      </c>
      <c r="P1579" s="4" t="n">
        <v>55</v>
      </c>
      <c r="Q1579" s="8"/>
      <c r="R1579" s="4" t="s">
        <v>5393</v>
      </c>
      <c r="S1579" s="4"/>
    </row>
    <row r="1580" customFormat="false" ht="26.85" hidden="false" customHeight="false" outlineLevel="0" collapsed="false">
      <c r="A1580" s="4" t="s">
        <v>5395</v>
      </c>
      <c r="B1580" s="8" t="s">
        <v>5396</v>
      </c>
      <c r="C1580" s="8" t="s">
        <v>58</v>
      </c>
      <c r="D1580" s="8"/>
      <c r="E1580" s="8" t="s">
        <v>60</v>
      </c>
      <c r="F1580" s="8"/>
      <c r="G1580" s="8"/>
      <c r="H1580" s="8"/>
      <c r="I1580" s="8" t="s">
        <v>5397</v>
      </c>
      <c r="J1580" s="8" t="s">
        <v>76</v>
      </c>
      <c r="K1580" s="8" t="s">
        <v>5177</v>
      </c>
      <c r="L1580" s="8" t="s">
        <v>5248</v>
      </c>
      <c r="M1580" s="8"/>
      <c r="N1580" s="8" t="s">
        <v>62</v>
      </c>
      <c r="O1580" s="8" t="s">
        <v>63</v>
      </c>
      <c r="P1580" s="4" t="n">
        <v>55</v>
      </c>
      <c r="Q1580" s="8"/>
      <c r="R1580" s="4" t="s">
        <v>5398</v>
      </c>
      <c r="S1580" s="4"/>
    </row>
    <row r="1581" customFormat="false" ht="26.85" hidden="false" customHeight="false" outlineLevel="0" collapsed="false">
      <c r="A1581" s="4" t="s">
        <v>5399</v>
      </c>
      <c r="B1581" s="8" t="s">
        <v>5400</v>
      </c>
      <c r="C1581" s="8"/>
      <c r="D1581" s="8"/>
      <c r="E1581" s="8"/>
      <c r="F1581" s="8"/>
      <c r="G1581" s="8"/>
      <c r="H1581" s="8"/>
      <c r="I1581" s="8" t="s">
        <v>5401</v>
      </c>
      <c r="J1581" s="8" t="s">
        <v>76</v>
      </c>
      <c r="K1581" s="8" t="s">
        <v>5177</v>
      </c>
      <c r="L1581" s="8" t="s">
        <v>5248</v>
      </c>
      <c r="M1581" s="8"/>
      <c r="N1581" s="8" t="s">
        <v>62</v>
      </c>
      <c r="O1581" s="8" t="s">
        <v>63</v>
      </c>
      <c r="P1581" s="4" t="n">
        <v>55</v>
      </c>
      <c r="Q1581" s="8"/>
      <c r="R1581" s="4" t="s">
        <v>5400</v>
      </c>
      <c r="S1581" s="4"/>
    </row>
    <row r="1582" customFormat="false" ht="26.85" hidden="false" customHeight="false" outlineLevel="0" collapsed="false">
      <c r="A1582" s="4" t="s">
        <v>5402</v>
      </c>
      <c r="B1582" s="8" t="s">
        <v>5403</v>
      </c>
      <c r="C1582" s="8"/>
      <c r="D1582" s="8"/>
      <c r="E1582" s="8"/>
      <c r="F1582" s="8"/>
      <c r="G1582" s="8"/>
      <c r="H1582" s="8"/>
      <c r="I1582" s="8" t="s">
        <v>5404</v>
      </c>
      <c r="J1582" s="8" t="s">
        <v>76</v>
      </c>
      <c r="K1582" s="8" t="s">
        <v>5177</v>
      </c>
      <c r="L1582" s="8" t="s">
        <v>5248</v>
      </c>
      <c r="M1582" s="8"/>
      <c r="N1582" s="8" t="s">
        <v>62</v>
      </c>
      <c r="O1582" s="8" t="s">
        <v>63</v>
      </c>
      <c r="P1582" s="4" t="n">
        <v>55</v>
      </c>
      <c r="Q1582" s="8"/>
      <c r="R1582" s="4" t="s">
        <v>5403</v>
      </c>
      <c r="S1582" s="4"/>
    </row>
    <row r="1583" customFormat="false" ht="26.85" hidden="false" customHeight="false" outlineLevel="0" collapsed="false">
      <c r="A1583" s="4" t="s">
        <v>5405</v>
      </c>
      <c r="B1583" s="8" t="s">
        <v>5406</v>
      </c>
      <c r="C1583" s="8"/>
      <c r="D1583" s="8"/>
      <c r="E1583" s="8"/>
      <c r="F1583" s="8"/>
      <c r="G1583" s="8"/>
      <c r="H1583" s="8"/>
      <c r="I1583" s="8" t="s">
        <v>5407</v>
      </c>
      <c r="J1583" s="8" t="s">
        <v>76</v>
      </c>
      <c r="K1583" s="8" t="s">
        <v>5177</v>
      </c>
      <c r="L1583" s="8" t="s">
        <v>5248</v>
      </c>
      <c r="M1583" s="8"/>
      <c r="N1583" s="8" t="s">
        <v>62</v>
      </c>
      <c r="O1583" s="8" t="s">
        <v>63</v>
      </c>
      <c r="P1583" s="4" t="n">
        <v>55</v>
      </c>
      <c r="Q1583" s="8"/>
      <c r="R1583" s="4" t="s">
        <v>5406</v>
      </c>
      <c r="S1583" s="4"/>
    </row>
    <row r="1584" customFormat="false" ht="26.85" hidden="false" customHeight="false" outlineLevel="0" collapsed="false">
      <c r="A1584" s="4" t="s">
        <v>5408</v>
      </c>
      <c r="B1584" s="8" t="s">
        <v>5409</v>
      </c>
      <c r="C1584" s="8" t="s">
        <v>58</v>
      </c>
      <c r="D1584" s="8"/>
      <c r="E1584" s="8" t="s">
        <v>60</v>
      </c>
      <c r="F1584" s="8"/>
      <c r="G1584" s="8"/>
      <c r="H1584" s="8"/>
      <c r="I1584" s="8" t="s">
        <v>5410</v>
      </c>
      <c r="J1584" s="8" t="s">
        <v>76</v>
      </c>
      <c r="K1584" s="8" t="s">
        <v>5177</v>
      </c>
      <c r="L1584" s="8" t="s">
        <v>5248</v>
      </c>
      <c r="M1584" s="8"/>
      <c r="N1584" s="8" t="s">
        <v>62</v>
      </c>
      <c r="O1584" s="8" t="s">
        <v>63</v>
      </c>
      <c r="P1584" s="4" t="n">
        <v>55</v>
      </c>
      <c r="Q1584" s="8"/>
      <c r="R1584" s="4" t="s">
        <v>5411</v>
      </c>
      <c r="S1584" s="4" t="n">
        <v>560</v>
      </c>
    </row>
    <row r="1585" customFormat="false" ht="26.85" hidden="false" customHeight="false" outlineLevel="0" collapsed="false">
      <c r="A1585" s="4" t="s">
        <v>5412</v>
      </c>
      <c r="B1585" s="8" t="s">
        <v>5413</v>
      </c>
      <c r="C1585" s="8"/>
      <c r="D1585" s="8"/>
      <c r="E1585" s="8"/>
      <c r="F1585" s="8"/>
      <c r="G1585" s="8"/>
      <c r="H1585" s="8"/>
      <c r="I1585" s="8" t="s">
        <v>5414</v>
      </c>
      <c r="J1585" s="8" t="s">
        <v>76</v>
      </c>
      <c r="K1585" s="8" t="s">
        <v>5177</v>
      </c>
      <c r="L1585" s="8" t="s">
        <v>5248</v>
      </c>
      <c r="M1585" s="8"/>
      <c r="N1585" s="8" t="s">
        <v>62</v>
      </c>
      <c r="O1585" s="8" t="s">
        <v>63</v>
      </c>
      <c r="P1585" s="4" t="n">
        <v>55</v>
      </c>
      <c r="Q1585" s="8"/>
      <c r="R1585" s="4" t="s">
        <v>5413</v>
      </c>
      <c r="S1585" s="4" t="n">
        <v>742</v>
      </c>
    </row>
    <row r="1586" customFormat="false" ht="26.85" hidden="false" customHeight="false" outlineLevel="0" collapsed="false">
      <c r="A1586" s="4" t="s">
        <v>5415</v>
      </c>
      <c r="B1586" s="8" t="s">
        <v>5416</v>
      </c>
      <c r="C1586" s="8" t="s">
        <v>58</v>
      </c>
      <c r="D1586" s="8"/>
      <c r="E1586" s="8" t="s">
        <v>60</v>
      </c>
      <c r="F1586" s="8"/>
      <c r="G1586" s="8"/>
      <c r="H1586" s="8"/>
      <c r="I1586" s="8" t="s">
        <v>5417</v>
      </c>
      <c r="J1586" s="8" t="s">
        <v>76</v>
      </c>
      <c r="K1586" s="8" t="s">
        <v>5177</v>
      </c>
      <c r="L1586" s="8" t="s">
        <v>5248</v>
      </c>
      <c r="M1586" s="8"/>
      <c r="N1586" s="8" t="s">
        <v>62</v>
      </c>
      <c r="O1586" s="8" t="s">
        <v>63</v>
      </c>
      <c r="P1586" s="4" t="n">
        <v>55</v>
      </c>
      <c r="Q1586" s="8"/>
      <c r="R1586" s="4" t="s">
        <v>5418</v>
      </c>
      <c r="S1586" s="4" t="n">
        <v>5344</v>
      </c>
    </row>
    <row r="1587" customFormat="false" ht="26.85" hidden="false" customHeight="false" outlineLevel="0" collapsed="false">
      <c r="A1587" s="4" t="s">
        <v>5419</v>
      </c>
      <c r="B1587" s="8" t="s">
        <v>5420</v>
      </c>
      <c r="C1587" s="8" t="s">
        <v>58</v>
      </c>
      <c r="D1587" s="8"/>
      <c r="E1587" s="8" t="s">
        <v>60</v>
      </c>
      <c r="F1587" s="8"/>
      <c r="G1587" s="8"/>
      <c r="H1587" s="8"/>
      <c r="I1587" s="8" t="s">
        <v>5421</v>
      </c>
      <c r="J1587" s="8" t="s">
        <v>76</v>
      </c>
      <c r="K1587" s="8" t="s">
        <v>5177</v>
      </c>
      <c r="L1587" s="8" t="s">
        <v>5248</v>
      </c>
      <c r="M1587" s="8"/>
      <c r="N1587" s="8" t="s">
        <v>62</v>
      </c>
      <c r="O1587" s="8" t="s">
        <v>63</v>
      </c>
      <c r="P1587" s="4" t="n">
        <v>55</v>
      </c>
      <c r="Q1587" s="8"/>
      <c r="R1587" s="4" t="s">
        <v>5422</v>
      </c>
      <c r="S1587" s="4"/>
    </row>
    <row r="1588" customFormat="false" ht="26.85" hidden="false" customHeight="false" outlineLevel="0" collapsed="false">
      <c r="A1588" s="4" t="s">
        <v>5423</v>
      </c>
      <c r="B1588" s="8" t="s">
        <v>5424</v>
      </c>
      <c r="C1588" s="8" t="s">
        <v>58</v>
      </c>
      <c r="D1588" s="8"/>
      <c r="E1588" s="8" t="s">
        <v>60</v>
      </c>
      <c r="F1588" s="8"/>
      <c r="G1588" s="8"/>
      <c r="H1588" s="8"/>
      <c r="I1588" s="8" t="s">
        <v>5425</v>
      </c>
      <c r="J1588" s="8" t="s">
        <v>76</v>
      </c>
      <c r="K1588" s="8" t="s">
        <v>5177</v>
      </c>
      <c r="L1588" s="8" t="s">
        <v>5248</v>
      </c>
      <c r="M1588" s="8"/>
      <c r="N1588" s="8" t="s">
        <v>62</v>
      </c>
      <c r="O1588" s="8" t="s">
        <v>63</v>
      </c>
      <c r="P1588" s="4" t="n">
        <v>55</v>
      </c>
      <c r="Q1588" s="8"/>
      <c r="R1588" s="4" t="s">
        <v>5426</v>
      </c>
      <c r="S1588" s="4"/>
    </row>
    <row r="1589" customFormat="false" ht="26.85" hidden="false" customHeight="false" outlineLevel="0" collapsed="false">
      <c r="A1589" s="4" t="s">
        <v>5427</v>
      </c>
      <c r="B1589" s="8" t="s">
        <v>5428</v>
      </c>
      <c r="C1589" s="8" t="s">
        <v>58</v>
      </c>
      <c r="D1589" s="8"/>
      <c r="E1589" s="8" t="s">
        <v>60</v>
      </c>
      <c r="F1589" s="8"/>
      <c r="G1589" s="8"/>
      <c r="H1589" s="8"/>
      <c r="I1589" s="8" t="s">
        <v>5429</v>
      </c>
      <c r="J1589" s="8" t="s">
        <v>76</v>
      </c>
      <c r="K1589" s="8" t="s">
        <v>5177</v>
      </c>
      <c r="L1589" s="8" t="s">
        <v>5248</v>
      </c>
      <c r="M1589" s="8"/>
      <c r="N1589" s="8" t="s">
        <v>62</v>
      </c>
      <c r="O1589" s="8" t="s">
        <v>63</v>
      </c>
      <c r="P1589" s="4" t="n">
        <v>55</v>
      </c>
      <c r="Q1589" s="8"/>
      <c r="R1589" s="4" t="s">
        <v>5430</v>
      </c>
      <c r="S1589" s="4"/>
    </row>
    <row r="1590" customFormat="false" ht="26.85" hidden="false" customHeight="false" outlineLevel="0" collapsed="false">
      <c r="A1590" s="4" t="s">
        <v>5431</v>
      </c>
      <c r="B1590" s="8" t="s">
        <v>5432</v>
      </c>
      <c r="C1590" s="8"/>
      <c r="D1590" s="8"/>
      <c r="E1590" s="8"/>
      <c r="F1590" s="8"/>
      <c r="G1590" s="8"/>
      <c r="H1590" s="8"/>
      <c r="I1590" s="8" t="s">
        <v>5433</v>
      </c>
      <c r="J1590" s="8" t="s">
        <v>76</v>
      </c>
      <c r="K1590" s="8" t="s">
        <v>5177</v>
      </c>
      <c r="L1590" s="8" t="s">
        <v>5248</v>
      </c>
      <c r="M1590" s="8"/>
      <c r="N1590" s="8" t="s">
        <v>62</v>
      </c>
      <c r="O1590" s="8" t="s">
        <v>63</v>
      </c>
      <c r="P1590" s="4" t="n">
        <v>55</v>
      </c>
      <c r="Q1590" s="8"/>
      <c r="R1590" s="4" t="s">
        <v>5432</v>
      </c>
      <c r="S1590" s="4" t="n">
        <v>1218</v>
      </c>
    </row>
    <row r="1591" customFormat="false" ht="26.85" hidden="false" customHeight="false" outlineLevel="0" collapsed="false">
      <c r="A1591" s="4" t="s">
        <v>5434</v>
      </c>
      <c r="B1591" s="8" t="s">
        <v>5435</v>
      </c>
      <c r="C1591" s="8" t="s">
        <v>58</v>
      </c>
      <c r="D1591" s="8"/>
      <c r="E1591" s="8" t="s">
        <v>60</v>
      </c>
      <c r="F1591" s="8"/>
      <c r="G1591" s="8"/>
      <c r="H1591" s="8"/>
      <c r="I1591" s="8" t="s">
        <v>5436</v>
      </c>
      <c r="J1591" s="8" t="s">
        <v>76</v>
      </c>
      <c r="K1591" s="8" t="s">
        <v>5177</v>
      </c>
      <c r="L1591" s="8" t="s">
        <v>5248</v>
      </c>
      <c r="M1591" s="8"/>
      <c r="N1591" s="8" t="s">
        <v>62</v>
      </c>
      <c r="O1591" s="8" t="s">
        <v>63</v>
      </c>
      <c r="P1591" s="4" t="n">
        <v>55</v>
      </c>
      <c r="Q1591" s="8"/>
      <c r="R1591" s="4" t="s">
        <v>5437</v>
      </c>
      <c r="S1591" s="4"/>
    </row>
    <row r="1592" customFormat="false" ht="26.85" hidden="false" customHeight="false" outlineLevel="0" collapsed="false">
      <c r="A1592" s="4" t="s">
        <v>5438</v>
      </c>
      <c r="B1592" s="8" t="s">
        <v>937</v>
      </c>
      <c r="C1592" s="8" t="s">
        <v>58</v>
      </c>
      <c r="D1592" s="8"/>
      <c r="E1592" s="8" t="s">
        <v>60</v>
      </c>
      <c r="F1592" s="8"/>
      <c r="G1592" s="8"/>
      <c r="H1592" s="8"/>
      <c r="I1592" s="8" t="s">
        <v>5439</v>
      </c>
      <c r="J1592" s="8" t="s">
        <v>76</v>
      </c>
      <c r="K1592" s="8" t="s">
        <v>5177</v>
      </c>
      <c r="L1592" s="8" t="s">
        <v>5248</v>
      </c>
      <c r="M1592" s="8"/>
      <c r="N1592" s="8" t="s">
        <v>62</v>
      </c>
      <c r="O1592" s="8" t="s">
        <v>63</v>
      </c>
      <c r="P1592" s="4" t="n">
        <v>55</v>
      </c>
      <c r="Q1592" s="8"/>
      <c r="R1592" s="4" t="s">
        <v>939</v>
      </c>
      <c r="S1592" s="4" t="n">
        <v>2299</v>
      </c>
    </row>
    <row r="1593" customFormat="false" ht="26.85" hidden="false" customHeight="false" outlineLevel="0" collapsed="false">
      <c r="A1593" s="4" t="s">
        <v>5440</v>
      </c>
      <c r="B1593" s="8" t="s">
        <v>5441</v>
      </c>
      <c r="C1593" s="8"/>
      <c r="D1593" s="8"/>
      <c r="E1593" s="8"/>
      <c r="F1593" s="8"/>
      <c r="G1593" s="8"/>
      <c r="H1593" s="8"/>
      <c r="I1593" s="8" t="s">
        <v>5442</v>
      </c>
      <c r="J1593" s="8" t="s">
        <v>76</v>
      </c>
      <c r="K1593" s="8" t="s">
        <v>5177</v>
      </c>
      <c r="L1593" s="8" t="s">
        <v>5248</v>
      </c>
      <c r="M1593" s="8"/>
      <c r="N1593" s="8" t="s">
        <v>62</v>
      </c>
      <c r="O1593" s="8" t="s">
        <v>63</v>
      </c>
      <c r="P1593" s="4" t="n">
        <v>55</v>
      </c>
      <c r="Q1593" s="8"/>
      <c r="R1593" s="4" t="s">
        <v>5441</v>
      </c>
      <c r="S1593" s="4"/>
    </row>
    <row r="1594" customFormat="false" ht="26.85" hidden="false" customHeight="false" outlineLevel="0" collapsed="false">
      <c r="A1594" s="4" t="s">
        <v>5443</v>
      </c>
      <c r="B1594" s="8" t="s">
        <v>5444</v>
      </c>
      <c r="C1594" s="8"/>
      <c r="D1594" s="8"/>
      <c r="E1594" s="8"/>
      <c r="F1594" s="8"/>
      <c r="G1594" s="8"/>
      <c r="H1594" s="8"/>
      <c r="I1594" s="8" t="s">
        <v>5445</v>
      </c>
      <c r="J1594" s="8" t="s">
        <v>76</v>
      </c>
      <c r="K1594" s="8" t="s">
        <v>5177</v>
      </c>
      <c r="L1594" s="8" t="s">
        <v>5248</v>
      </c>
      <c r="M1594" s="8"/>
      <c r="N1594" s="8" t="s">
        <v>62</v>
      </c>
      <c r="O1594" s="8" t="s">
        <v>63</v>
      </c>
      <c r="P1594" s="4" t="n">
        <v>55</v>
      </c>
      <c r="Q1594" s="8"/>
      <c r="R1594" s="4" t="s">
        <v>5444</v>
      </c>
      <c r="S1594" s="4" t="n">
        <v>321</v>
      </c>
    </row>
    <row r="1595" customFormat="false" ht="26.85" hidden="false" customHeight="false" outlineLevel="0" collapsed="false">
      <c r="A1595" s="4" t="s">
        <v>5446</v>
      </c>
      <c r="B1595" s="8" t="s">
        <v>5447</v>
      </c>
      <c r="C1595" s="8"/>
      <c r="D1595" s="8"/>
      <c r="E1595" s="8"/>
      <c r="F1595" s="8"/>
      <c r="G1595" s="8"/>
      <c r="H1595" s="8"/>
      <c r="I1595" s="8" t="s">
        <v>5448</v>
      </c>
      <c r="J1595" s="8" t="s">
        <v>76</v>
      </c>
      <c r="K1595" s="8" t="s">
        <v>5177</v>
      </c>
      <c r="L1595" s="8" t="s">
        <v>5248</v>
      </c>
      <c r="M1595" s="8"/>
      <c r="N1595" s="8" t="s">
        <v>62</v>
      </c>
      <c r="O1595" s="8" t="s">
        <v>63</v>
      </c>
      <c r="P1595" s="4" t="n">
        <v>55</v>
      </c>
      <c r="Q1595" s="8"/>
      <c r="R1595" s="4" t="s">
        <v>5447</v>
      </c>
      <c r="S1595" s="4"/>
    </row>
    <row r="1596" customFormat="false" ht="26.85" hidden="false" customHeight="false" outlineLevel="0" collapsed="false">
      <c r="A1596" s="4" t="s">
        <v>5449</v>
      </c>
      <c r="B1596" s="8" t="s">
        <v>5450</v>
      </c>
      <c r="C1596" s="8"/>
      <c r="D1596" s="8"/>
      <c r="E1596" s="8"/>
      <c r="F1596" s="8"/>
      <c r="G1596" s="8"/>
      <c r="H1596" s="8"/>
      <c r="I1596" s="8" t="s">
        <v>5451</v>
      </c>
      <c r="J1596" s="8" t="s">
        <v>76</v>
      </c>
      <c r="K1596" s="8" t="s">
        <v>5177</v>
      </c>
      <c r="L1596" s="8" t="s">
        <v>5248</v>
      </c>
      <c r="M1596" s="8"/>
      <c r="N1596" s="8" t="s">
        <v>62</v>
      </c>
      <c r="O1596" s="8" t="s">
        <v>63</v>
      </c>
      <c r="P1596" s="4" t="n">
        <v>55</v>
      </c>
      <c r="Q1596" s="8"/>
      <c r="R1596" s="4" t="s">
        <v>5450</v>
      </c>
      <c r="S1596" s="4"/>
    </row>
    <row r="1597" customFormat="false" ht="26.85" hidden="false" customHeight="false" outlineLevel="0" collapsed="false">
      <c r="A1597" s="4" t="s">
        <v>5452</v>
      </c>
      <c r="B1597" s="8" t="s">
        <v>5453</v>
      </c>
      <c r="C1597" s="8"/>
      <c r="D1597" s="8"/>
      <c r="E1597" s="8"/>
      <c r="F1597" s="8"/>
      <c r="G1597" s="8"/>
      <c r="H1597" s="8"/>
      <c r="I1597" s="8" t="s">
        <v>5454</v>
      </c>
      <c r="J1597" s="8" t="s">
        <v>76</v>
      </c>
      <c r="K1597" s="8" t="s">
        <v>5177</v>
      </c>
      <c r="L1597" s="8" t="s">
        <v>5248</v>
      </c>
      <c r="M1597" s="8"/>
      <c r="N1597" s="8" t="s">
        <v>62</v>
      </c>
      <c r="O1597" s="8" t="s">
        <v>63</v>
      </c>
      <c r="P1597" s="4" t="n">
        <v>55</v>
      </c>
      <c r="Q1597" s="8"/>
      <c r="R1597" s="4" t="s">
        <v>5453</v>
      </c>
      <c r="S1597" s="4"/>
    </row>
    <row r="1598" customFormat="false" ht="26.85" hidden="false" customHeight="false" outlineLevel="0" collapsed="false">
      <c r="A1598" s="4" t="s">
        <v>5455</v>
      </c>
      <c r="B1598" s="8" t="s">
        <v>5456</v>
      </c>
      <c r="C1598" s="8"/>
      <c r="D1598" s="8"/>
      <c r="E1598" s="8"/>
      <c r="F1598" s="8"/>
      <c r="G1598" s="8"/>
      <c r="H1598" s="8"/>
      <c r="I1598" s="8"/>
      <c r="J1598" s="8" t="s">
        <v>76</v>
      </c>
      <c r="K1598" s="8" t="s">
        <v>5177</v>
      </c>
      <c r="L1598" s="8" t="s">
        <v>5248</v>
      </c>
      <c r="M1598" s="8"/>
      <c r="N1598" s="8" t="s">
        <v>62</v>
      </c>
      <c r="O1598" s="8" t="s">
        <v>63</v>
      </c>
      <c r="P1598" s="4" t="n">
        <v>56</v>
      </c>
      <c r="Q1598" s="8" t="s">
        <v>1153</v>
      </c>
      <c r="R1598" s="4" t="s">
        <v>5456</v>
      </c>
      <c r="S1598" s="4"/>
    </row>
    <row r="1599" customFormat="false" ht="26.85" hidden="false" customHeight="false" outlineLevel="0" collapsed="false">
      <c r="A1599" s="4" t="s">
        <v>5457</v>
      </c>
      <c r="B1599" s="8" t="s">
        <v>5458</v>
      </c>
      <c r="C1599" s="8"/>
      <c r="D1599" s="8"/>
      <c r="E1599" s="8"/>
      <c r="F1599" s="8"/>
      <c r="G1599" s="8"/>
      <c r="H1599" s="8"/>
      <c r="I1599" s="8" t="s">
        <v>5459</v>
      </c>
      <c r="J1599" s="8" t="s">
        <v>76</v>
      </c>
      <c r="K1599" s="8" t="s">
        <v>5177</v>
      </c>
      <c r="L1599" s="8" t="s">
        <v>5248</v>
      </c>
      <c r="M1599" s="8"/>
      <c r="N1599" s="8" t="s">
        <v>62</v>
      </c>
      <c r="O1599" s="8" t="s">
        <v>63</v>
      </c>
      <c r="P1599" s="4" t="n">
        <v>56</v>
      </c>
      <c r="Q1599" s="8"/>
      <c r="R1599" s="4" t="s">
        <v>5458</v>
      </c>
      <c r="S1599" s="4"/>
    </row>
    <row r="1600" customFormat="false" ht="26.85" hidden="false" customHeight="false" outlineLevel="0" collapsed="false">
      <c r="A1600" s="4" t="s">
        <v>5460</v>
      </c>
      <c r="B1600" s="8" t="s">
        <v>5461</v>
      </c>
      <c r="C1600" s="8"/>
      <c r="D1600" s="8"/>
      <c r="E1600" s="8"/>
      <c r="F1600" s="8"/>
      <c r="G1600" s="8"/>
      <c r="H1600" s="8"/>
      <c r="I1600" s="8" t="s">
        <v>5462</v>
      </c>
      <c r="J1600" s="8" t="s">
        <v>76</v>
      </c>
      <c r="K1600" s="8" t="s">
        <v>5177</v>
      </c>
      <c r="L1600" s="8" t="s">
        <v>5248</v>
      </c>
      <c r="M1600" s="8"/>
      <c r="N1600" s="8" t="s">
        <v>62</v>
      </c>
      <c r="O1600" s="8" t="s">
        <v>63</v>
      </c>
      <c r="P1600" s="4" t="n">
        <v>56</v>
      </c>
      <c r="Q1600" s="8"/>
      <c r="R1600" s="4" t="s">
        <v>5461</v>
      </c>
      <c r="S1600" s="4"/>
    </row>
    <row r="1601" customFormat="false" ht="26.85" hidden="false" customHeight="false" outlineLevel="0" collapsed="false">
      <c r="A1601" s="4" t="s">
        <v>5463</v>
      </c>
      <c r="B1601" s="8" t="s">
        <v>5464</v>
      </c>
      <c r="C1601" s="8" t="s">
        <v>58</v>
      </c>
      <c r="D1601" s="8"/>
      <c r="E1601" s="8" t="s">
        <v>60</v>
      </c>
      <c r="F1601" s="8"/>
      <c r="G1601" s="8"/>
      <c r="H1601" s="8"/>
      <c r="I1601" s="8" t="s">
        <v>5465</v>
      </c>
      <c r="J1601" s="8" t="s">
        <v>76</v>
      </c>
      <c r="K1601" s="8" t="s">
        <v>5177</v>
      </c>
      <c r="L1601" s="8" t="s">
        <v>5248</v>
      </c>
      <c r="M1601" s="8"/>
      <c r="N1601" s="8" t="s">
        <v>62</v>
      </c>
      <c r="O1601" s="8" t="s">
        <v>63</v>
      </c>
      <c r="P1601" s="4" t="n">
        <v>56</v>
      </c>
      <c r="Q1601" s="8"/>
      <c r="R1601" s="4" t="s">
        <v>5466</v>
      </c>
      <c r="S1601" s="4"/>
    </row>
    <row r="1602" customFormat="false" ht="26.85" hidden="false" customHeight="false" outlineLevel="0" collapsed="false">
      <c r="A1602" s="4" t="s">
        <v>5467</v>
      </c>
      <c r="B1602" s="8" t="s">
        <v>5468</v>
      </c>
      <c r="C1602" s="8" t="s">
        <v>58</v>
      </c>
      <c r="D1602" s="8"/>
      <c r="E1602" s="8" t="s">
        <v>60</v>
      </c>
      <c r="F1602" s="8"/>
      <c r="G1602" s="8"/>
      <c r="H1602" s="8"/>
      <c r="I1602" s="8" t="s">
        <v>5469</v>
      </c>
      <c r="J1602" s="8" t="s">
        <v>76</v>
      </c>
      <c r="K1602" s="8" t="s">
        <v>5177</v>
      </c>
      <c r="L1602" s="8" t="s">
        <v>5248</v>
      </c>
      <c r="M1602" s="8"/>
      <c r="N1602" s="8" t="s">
        <v>62</v>
      </c>
      <c r="O1602" s="8" t="s">
        <v>63</v>
      </c>
      <c r="P1602" s="4" t="n">
        <v>56</v>
      </c>
      <c r="Q1602" s="8"/>
      <c r="R1602" s="4" t="s">
        <v>5470</v>
      </c>
      <c r="S1602" s="4" t="n">
        <v>726</v>
      </c>
    </row>
    <row r="1603" customFormat="false" ht="26.85" hidden="false" customHeight="false" outlineLevel="0" collapsed="false">
      <c r="A1603" s="4" t="s">
        <v>5471</v>
      </c>
      <c r="B1603" s="8" t="s">
        <v>5468</v>
      </c>
      <c r="C1603" s="8" t="s">
        <v>58</v>
      </c>
      <c r="D1603" s="8"/>
      <c r="E1603" s="8" t="s">
        <v>60</v>
      </c>
      <c r="F1603" s="8"/>
      <c r="G1603" s="8"/>
      <c r="H1603" s="8"/>
      <c r="I1603" s="8" t="s">
        <v>5469</v>
      </c>
      <c r="J1603" s="8" t="s">
        <v>76</v>
      </c>
      <c r="K1603" s="8" t="s">
        <v>5177</v>
      </c>
      <c r="L1603" s="8" t="s">
        <v>5248</v>
      </c>
      <c r="M1603" s="8"/>
      <c r="N1603" s="8" t="s">
        <v>62</v>
      </c>
      <c r="O1603" s="8" t="s">
        <v>63</v>
      </c>
      <c r="P1603" s="4" t="n">
        <v>56</v>
      </c>
      <c r="Q1603" s="8"/>
      <c r="R1603" s="4" t="s">
        <v>5470</v>
      </c>
      <c r="S1603" s="4" t="n">
        <v>726</v>
      </c>
    </row>
    <row r="1604" customFormat="false" ht="26.85" hidden="false" customHeight="false" outlineLevel="0" collapsed="false">
      <c r="A1604" s="4" t="s">
        <v>5472</v>
      </c>
      <c r="B1604" s="8" t="s">
        <v>5473</v>
      </c>
      <c r="C1604" s="8" t="s">
        <v>58</v>
      </c>
      <c r="D1604" s="8"/>
      <c r="E1604" s="8" t="s">
        <v>60</v>
      </c>
      <c r="F1604" s="8"/>
      <c r="G1604" s="8"/>
      <c r="H1604" s="8"/>
      <c r="I1604" s="8" t="s">
        <v>5474</v>
      </c>
      <c r="J1604" s="8" t="s">
        <v>76</v>
      </c>
      <c r="K1604" s="8" t="s">
        <v>5177</v>
      </c>
      <c r="L1604" s="8" t="s">
        <v>5248</v>
      </c>
      <c r="M1604" s="8"/>
      <c r="N1604" s="8" t="s">
        <v>62</v>
      </c>
      <c r="O1604" s="8" t="s">
        <v>63</v>
      </c>
      <c r="P1604" s="4" t="n">
        <v>56</v>
      </c>
      <c r="Q1604" s="8"/>
      <c r="R1604" s="4" t="s">
        <v>5475</v>
      </c>
      <c r="S1604" s="4"/>
    </row>
    <row r="1605" customFormat="false" ht="26.85" hidden="false" customHeight="false" outlineLevel="0" collapsed="false">
      <c r="A1605" s="4" t="s">
        <v>5476</v>
      </c>
      <c r="B1605" s="8" t="s">
        <v>5477</v>
      </c>
      <c r="C1605" s="8"/>
      <c r="D1605" s="8"/>
      <c r="E1605" s="8"/>
      <c r="F1605" s="8"/>
      <c r="G1605" s="8"/>
      <c r="H1605" s="8"/>
      <c r="I1605" s="8" t="s">
        <v>5478</v>
      </c>
      <c r="J1605" s="8" t="s">
        <v>76</v>
      </c>
      <c r="K1605" s="8" t="s">
        <v>5177</v>
      </c>
      <c r="L1605" s="8" t="s">
        <v>5248</v>
      </c>
      <c r="M1605" s="8"/>
      <c r="N1605" s="8" t="s">
        <v>62</v>
      </c>
      <c r="O1605" s="8" t="s">
        <v>63</v>
      </c>
      <c r="P1605" s="4" t="n">
        <v>56</v>
      </c>
      <c r="Q1605" s="8"/>
      <c r="R1605" s="4" t="s">
        <v>5477</v>
      </c>
      <c r="S1605" s="4"/>
    </row>
    <row r="1606" customFormat="false" ht="26.85" hidden="false" customHeight="false" outlineLevel="0" collapsed="false">
      <c r="A1606" s="4" t="s">
        <v>5479</v>
      </c>
      <c r="B1606" s="8" t="s">
        <v>5480</v>
      </c>
      <c r="C1606" s="8" t="s">
        <v>58</v>
      </c>
      <c r="D1606" s="8"/>
      <c r="E1606" s="8" t="s">
        <v>60</v>
      </c>
      <c r="F1606" s="8"/>
      <c r="G1606" s="8"/>
      <c r="H1606" s="8"/>
      <c r="I1606" s="8" t="s">
        <v>5481</v>
      </c>
      <c r="J1606" s="8" t="s">
        <v>76</v>
      </c>
      <c r="K1606" s="8" t="s">
        <v>5177</v>
      </c>
      <c r="L1606" s="8" t="s">
        <v>5248</v>
      </c>
      <c r="M1606" s="8"/>
      <c r="N1606" s="8" t="s">
        <v>62</v>
      </c>
      <c r="O1606" s="8" t="s">
        <v>63</v>
      </c>
      <c r="P1606" s="4" t="n">
        <v>56</v>
      </c>
      <c r="Q1606" s="8"/>
      <c r="R1606" s="4" t="s">
        <v>5482</v>
      </c>
      <c r="S1606" s="4"/>
    </row>
    <row r="1607" customFormat="false" ht="26.85" hidden="false" customHeight="false" outlineLevel="0" collapsed="false">
      <c r="A1607" s="4" t="s">
        <v>5483</v>
      </c>
      <c r="B1607" s="8" t="s">
        <v>5484</v>
      </c>
      <c r="C1607" s="8" t="s">
        <v>58</v>
      </c>
      <c r="D1607" s="8" t="s">
        <v>67</v>
      </c>
      <c r="E1607" s="8" t="s">
        <v>60</v>
      </c>
      <c r="F1607" s="8"/>
      <c r="G1607" s="8"/>
      <c r="H1607" s="8"/>
      <c r="I1607" s="8" t="s">
        <v>5485</v>
      </c>
      <c r="J1607" s="8" t="s">
        <v>76</v>
      </c>
      <c r="K1607" s="8" t="s">
        <v>5177</v>
      </c>
      <c r="L1607" s="8" t="s">
        <v>5248</v>
      </c>
      <c r="M1607" s="8"/>
      <c r="N1607" s="8" t="s">
        <v>62</v>
      </c>
      <c r="O1607" s="8" t="s">
        <v>63</v>
      </c>
      <c r="P1607" s="4" t="n">
        <v>56</v>
      </c>
      <c r="Q1607" s="8"/>
      <c r="R1607" s="4" t="s">
        <v>5486</v>
      </c>
      <c r="S1607" s="4" t="n">
        <v>965</v>
      </c>
    </row>
    <row r="1608" customFormat="false" ht="26.85" hidden="false" customHeight="false" outlineLevel="0" collapsed="false">
      <c r="A1608" s="4" t="s">
        <v>5487</v>
      </c>
      <c r="B1608" s="8" t="s">
        <v>5488</v>
      </c>
      <c r="C1608" s="8"/>
      <c r="D1608" s="8"/>
      <c r="E1608" s="8"/>
      <c r="F1608" s="8"/>
      <c r="G1608" s="8"/>
      <c r="H1608" s="8"/>
      <c r="I1608" s="8" t="s">
        <v>5489</v>
      </c>
      <c r="J1608" s="8" t="s">
        <v>76</v>
      </c>
      <c r="K1608" s="8" t="s">
        <v>5177</v>
      </c>
      <c r="L1608" s="8" t="s">
        <v>5248</v>
      </c>
      <c r="M1608" s="8"/>
      <c r="N1608" s="8" t="s">
        <v>62</v>
      </c>
      <c r="O1608" s="8" t="s">
        <v>63</v>
      </c>
      <c r="P1608" s="4" t="n">
        <v>56</v>
      </c>
      <c r="Q1608" s="8"/>
      <c r="R1608" s="4" t="s">
        <v>5488</v>
      </c>
      <c r="S1608" s="4" t="n">
        <v>116</v>
      </c>
    </row>
    <row r="1609" customFormat="false" ht="26.85" hidden="false" customHeight="false" outlineLevel="0" collapsed="false">
      <c r="A1609" s="4" t="s">
        <v>5490</v>
      </c>
      <c r="B1609" s="8" t="s">
        <v>5491</v>
      </c>
      <c r="C1609" s="8" t="s">
        <v>58</v>
      </c>
      <c r="D1609" s="8"/>
      <c r="E1609" s="8" t="s">
        <v>60</v>
      </c>
      <c r="F1609" s="8"/>
      <c r="G1609" s="8"/>
      <c r="H1609" s="8"/>
      <c r="I1609" s="8" t="s">
        <v>5492</v>
      </c>
      <c r="J1609" s="8" t="s">
        <v>76</v>
      </c>
      <c r="K1609" s="8" t="s">
        <v>5177</v>
      </c>
      <c r="L1609" s="8" t="s">
        <v>5248</v>
      </c>
      <c r="M1609" s="8"/>
      <c r="N1609" s="8" t="s">
        <v>62</v>
      </c>
      <c r="O1609" s="8" t="s">
        <v>63</v>
      </c>
      <c r="P1609" s="4" t="n">
        <v>56</v>
      </c>
      <c r="Q1609" s="8"/>
      <c r="R1609" s="4" t="s">
        <v>5493</v>
      </c>
      <c r="S1609" s="4"/>
    </row>
    <row r="1610" customFormat="false" ht="26.85" hidden="false" customHeight="false" outlineLevel="0" collapsed="false">
      <c r="A1610" s="4" t="s">
        <v>5494</v>
      </c>
      <c r="B1610" s="8" t="s">
        <v>5495</v>
      </c>
      <c r="C1610" s="8"/>
      <c r="D1610" s="8"/>
      <c r="E1610" s="8"/>
      <c r="F1610" s="8"/>
      <c r="G1610" s="8"/>
      <c r="H1610" s="8"/>
      <c r="I1610" s="8" t="s">
        <v>5496</v>
      </c>
      <c r="J1610" s="8" t="s">
        <v>76</v>
      </c>
      <c r="K1610" s="8" t="s">
        <v>5177</v>
      </c>
      <c r="L1610" s="8" t="s">
        <v>5248</v>
      </c>
      <c r="M1610" s="8"/>
      <c r="N1610" s="8" t="s">
        <v>62</v>
      </c>
      <c r="O1610" s="8" t="s">
        <v>63</v>
      </c>
      <c r="P1610" s="4" t="n">
        <v>56</v>
      </c>
      <c r="Q1610" s="8"/>
      <c r="R1610" s="4" t="s">
        <v>5495</v>
      </c>
      <c r="S1610" s="4"/>
    </row>
    <row r="1611" customFormat="false" ht="26.85" hidden="false" customHeight="false" outlineLevel="0" collapsed="false">
      <c r="A1611" s="4" t="s">
        <v>5497</v>
      </c>
      <c r="B1611" s="8" t="s">
        <v>5498</v>
      </c>
      <c r="C1611" s="8"/>
      <c r="D1611" s="8"/>
      <c r="E1611" s="8"/>
      <c r="F1611" s="8"/>
      <c r="G1611" s="8"/>
      <c r="H1611" s="8"/>
      <c r="I1611" s="8" t="s">
        <v>5499</v>
      </c>
      <c r="J1611" s="8" t="s">
        <v>76</v>
      </c>
      <c r="K1611" s="8" t="s">
        <v>5177</v>
      </c>
      <c r="L1611" s="8" t="s">
        <v>5248</v>
      </c>
      <c r="M1611" s="8"/>
      <c r="N1611" s="8" t="s">
        <v>62</v>
      </c>
      <c r="O1611" s="8" t="s">
        <v>63</v>
      </c>
      <c r="P1611" s="4" t="n">
        <v>56</v>
      </c>
      <c r="Q1611" s="8"/>
      <c r="R1611" s="4" t="s">
        <v>5498</v>
      </c>
      <c r="S1611" s="4" t="n">
        <v>930</v>
      </c>
    </row>
    <row r="1612" customFormat="false" ht="26.85" hidden="false" customHeight="false" outlineLevel="0" collapsed="false">
      <c r="A1612" s="4" t="s">
        <v>5500</v>
      </c>
      <c r="B1612" s="8" t="s">
        <v>5501</v>
      </c>
      <c r="C1612" s="8" t="s">
        <v>58</v>
      </c>
      <c r="D1612" s="8"/>
      <c r="E1612" s="8" t="s">
        <v>60</v>
      </c>
      <c r="F1612" s="8"/>
      <c r="G1612" s="8"/>
      <c r="H1612" s="8"/>
      <c r="I1612" s="8" t="s">
        <v>5502</v>
      </c>
      <c r="J1612" s="8" t="s">
        <v>76</v>
      </c>
      <c r="K1612" s="8" t="s">
        <v>5177</v>
      </c>
      <c r="L1612" s="8" t="s">
        <v>5248</v>
      </c>
      <c r="M1612" s="8"/>
      <c r="N1612" s="8" t="s">
        <v>62</v>
      </c>
      <c r="O1612" s="8" t="s">
        <v>63</v>
      </c>
      <c r="P1612" s="4" t="n">
        <v>56</v>
      </c>
      <c r="Q1612" s="8"/>
      <c r="R1612" s="4" t="s">
        <v>5503</v>
      </c>
      <c r="S1612" s="4"/>
    </row>
    <row r="1613" customFormat="false" ht="26.85" hidden="false" customHeight="false" outlineLevel="0" collapsed="false">
      <c r="A1613" s="4" t="s">
        <v>5504</v>
      </c>
      <c r="B1613" s="8" t="s">
        <v>5505</v>
      </c>
      <c r="C1613" s="8" t="s">
        <v>58</v>
      </c>
      <c r="D1613" s="8"/>
      <c r="E1613" s="8" t="s">
        <v>60</v>
      </c>
      <c r="F1613" s="8"/>
      <c r="G1613" s="8"/>
      <c r="H1613" s="8"/>
      <c r="I1613" s="8" t="s">
        <v>5506</v>
      </c>
      <c r="J1613" s="8" t="s">
        <v>76</v>
      </c>
      <c r="K1613" s="8" t="s">
        <v>5177</v>
      </c>
      <c r="L1613" s="8" t="s">
        <v>5248</v>
      </c>
      <c r="M1613" s="8"/>
      <c r="N1613" s="8" t="s">
        <v>62</v>
      </c>
      <c r="O1613" s="8" t="s">
        <v>63</v>
      </c>
      <c r="P1613" s="4" t="n">
        <v>56</v>
      </c>
      <c r="Q1613" s="8"/>
      <c r="R1613" s="4" t="s">
        <v>5507</v>
      </c>
      <c r="S1613" s="4"/>
    </row>
    <row r="1614" customFormat="false" ht="26.85" hidden="false" customHeight="false" outlineLevel="0" collapsed="false">
      <c r="A1614" s="4" t="s">
        <v>5508</v>
      </c>
      <c r="B1614" s="8" t="s">
        <v>5509</v>
      </c>
      <c r="C1614" s="8"/>
      <c r="D1614" s="8"/>
      <c r="E1614" s="8"/>
      <c r="F1614" s="8"/>
      <c r="G1614" s="8"/>
      <c r="H1614" s="8"/>
      <c r="I1614" s="8" t="s">
        <v>5510</v>
      </c>
      <c r="J1614" s="8" t="s">
        <v>76</v>
      </c>
      <c r="K1614" s="8" t="s">
        <v>5177</v>
      </c>
      <c r="L1614" s="8" t="s">
        <v>5511</v>
      </c>
      <c r="M1614" s="8"/>
      <c r="N1614" s="8" t="s">
        <v>62</v>
      </c>
      <c r="O1614" s="8" t="s">
        <v>63</v>
      </c>
      <c r="P1614" s="4" t="n">
        <v>56</v>
      </c>
      <c r="Q1614" s="8"/>
      <c r="R1614" s="4" t="s">
        <v>5509</v>
      </c>
      <c r="S1614" s="4"/>
    </row>
    <row r="1615" customFormat="false" ht="26.85" hidden="false" customHeight="false" outlineLevel="0" collapsed="false">
      <c r="A1615" s="4" t="s">
        <v>5512</v>
      </c>
      <c r="B1615" s="8" t="s">
        <v>5513</v>
      </c>
      <c r="C1615" s="8"/>
      <c r="D1615" s="8"/>
      <c r="E1615" s="8"/>
      <c r="F1615" s="8"/>
      <c r="G1615" s="8"/>
      <c r="H1615" s="8"/>
      <c r="I1615" s="8" t="s">
        <v>5514</v>
      </c>
      <c r="J1615" s="8" t="s">
        <v>76</v>
      </c>
      <c r="K1615" s="8" t="s">
        <v>5177</v>
      </c>
      <c r="L1615" s="8" t="s">
        <v>5511</v>
      </c>
      <c r="M1615" s="8"/>
      <c r="N1615" s="8" t="s">
        <v>62</v>
      </c>
      <c r="O1615" s="8" t="s">
        <v>63</v>
      </c>
      <c r="P1615" s="4" t="n">
        <v>56</v>
      </c>
      <c r="Q1615" s="8"/>
      <c r="R1615" s="4" t="s">
        <v>5513</v>
      </c>
      <c r="S1615" s="4"/>
    </row>
    <row r="1616" customFormat="false" ht="26.85" hidden="false" customHeight="false" outlineLevel="0" collapsed="false">
      <c r="A1616" s="4" t="s">
        <v>5515</v>
      </c>
      <c r="B1616" s="8" t="s">
        <v>5516</v>
      </c>
      <c r="C1616" s="8"/>
      <c r="D1616" s="8"/>
      <c r="E1616" s="8"/>
      <c r="F1616" s="8"/>
      <c r="G1616" s="8"/>
      <c r="H1616" s="8"/>
      <c r="I1616" s="8" t="s">
        <v>5517</v>
      </c>
      <c r="J1616" s="8" t="s">
        <v>76</v>
      </c>
      <c r="K1616" s="8" t="s">
        <v>5177</v>
      </c>
      <c r="L1616" s="8" t="s">
        <v>5511</v>
      </c>
      <c r="M1616" s="8"/>
      <c r="N1616" s="8" t="s">
        <v>62</v>
      </c>
      <c r="O1616" s="8" t="s">
        <v>63</v>
      </c>
      <c r="P1616" s="4" t="n">
        <v>56</v>
      </c>
      <c r="Q1616" s="8"/>
      <c r="R1616" s="4" t="s">
        <v>5516</v>
      </c>
      <c r="S1616" s="4"/>
    </row>
    <row r="1617" customFormat="false" ht="26.85" hidden="false" customHeight="false" outlineLevel="0" collapsed="false">
      <c r="A1617" s="4" t="s">
        <v>5518</v>
      </c>
      <c r="B1617" s="8" t="s">
        <v>5519</v>
      </c>
      <c r="C1617" s="8"/>
      <c r="D1617" s="8"/>
      <c r="E1617" s="8"/>
      <c r="F1617" s="8"/>
      <c r="G1617" s="8"/>
      <c r="H1617" s="8"/>
      <c r="I1617" s="8" t="s">
        <v>5520</v>
      </c>
      <c r="J1617" s="8" t="s">
        <v>76</v>
      </c>
      <c r="K1617" s="8" t="s">
        <v>5177</v>
      </c>
      <c r="L1617" s="8" t="s">
        <v>5511</v>
      </c>
      <c r="M1617" s="8"/>
      <c r="N1617" s="8" t="s">
        <v>62</v>
      </c>
      <c r="O1617" s="8" t="s">
        <v>63</v>
      </c>
      <c r="P1617" s="4" t="n">
        <v>56</v>
      </c>
      <c r="Q1617" s="8"/>
      <c r="R1617" s="4" t="s">
        <v>5519</v>
      </c>
      <c r="S1617" s="4"/>
    </row>
    <row r="1618" customFormat="false" ht="26.85" hidden="false" customHeight="false" outlineLevel="0" collapsed="false">
      <c r="A1618" s="4" t="s">
        <v>5521</v>
      </c>
      <c r="B1618" s="8" t="s">
        <v>5522</v>
      </c>
      <c r="C1618" s="8"/>
      <c r="D1618" s="8"/>
      <c r="E1618" s="8"/>
      <c r="F1618" s="8"/>
      <c r="G1618" s="8"/>
      <c r="H1618" s="8"/>
      <c r="I1618" s="8" t="s">
        <v>5523</v>
      </c>
      <c r="J1618" s="8" t="s">
        <v>76</v>
      </c>
      <c r="K1618" s="8" t="s">
        <v>5177</v>
      </c>
      <c r="L1618" s="8" t="s">
        <v>5511</v>
      </c>
      <c r="M1618" s="8"/>
      <c r="N1618" s="8" t="s">
        <v>62</v>
      </c>
      <c r="O1618" s="8" t="s">
        <v>63</v>
      </c>
      <c r="P1618" s="4" t="n">
        <v>56</v>
      </c>
      <c r="Q1618" s="8"/>
      <c r="R1618" s="4" t="s">
        <v>5522</v>
      </c>
      <c r="S1618" s="4"/>
    </row>
    <row r="1619" customFormat="false" ht="26.85" hidden="false" customHeight="false" outlineLevel="0" collapsed="false">
      <c r="A1619" s="4" t="s">
        <v>5524</v>
      </c>
      <c r="B1619" s="8" t="s">
        <v>5525</v>
      </c>
      <c r="C1619" s="8"/>
      <c r="D1619" s="8"/>
      <c r="E1619" s="8"/>
      <c r="F1619" s="8"/>
      <c r="G1619" s="8"/>
      <c r="H1619" s="8"/>
      <c r="I1619" s="8" t="s">
        <v>5526</v>
      </c>
      <c r="J1619" s="8" t="s">
        <v>76</v>
      </c>
      <c r="K1619" s="8" t="s">
        <v>5177</v>
      </c>
      <c r="L1619" s="8" t="s">
        <v>5511</v>
      </c>
      <c r="M1619" s="8"/>
      <c r="N1619" s="8" t="s">
        <v>62</v>
      </c>
      <c r="O1619" s="8" t="s">
        <v>63</v>
      </c>
      <c r="P1619" s="4" t="n">
        <v>56</v>
      </c>
      <c r="Q1619" s="8"/>
      <c r="R1619" s="4" t="s">
        <v>5525</v>
      </c>
      <c r="S1619" s="4"/>
    </row>
    <row r="1620" customFormat="false" ht="26.85" hidden="false" customHeight="false" outlineLevel="0" collapsed="false">
      <c r="A1620" s="4" t="s">
        <v>5527</v>
      </c>
      <c r="B1620" s="8" t="s">
        <v>5528</v>
      </c>
      <c r="C1620" s="8"/>
      <c r="D1620" s="8"/>
      <c r="E1620" s="8"/>
      <c r="F1620" s="8"/>
      <c r="G1620" s="8"/>
      <c r="H1620" s="8"/>
      <c r="I1620" s="8" t="s">
        <v>5529</v>
      </c>
      <c r="J1620" s="8" t="s">
        <v>76</v>
      </c>
      <c r="K1620" s="8" t="s">
        <v>5177</v>
      </c>
      <c r="L1620" s="8" t="s">
        <v>5511</v>
      </c>
      <c r="M1620" s="8"/>
      <c r="N1620" s="8" t="s">
        <v>62</v>
      </c>
      <c r="O1620" s="8" t="s">
        <v>63</v>
      </c>
      <c r="P1620" s="4" t="n">
        <v>56</v>
      </c>
      <c r="Q1620" s="8"/>
      <c r="R1620" s="4" t="s">
        <v>5528</v>
      </c>
      <c r="S1620" s="4"/>
    </row>
    <row r="1621" customFormat="false" ht="26.85" hidden="false" customHeight="false" outlineLevel="0" collapsed="false">
      <c r="A1621" s="4" t="s">
        <v>5530</v>
      </c>
      <c r="B1621" s="8" t="s">
        <v>5531</v>
      </c>
      <c r="C1621" s="8"/>
      <c r="D1621" s="8"/>
      <c r="E1621" s="8"/>
      <c r="F1621" s="8"/>
      <c r="G1621" s="8"/>
      <c r="H1621" s="8"/>
      <c r="I1621" s="8" t="s">
        <v>5532</v>
      </c>
      <c r="J1621" s="8" t="s">
        <v>76</v>
      </c>
      <c r="K1621" s="8" t="s">
        <v>5177</v>
      </c>
      <c r="L1621" s="8" t="s">
        <v>5511</v>
      </c>
      <c r="M1621" s="8"/>
      <c r="N1621" s="8" t="s">
        <v>62</v>
      </c>
      <c r="O1621" s="8" t="s">
        <v>63</v>
      </c>
      <c r="P1621" s="4" t="n">
        <v>56</v>
      </c>
      <c r="Q1621" s="8"/>
      <c r="R1621" s="4" t="s">
        <v>5531</v>
      </c>
      <c r="S1621" s="4"/>
    </row>
    <row r="1622" customFormat="false" ht="26.85" hidden="false" customHeight="false" outlineLevel="0" collapsed="false">
      <c r="A1622" s="4" t="s">
        <v>5533</v>
      </c>
      <c r="B1622" s="8" t="s">
        <v>5534</v>
      </c>
      <c r="C1622" s="8"/>
      <c r="D1622" s="8"/>
      <c r="E1622" s="8"/>
      <c r="F1622" s="8"/>
      <c r="G1622" s="8"/>
      <c r="H1622" s="8"/>
      <c r="I1622" s="8" t="s">
        <v>5535</v>
      </c>
      <c r="J1622" s="8" t="s">
        <v>76</v>
      </c>
      <c r="K1622" s="8" t="s">
        <v>5177</v>
      </c>
      <c r="L1622" s="8" t="s">
        <v>5511</v>
      </c>
      <c r="M1622" s="8"/>
      <c r="N1622" s="8" t="s">
        <v>62</v>
      </c>
      <c r="O1622" s="8" t="s">
        <v>63</v>
      </c>
      <c r="P1622" s="4" t="n">
        <v>56</v>
      </c>
      <c r="Q1622" s="8"/>
      <c r="R1622" s="4" t="s">
        <v>5534</v>
      </c>
      <c r="S1622" s="4"/>
    </row>
    <row r="1623" customFormat="false" ht="26.85" hidden="false" customHeight="false" outlineLevel="0" collapsed="false">
      <c r="A1623" s="4" t="s">
        <v>5536</v>
      </c>
      <c r="B1623" s="8" t="s">
        <v>5537</v>
      </c>
      <c r="C1623" s="8"/>
      <c r="D1623" s="8"/>
      <c r="E1623" s="8" t="s">
        <v>68</v>
      </c>
      <c r="F1623" s="8" t="s">
        <v>5538</v>
      </c>
      <c r="G1623" s="8" t="s">
        <v>5539</v>
      </c>
      <c r="H1623" s="8"/>
      <c r="I1623" s="8" t="s">
        <v>5540</v>
      </c>
      <c r="J1623" s="8" t="s">
        <v>76</v>
      </c>
      <c r="K1623" s="8" t="s">
        <v>5177</v>
      </c>
      <c r="L1623" s="8" t="s">
        <v>688</v>
      </c>
      <c r="M1623" s="8"/>
      <c r="N1623" s="8" t="s">
        <v>62</v>
      </c>
      <c r="O1623" s="8" t="s">
        <v>63</v>
      </c>
      <c r="P1623" s="4" t="n">
        <v>56</v>
      </c>
      <c r="Q1623" s="8"/>
      <c r="R1623" s="4" t="s">
        <v>5537</v>
      </c>
      <c r="S1623" s="4"/>
    </row>
    <row r="1624" customFormat="false" ht="26.85" hidden="false" customHeight="false" outlineLevel="0" collapsed="false">
      <c r="A1624" s="4" t="s">
        <v>5541</v>
      </c>
      <c r="B1624" s="8" t="s">
        <v>5542</v>
      </c>
      <c r="C1624" s="8"/>
      <c r="D1624" s="8"/>
      <c r="E1624" s="8"/>
      <c r="F1624" s="8"/>
      <c r="G1624" s="8"/>
      <c r="H1624" s="8"/>
      <c r="I1624" s="8" t="s">
        <v>5543</v>
      </c>
      <c r="J1624" s="8" t="s">
        <v>76</v>
      </c>
      <c r="K1624" s="8" t="s">
        <v>5177</v>
      </c>
      <c r="L1624" s="8" t="s">
        <v>688</v>
      </c>
      <c r="M1624" s="8"/>
      <c r="N1624" s="8" t="s">
        <v>62</v>
      </c>
      <c r="O1624" s="8" t="s">
        <v>63</v>
      </c>
      <c r="P1624" s="4" t="n">
        <v>56</v>
      </c>
      <c r="Q1624" s="8"/>
      <c r="R1624" s="4" t="s">
        <v>5542</v>
      </c>
      <c r="S1624" s="4"/>
    </row>
    <row r="1625" customFormat="false" ht="26.85" hidden="false" customHeight="false" outlineLevel="0" collapsed="false">
      <c r="A1625" s="4" t="s">
        <v>5544</v>
      </c>
      <c r="B1625" s="8" t="s">
        <v>5545</v>
      </c>
      <c r="C1625" s="8"/>
      <c r="D1625" s="8"/>
      <c r="E1625" s="8"/>
      <c r="F1625" s="8"/>
      <c r="G1625" s="8"/>
      <c r="H1625" s="8"/>
      <c r="I1625" s="8" t="s">
        <v>5546</v>
      </c>
      <c r="J1625" s="8" t="s">
        <v>76</v>
      </c>
      <c r="K1625" s="8" t="s">
        <v>5177</v>
      </c>
      <c r="L1625" s="8" t="s">
        <v>688</v>
      </c>
      <c r="M1625" s="8"/>
      <c r="N1625" s="8" t="s">
        <v>62</v>
      </c>
      <c r="O1625" s="8" t="s">
        <v>63</v>
      </c>
      <c r="P1625" s="4" t="n">
        <v>56</v>
      </c>
      <c r="Q1625" s="8"/>
      <c r="R1625" s="4" t="s">
        <v>5545</v>
      </c>
      <c r="S1625" s="4"/>
    </row>
    <row r="1626" customFormat="false" ht="26.85" hidden="false" customHeight="false" outlineLevel="0" collapsed="false">
      <c r="A1626" s="4" t="s">
        <v>5547</v>
      </c>
      <c r="B1626" s="8" t="s">
        <v>5548</v>
      </c>
      <c r="C1626" s="8"/>
      <c r="D1626" s="8"/>
      <c r="E1626" s="8" t="s">
        <v>68</v>
      </c>
      <c r="F1626" s="8" t="s">
        <v>5549</v>
      </c>
      <c r="G1626" s="8" t="s">
        <v>5550</v>
      </c>
      <c r="H1626" s="8"/>
      <c r="I1626" s="8" t="s">
        <v>5551</v>
      </c>
      <c r="J1626" s="8" t="s">
        <v>76</v>
      </c>
      <c r="K1626" s="8" t="s">
        <v>5177</v>
      </c>
      <c r="L1626" s="8" t="s">
        <v>688</v>
      </c>
      <c r="M1626" s="8"/>
      <c r="N1626" s="8" t="s">
        <v>62</v>
      </c>
      <c r="O1626" s="8" t="s">
        <v>63</v>
      </c>
      <c r="P1626" s="4" t="n">
        <v>56</v>
      </c>
      <c r="Q1626" s="8"/>
      <c r="R1626" s="4" t="s">
        <v>5548</v>
      </c>
      <c r="S1626" s="4"/>
    </row>
    <row r="1627" customFormat="false" ht="26.85" hidden="false" customHeight="false" outlineLevel="0" collapsed="false">
      <c r="A1627" s="4" t="s">
        <v>5552</v>
      </c>
      <c r="B1627" s="8" t="s">
        <v>5553</v>
      </c>
      <c r="C1627" s="8"/>
      <c r="D1627" s="8"/>
      <c r="E1627" s="8" t="s">
        <v>68</v>
      </c>
      <c r="F1627" s="8" t="s">
        <v>5554</v>
      </c>
      <c r="G1627" s="8" t="s">
        <v>5555</v>
      </c>
      <c r="H1627" s="8"/>
      <c r="I1627" s="8" t="s">
        <v>5556</v>
      </c>
      <c r="J1627" s="8" t="s">
        <v>76</v>
      </c>
      <c r="K1627" s="8" t="s">
        <v>5177</v>
      </c>
      <c r="L1627" s="8" t="s">
        <v>688</v>
      </c>
      <c r="M1627" s="8"/>
      <c r="N1627" s="8" t="s">
        <v>62</v>
      </c>
      <c r="O1627" s="8" t="s">
        <v>63</v>
      </c>
      <c r="P1627" s="4" t="n">
        <v>56</v>
      </c>
      <c r="Q1627" s="8"/>
      <c r="R1627" s="4" t="s">
        <v>5553</v>
      </c>
      <c r="S1627" s="4"/>
    </row>
    <row r="1628" customFormat="false" ht="26.85" hidden="false" customHeight="false" outlineLevel="0" collapsed="false">
      <c r="A1628" s="4" t="s">
        <v>5557</v>
      </c>
      <c r="B1628" s="8" t="s">
        <v>2088</v>
      </c>
      <c r="C1628" s="8"/>
      <c r="D1628" s="8"/>
      <c r="E1628" s="8" t="s">
        <v>68</v>
      </c>
      <c r="F1628" s="8" t="s">
        <v>2089</v>
      </c>
      <c r="G1628" s="8" t="s">
        <v>2090</v>
      </c>
      <c r="H1628" s="8"/>
      <c r="I1628" s="8" t="s">
        <v>5558</v>
      </c>
      <c r="J1628" s="8" t="s">
        <v>76</v>
      </c>
      <c r="K1628" s="8" t="s">
        <v>5177</v>
      </c>
      <c r="L1628" s="8" t="s">
        <v>688</v>
      </c>
      <c r="M1628" s="8"/>
      <c r="N1628" s="8" t="s">
        <v>62</v>
      </c>
      <c r="O1628" s="8" t="s">
        <v>63</v>
      </c>
      <c r="P1628" s="4" t="n">
        <v>56</v>
      </c>
      <c r="Q1628" s="8"/>
      <c r="R1628" s="4" t="s">
        <v>2088</v>
      </c>
      <c r="S1628" s="4" t="n">
        <v>1465</v>
      </c>
    </row>
    <row r="1629" customFormat="false" ht="26.85" hidden="false" customHeight="false" outlineLevel="0" collapsed="false">
      <c r="A1629" s="4" t="s">
        <v>5559</v>
      </c>
      <c r="B1629" s="8" t="s">
        <v>5560</v>
      </c>
      <c r="C1629" s="8"/>
      <c r="D1629" s="8"/>
      <c r="E1629" s="8" t="s">
        <v>68</v>
      </c>
      <c r="F1629" s="8" t="s">
        <v>5561</v>
      </c>
      <c r="G1629" s="8" t="s">
        <v>5562</v>
      </c>
      <c r="H1629" s="8"/>
      <c r="I1629" s="8" t="s">
        <v>5563</v>
      </c>
      <c r="J1629" s="8" t="s">
        <v>76</v>
      </c>
      <c r="K1629" s="8" t="s">
        <v>5177</v>
      </c>
      <c r="L1629" s="8" t="s">
        <v>688</v>
      </c>
      <c r="M1629" s="8"/>
      <c r="N1629" s="8" t="s">
        <v>62</v>
      </c>
      <c r="O1629" s="8" t="s">
        <v>63</v>
      </c>
      <c r="P1629" s="4" t="n">
        <v>56</v>
      </c>
      <c r="Q1629" s="8"/>
      <c r="R1629" s="4" t="s">
        <v>5560</v>
      </c>
      <c r="S1629" s="4"/>
    </row>
    <row r="1630" customFormat="false" ht="26.85" hidden="false" customHeight="false" outlineLevel="0" collapsed="false">
      <c r="A1630" s="4" t="s">
        <v>5564</v>
      </c>
      <c r="B1630" s="8" t="s">
        <v>5565</v>
      </c>
      <c r="C1630" s="8"/>
      <c r="D1630" s="8"/>
      <c r="E1630" s="8" t="s">
        <v>68</v>
      </c>
      <c r="F1630" s="8" t="s">
        <v>5566</v>
      </c>
      <c r="G1630" s="8" t="s">
        <v>5567</v>
      </c>
      <c r="H1630" s="8"/>
      <c r="I1630" s="8" t="s">
        <v>5568</v>
      </c>
      <c r="J1630" s="8" t="s">
        <v>76</v>
      </c>
      <c r="K1630" s="8" t="s">
        <v>5177</v>
      </c>
      <c r="L1630" s="8" t="s">
        <v>688</v>
      </c>
      <c r="M1630" s="8"/>
      <c r="N1630" s="8" t="s">
        <v>62</v>
      </c>
      <c r="O1630" s="8" t="s">
        <v>63</v>
      </c>
      <c r="P1630" s="4" t="n">
        <v>56</v>
      </c>
      <c r="Q1630" s="8"/>
      <c r="R1630" s="4" t="s">
        <v>5565</v>
      </c>
      <c r="S1630" s="4"/>
    </row>
    <row r="1631" customFormat="false" ht="26.85" hidden="false" customHeight="false" outlineLevel="0" collapsed="false">
      <c r="A1631" s="4" t="s">
        <v>5569</v>
      </c>
      <c r="B1631" s="8" t="s">
        <v>5570</v>
      </c>
      <c r="C1631" s="8"/>
      <c r="D1631" s="8"/>
      <c r="E1631" s="8" t="s">
        <v>68</v>
      </c>
      <c r="F1631" s="8" t="s">
        <v>2112</v>
      </c>
      <c r="G1631" s="8" t="s">
        <v>5571</v>
      </c>
      <c r="H1631" s="8"/>
      <c r="I1631" s="8" t="s">
        <v>2114</v>
      </c>
      <c r="J1631" s="8" t="s">
        <v>76</v>
      </c>
      <c r="K1631" s="8" t="s">
        <v>5177</v>
      </c>
      <c r="L1631" s="8" t="s">
        <v>688</v>
      </c>
      <c r="M1631" s="8"/>
      <c r="N1631" s="8" t="s">
        <v>62</v>
      </c>
      <c r="O1631" s="8" t="s">
        <v>63</v>
      </c>
      <c r="P1631" s="4" t="n">
        <v>56</v>
      </c>
      <c r="Q1631" s="8"/>
      <c r="R1631" s="4" t="s">
        <v>5570</v>
      </c>
      <c r="S1631" s="4"/>
    </row>
    <row r="1632" customFormat="false" ht="26.85" hidden="false" customHeight="false" outlineLevel="0" collapsed="false">
      <c r="A1632" s="4" t="s">
        <v>5572</v>
      </c>
      <c r="B1632" s="8" t="s">
        <v>5573</v>
      </c>
      <c r="C1632" s="8"/>
      <c r="D1632" s="8"/>
      <c r="E1632" s="8" t="s">
        <v>68</v>
      </c>
      <c r="F1632" s="8" t="s">
        <v>5574</v>
      </c>
      <c r="G1632" s="8" t="s">
        <v>5575</v>
      </c>
      <c r="H1632" s="8"/>
      <c r="I1632" s="8" t="s">
        <v>5576</v>
      </c>
      <c r="J1632" s="8" t="s">
        <v>76</v>
      </c>
      <c r="K1632" s="8" t="s">
        <v>5177</v>
      </c>
      <c r="L1632" s="8" t="s">
        <v>688</v>
      </c>
      <c r="M1632" s="8"/>
      <c r="N1632" s="8" t="s">
        <v>62</v>
      </c>
      <c r="O1632" s="8" t="s">
        <v>63</v>
      </c>
      <c r="P1632" s="4" t="n">
        <v>56</v>
      </c>
      <c r="Q1632" s="8"/>
      <c r="R1632" s="4" t="s">
        <v>5573</v>
      </c>
      <c r="S1632" s="4"/>
    </row>
    <row r="1633" customFormat="false" ht="26.85" hidden="false" customHeight="false" outlineLevel="0" collapsed="false">
      <c r="A1633" s="4" t="s">
        <v>5577</v>
      </c>
      <c r="B1633" s="8" t="s">
        <v>5578</v>
      </c>
      <c r="C1633" s="8"/>
      <c r="D1633" s="8"/>
      <c r="E1633" s="8"/>
      <c r="F1633" s="8"/>
      <c r="G1633" s="8"/>
      <c r="H1633" s="8"/>
      <c r="I1633" s="8" t="s">
        <v>5579</v>
      </c>
      <c r="J1633" s="8" t="s">
        <v>76</v>
      </c>
      <c r="K1633" s="8" t="s">
        <v>5177</v>
      </c>
      <c r="L1633" s="8" t="s">
        <v>688</v>
      </c>
      <c r="M1633" s="8"/>
      <c r="N1633" s="8" t="s">
        <v>62</v>
      </c>
      <c r="O1633" s="8" t="s">
        <v>63</v>
      </c>
      <c r="P1633" s="4" t="n">
        <v>56</v>
      </c>
      <c r="Q1633" s="8"/>
      <c r="R1633" s="4" t="s">
        <v>5578</v>
      </c>
      <c r="S1633" s="4"/>
    </row>
    <row r="1634" customFormat="false" ht="26.85" hidden="false" customHeight="false" outlineLevel="0" collapsed="false">
      <c r="A1634" s="4" t="s">
        <v>5580</v>
      </c>
      <c r="B1634" s="8" t="s">
        <v>2119</v>
      </c>
      <c r="C1634" s="8"/>
      <c r="D1634" s="8"/>
      <c r="E1634" s="8" t="s">
        <v>68</v>
      </c>
      <c r="F1634" s="8" t="s">
        <v>2120</v>
      </c>
      <c r="G1634" s="8" t="s">
        <v>2121</v>
      </c>
      <c r="H1634" s="8"/>
      <c r="I1634" s="8" t="s">
        <v>2122</v>
      </c>
      <c r="J1634" s="8" t="s">
        <v>76</v>
      </c>
      <c r="K1634" s="8" t="s">
        <v>5177</v>
      </c>
      <c r="L1634" s="8" t="s">
        <v>688</v>
      </c>
      <c r="M1634" s="8"/>
      <c r="N1634" s="8" t="s">
        <v>62</v>
      </c>
      <c r="O1634" s="8" t="s">
        <v>63</v>
      </c>
      <c r="P1634" s="4" t="n">
        <v>56</v>
      </c>
      <c r="Q1634" s="8"/>
      <c r="R1634" s="4" t="s">
        <v>2119</v>
      </c>
      <c r="S1634" s="4" t="n">
        <v>1611</v>
      </c>
    </row>
    <row r="1635" customFormat="false" ht="26.85" hidden="false" customHeight="false" outlineLevel="0" collapsed="false">
      <c r="A1635" s="4" t="s">
        <v>5581</v>
      </c>
      <c r="B1635" s="8" t="s">
        <v>5582</v>
      </c>
      <c r="C1635" s="8"/>
      <c r="D1635" s="8"/>
      <c r="E1635" s="8"/>
      <c r="F1635" s="8"/>
      <c r="G1635" s="8"/>
      <c r="H1635" s="8"/>
      <c r="I1635" s="8" t="s">
        <v>5583</v>
      </c>
      <c r="J1635" s="8" t="s">
        <v>76</v>
      </c>
      <c r="K1635" s="8" t="s">
        <v>5177</v>
      </c>
      <c r="L1635" s="8" t="s">
        <v>688</v>
      </c>
      <c r="M1635" s="8"/>
      <c r="N1635" s="8" t="s">
        <v>62</v>
      </c>
      <c r="O1635" s="8" t="s">
        <v>63</v>
      </c>
      <c r="P1635" s="4" t="n">
        <v>56</v>
      </c>
      <c r="Q1635" s="8"/>
      <c r="R1635" s="4" t="s">
        <v>5582</v>
      </c>
      <c r="S1635" s="4"/>
    </row>
    <row r="1636" customFormat="false" ht="26.85" hidden="false" customHeight="false" outlineLevel="0" collapsed="false">
      <c r="A1636" s="4" t="s">
        <v>5584</v>
      </c>
      <c r="B1636" s="8" t="s">
        <v>5585</v>
      </c>
      <c r="C1636" s="8"/>
      <c r="D1636" s="8"/>
      <c r="E1636" s="8" t="s">
        <v>68</v>
      </c>
      <c r="F1636" s="8" t="s">
        <v>5586</v>
      </c>
      <c r="G1636" s="8" t="s">
        <v>5587</v>
      </c>
      <c r="H1636" s="8"/>
      <c r="I1636" s="8" t="s">
        <v>5588</v>
      </c>
      <c r="J1636" s="8" t="s">
        <v>76</v>
      </c>
      <c r="K1636" s="8" t="s">
        <v>5177</v>
      </c>
      <c r="L1636" s="8" t="s">
        <v>688</v>
      </c>
      <c r="M1636" s="8"/>
      <c r="N1636" s="8" t="s">
        <v>62</v>
      </c>
      <c r="O1636" s="8" t="s">
        <v>63</v>
      </c>
      <c r="P1636" s="4" t="n">
        <v>57</v>
      </c>
      <c r="Q1636" s="8"/>
      <c r="R1636" s="4" t="s">
        <v>5585</v>
      </c>
      <c r="S1636" s="4"/>
    </row>
    <row r="1637" customFormat="false" ht="26.85" hidden="false" customHeight="false" outlineLevel="0" collapsed="false">
      <c r="A1637" s="4" t="s">
        <v>5589</v>
      </c>
      <c r="B1637" s="8" t="s">
        <v>5590</v>
      </c>
      <c r="C1637" s="8"/>
      <c r="D1637" s="8"/>
      <c r="E1637" s="8" t="s">
        <v>68</v>
      </c>
      <c r="F1637" s="8" t="s">
        <v>5591</v>
      </c>
      <c r="G1637" s="8" t="s">
        <v>5592</v>
      </c>
      <c r="H1637" s="8"/>
      <c r="I1637" s="8" t="s">
        <v>5593</v>
      </c>
      <c r="J1637" s="8" t="s">
        <v>76</v>
      </c>
      <c r="K1637" s="8" t="s">
        <v>5177</v>
      </c>
      <c r="L1637" s="8" t="s">
        <v>688</v>
      </c>
      <c r="M1637" s="8"/>
      <c r="N1637" s="8" t="s">
        <v>62</v>
      </c>
      <c r="O1637" s="8" t="s">
        <v>63</v>
      </c>
      <c r="P1637" s="4" t="n">
        <v>57</v>
      </c>
      <c r="Q1637" s="8"/>
      <c r="R1637" s="4" t="s">
        <v>5590</v>
      </c>
      <c r="S1637" s="4"/>
    </row>
    <row r="1638" customFormat="false" ht="26.85" hidden="false" customHeight="false" outlineLevel="0" collapsed="false">
      <c r="A1638" s="4" t="s">
        <v>5594</v>
      </c>
      <c r="B1638" s="8" t="s">
        <v>2132</v>
      </c>
      <c r="C1638" s="8"/>
      <c r="D1638" s="8"/>
      <c r="E1638" s="8" t="s">
        <v>68</v>
      </c>
      <c r="F1638" s="8" t="s">
        <v>2133</v>
      </c>
      <c r="G1638" s="8" t="s">
        <v>2134</v>
      </c>
      <c r="H1638" s="8"/>
      <c r="I1638" s="8" t="s">
        <v>2135</v>
      </c>
      <c r="J1638" s="8" t="s">
        <v>76</v>
      </c>
      <c r="K1638" s="8" t="s">
        <v>5177</v>
      </c>
      <c r="L1638" s="8" t="s">
        <v>688</v>
      </c>
      <c r="M1638" s="8"/>
      <c r="N1638" s="8" t="s">
        <v>62</v>
      </c>
      <c r="O1638" s="8" t="s">
        <v>63</v>
      </c>
      <c r="P1638" s="4" t="n">
        <v>57</v>
      </c>
      <c r="Q1638" s="8"/>
      <c r="R1638" s="4" t="s">
        <v>2132</v>
      </c>
      <c r="S1638" s="4"/>
    </row>
    <row r="1639" customFormat="false" ht="26.85" hidden="false" customHeight="false" outlineLevel="0" collapsed="false">
      <c r="A1639" s="4" t="s">
        <v>5595</v>
      </c>
      <c r="B1639" s="8" t="s">
        <v>5596</v>
      </c>
      <c r="C1639" s="8"/>
      <c r="D1639" s="8"/>
      <c r="E1639" s="8" t="s">
        <v>68</v>
      </c>
      <c r="F1639" s="8" t="s">
        <v>5597</v>
      </c>
      <c r="G1639" s="8" t="s">
        <v>5598</v>
      </c>
      <c r="H1639" s="8"/>
      <c r="I1639" s="8" t="s">
        <v>5599</v>
      </c>
      <c r="J1639" s="8" t="s">
        <v>76</v>
      </c>
      <c r="K1639" s="8" t="s">
        <v>5177</v>
      </c>
      <c r="L1639" s="8" t="s">
        <v>688</v>
      </c>
      <c r="M1639" s="8"/>
      <c r="N1639" s="8" t="s">
        <v>62</v>
      </c>
      <c r="O1639" s="8" t="s">
        <v>63</v>
      </c>
      <c r="P1639" s="4" t="n">
        <v>57</v>
      </c>
      <c r="Q1639" s="8"/>
      <c r="R1639" s="4" t="s">
        <v>5596</v>
      </c>
      <c r="S1639" s="4"/>
    </row>
    <row r="1640" customFormat="false" ht="26.85" hidden="false" customHeight="false" outlineLevel="0" collapsed="false">
      <c r="A1640" s="4" t="s">
        <v>5600</v>
      </c>
      <c r="B1640" s="8" t="s">
        <v>2181</v>
      </c>
      <c r="C1640" s="8"/>
      <c r="D1640" s="8"/>
      <c r="E1640" s="8" t="s">
        <v>68</v>
      </c>
      <c r="F1640" s="8" t="s">
        <v>2182</v>
      </c>
      <c r="G1640" s="8" t="s">
        <v>2183</v>
      </c>
      <c r="H1640" s="8"/>
      <c r="I1640" s="8" t="s">
        <v>2184</v>
      </c>
      <c r="J1640" s="8" t="s">
        <v>76</v>
      </c>
      <c r="K1640" s="8" t="s">
        <v>5177</v>
      </c>
      <c r="L1640" s="8" t="s">
        <v>688</v>
      </c>
      <c r="M1640" s="8"/>
      <c r="N1640" s="8" t="s">
        <v>62</v>
      </c>
      <c r="O1640" s="8" t="s">
        <v>63</v>
      </c>
      <c r="P1640" s="4" t="n">
        <v>57</v>
      </c>
      <c r="Q1640" s="8"/>
      <c r="R1640" s="4" t="s">
        <v>2181</v>
      </c>
      <c r="S1640" s="4"/>
    </row>
    <row r="1641" customFormat="false" ht="26.85" hidden="false" customHeight="false" outlineLevel="0" collapsed="false">
      <c r="A1641" s="4" t="s">
        <v>5601</v>
      </c>
      <c r="B1641" s="8" t="s">
        <v>5602</v>
      </c>
      <c r="C1641" s="8"/>
      <c r="D1641" s="8"/>
      <c r="E1641" s="8" t="s">
        <v>68</v>
      </c>
      <c r="F1641" s="8" t="s">
        <v>5603</v>
      </c>
      <c r="G1641" s="8" t="s">
        <v>5604</v>
      </c>
      <c r="H1641" s="8"/>
      <c r="I1641" s="8" t="s">
        <v>5605</v>
      </c>
      <c r="J1641" s="8" t="s">
        <v>76</v>
      </c>
      <c r="K1641" s="8" t="s">
        <v>5177</v>
      </c>
      <c r="L1641" s="8" t="s">
        <v>688</v>
      </c>
      <c r="M1641" s="8"/>
      <c r="N1641" s="8" t="s">
        <v>62</v>
      </c>
      <c r="O1641" s="8" t="s">
        <v>63</v>
      </c>
      <c r="P1641" s="4" t="n">
        <v>57</v>
      </c>
      <c r="Q1641" s="8"/>
      <c r="R1641" s="4" t="s">
        <v>5602</v>
      </c>
      <c r="S1641" s="4"/>
    </row>
    <row r="1642" customFormat="false" ht="26.85" hidden="false" customHeight="false" outlineLevel="0" collapsed="false">
      <c r="A1642" s="4" t="s">
        <v>5606</v>
      </c>
      <c r="B1642" s="8" t="s">
        <v>5607</v>
      </c>
      <c r="C1642" s="8"/>
      <c r="D1642" s="8"/>
      <c r="E1642" s="8" t="s">
        <v>68</v>
      </c>
      <c r="F1642" s="8" t="s">
        <v>5513</v>
      </c>
      <c r="G1642" s="8" t="s">
        <v>5608</v>
      </c>
      <c r="H1642" s="8"/>
      <c r="I1642" s="8" t="s">
        <v>5609</v>
      </c>
      <c r="J1642" s="8" t="s">
        <v>76</v>
      </c>
      <c r="K1642" s="8" t="s">
        <v>5177</v>
      </c>
      <c r="L1642" s="8" t="s">
        <v>688</v>
      </c>
      <c r="M1642" s="8"/>
      <c r="N1642" s="8" t="s">
        <v>62</v>
      </c>
      <c r="O1642" s="8" t="s">
        <v>63</v>
      </c>
      <c r="P1642" s="4" t="n">
        <v>57</v>
      </c>
      <c r="Q1642" s="8"/>
      <c r="R1642" s="4" t="s">
        <v>5607</v>
      </c>
      <c r="S1642" s="4"/>
    </row>
    <row r="1643" customFormat="false" ht="26.85" hidden="false" customHeight="false" outlineLevel="0" collapsed="false">
      <c r="A1643" s="4" t="s">
        <v>5610</v>
      </c>
      <c r="B1643" s="8" t="s">
        <v>5611</v>
      </c>
      <c r="C1643" s="8"/>
      <c r="D1643" s="8"/>
      <c r="E1643" s="8" t="s">
        <v>68</v>
      </c>
      <c r="F1643" s="8" t="s">
        <v>5612</v>
      </c>
      <c r="G1643" s="8" t="s">
        <v>5613</v>
      </c>
      <c r="H1643" s="8"/>
      <c r="I1643" s="8" t="s">
        <v>5614</v>
      </c>
      <c r="J1643" s="8" t="s">
        <v>76</v>
      </c>
      <c r="K1643" s="8" t="s">
        <v>5177</v>
      </c>
      <c r="L1643" s="8" t="s">
        <v>688</v>
      </c>
      <c r="M1643" s="8"/>
      <c r="N1643" s="8" t="s">
        <v>62</v>
      </c>
      <c r="O1643" s="8" t="s">
        <v>63</v>
      </c>
      <c r="P1643" s="4" t="n">
        <v>57</v>
      </c>
      <c r="Q1643" s="8"/>
      <c r="R1643" s="4" t="s">
        <v>5611</v>
      </c>
      <c r="S1643" s="4"/>
    </row>
    <row r="1644" customFormat="false" ht="26.85" hidden="false" customHeight="false" outlineLevel="0" collapsed="false">
      <c r="A1644" s="4" t="s">
        <v>5615</v>
      </c>
      <c r="B1644" s="8" t="s">
        <v>5616</v>
      </c>
      <c r="C1644" s="8"/>
      <c r="D1644" s="8"/>
      <c r="E1644" s="8" t="s">
        <v>68</v>
      </c>
      <c r="F1644" s="8" t="s">
        <v>5617</v>
      </c>
      <c r="G1644" s="8" t="s">
        <v>5618</v>
      </c>
      <c r="H1644" s="8"/>
      <c r="I1644" s="8" t="s">
        <v>5619</v>
      </c>
      <c r="J1644" s="8" t="s">
        <v>76</v>
      </c>
      <c r="K1644" s="8" t="s">
        <v>5177</v>
      </c>
      <c r="L1644" s="8" t="s">
        <v>688</v>
      </c>
      <c r="M1644" s="8"/>
      <c r="N1644" s="8" t="s">
        <v>62</v>
      </c>
      <c r="O1644" s="8" t="s">
        <v>63</v>
      </c>
      <c r="P1644" s="4" t="n">
        <v>57</v>
      </c>
      <c r="Q1644" s="8"/>
      <c r="R1644" s="4" t="s">
        <v>5616</v>
      </c>
      <c r="S1644" s="4"/>
    </row>
    <row r="1645" customFormat="false" ht="26.85" hidden="false" customHeight="false" outlineLevel="0" collapsed="false">
      <c r="A1645" s="4" t="s">
        <v>5620</v>
      </c>
      <c r="B1645" s="8" t="s">
        <v>5621</v>
      </c>
      <c r="C1645" s="8"/>
      <c r="D1645" s="8"/>
      <c r="E1645" s="8" t="s">
        <v>68</v>
      </c>
      <c r="F1645" s="8" t="s">
        <v>5622</v>
      </c>
      <c r="G1645" s="8" t="s">
        <v>5623</v>
      </c>
      <c r="H1645" s="8"/>
      <c r="I1645" s="8" t="s">
        <v>2135</v>
      </c>
      <c r="J1645" s="8" t="s">
        <v>76</v>
      </c>
      <c r="K1645" s="8" t="s">
        <v>5177</v>
      </c>
      <c r="L1645" s="8" t="s">
        <v>688</v>
      </c>
      <c r="M1645" s="8"/>
      <c r="N1645" s="8" t="s">
        <v>62</v>
      </c>
      <c r="O1645" s="8" t="s">
        <v>63</v>
      </c>
      <c r="P1645" s="4" t="n">
        <v>57</v>
      </c>
      <c r="Q1645" s="8"/>
      <c r="R1645" s="4" t="s">
        <v>5621</v>
      </c>
      <c r="S1645" s="4"/>
    </row>
    <row r="1646" customFormat="false" ht="26.85" hidden="false" customHeight="false" outlineLevel="0" collapsed="false">
      <c r="A1646" s="4" t="s">
        <v>5624</v>
      </c>
      <c r="B1646" s="8" t="s">
        <v>5625</v>
      </c>
      <c r="C1646" s="8"/>
      <c r="D1646" s="8"/>
      <c r="E1646" s="8" t="s">
        <v>68</v>
      </c>
      <c r="F1646" s="8" t="s">
        <v>5626</v>
      </c>
      <c r="G1646" s="8" t="s">
        <v>5627</v>
      </c>
      <c r="H1646" s="8"/>
      <c r="I1646" s="8" t="s">
        <v>1041</v>
      </c>
      <c r="J1646" s="8" t="s">
        <v>76</v>
      </c>
      <c r="K1646" s="8" t="s">
        <v>5177</v>
      </c>
      <c r="L1646" s="8" t="s">
        <v>688</v>
      </c>
      <c r="M1646" s="8"/>
      <c r="N1646" s="8" t="s">
        <v>62</v>
      </c>
      <c r="O1646" s="8" t="s">
        <v>63</v>
      </c>
      <c r="P1646" s="4" t="n">
        <v>57</v>
      </c>
      <c r="Q1646" s="8"/>
      <c r="R1646" s="4" t="s">
        <v>5625</v>
      </c>
      <c r="S1646" s="4"/>
    </row>
    <row r="1647" customFormat="false" ht="26.85" hidden="false" customHeight="false" outlineLevel="0" collapsed="false">
      <c r="A1647" s="4" t="s">
        <v>5628</v>
      </c>
      <c r="B1647" s="8" t="s">
        <v>5629</v>
      </c>
      <c r="C1647" s="8"/>
      <c r="D1647" s="8"/>
      <c r="E1647" s="8" t="s">
        <v>68</v>
      </c>
      <c r="F1647" s="8" t="s">
        <v>5630</v>
      </c>
      <c r="G1647" s="8" t="s">
        <v>5631</v>
      </c>
      <c r="H1647" s="8"/>
      <c r="I1647" s="8" t="s">
        <v>5632</v>
      </c>
      <c r="J1647" s="8" t="s">
        <v>76</v>
      </c>
      <c r="K1647" s="8" t="s">
        <v>5177</v>
      </c>
      <c r="L1647" s="8" t="s">
        <v>688</v>
      </c>
      <c r="M1647" s="8"/>
      <c r="N1647" s="8" t="s">
        <v>62</v>
      </c>
      <c r="O1647" s="8" t="s">
        <v>63</v>
      </c>
      <c r="P1647" s="4" t="n">
        <v>57</v>
      </c>
      <c r="Q1647" s="8"/>
      <c r="R1647" s="4" t="s">
        <v>5629</v>
      </c>
      <c r="S1647" s="4" t="n">
        <v>1116</v>
      </c>
    </row>
    <row r="1648" customFormat="false" ht="26.85" hidden="false" customHeight="false" outlineLevel="0" collapsed="false">
      <c r="A1648" s="4" t="s">
        <v>5633</v>
      </c>
      <c r="B1648" s="8" t="s">
        <v>5634</v>
      </c>
      <c r="C1648" s="8"/>
      <c r="D1648" s="8"/>
      <c r="E1648" s="8" t="s">
        <v>68</v>
      </c>
      <c r="F1648" s="8" t="s">
        <v>5635</v>
      </c>
      <c r="G1648" s="8" t="s">
        <v>5636</v>
      </c>
      <c r="H1648" s="8"/>
      <c r="I1648" s="8" t="s">
        <v>5637</v>
      </c>
      <c r="J1648" s="8" t="s">
        <v>76</v>
      </c>
      <c r="K1648" s="8" t="s">
        <v>5177</v>
      </c>
      <c r="L1648" s="8" t="s">
        <v>688</v>
      </c>
      <c r="M1648" s="8"/>
      <c r="N1648" s="8" t="s">
        <v>62</v>
      </c>
      <c r="O1648" s="8" t="s">
        <v>63</v>
      </c>
      <c r="P1648" s="4" t="n">
        <v>57</v>
      </c>
      <c r="Q1648" s="8"/>
      <c r="R1648" s="4" t="s">
        <v>5634</v>
      </c>
      <c r="S1648" s="4"/>
    </row>
    <row r="1649" customFormat="false" ht="26.85" hidden="false" customHeight="false" outlineLevel="0" collapsed="false">
      <c r="A1649" s="4" t="s">
        <v>5638</v>
      </c>
      <c r="B1649" s="8" t="s">
        <v>5639</v>
      </c>
      <c r="C1649" s="8"/>
      <c r="D1649" s="8"/>
      <c r="E1649" s="8" t="s">
        <v>68</v>
      </c>
      <c r="F1649" s="8" t="s">
        <v>5640</v>
      </c>
      <c r="G1649" s="8" t="s">
        <v>5641</v>
      </c>
      <c r="H1649" s="8"/>
      <c r="I1649" s="8" t="s">
        <v>5642</v>
      </c>
      <c r="J1649" s="8" t="s">
        <v>76</v>
      </c>
      <c r="K1649" s="8" t="s">
        <v>5177</v>
      </c>
      <c r="L1649" s="8" t="s">
        <v>688</v>
      </c>
      <c r="M1649" s="8"/>
      <c r="N1649" s="8" t="s">
        <v>62</v>
      </c>
      <c r="O1649" s="8" t="s">
        <v>63</v>
      </c>
      <c r="P1649" s="4" t="n">
        <v>57</v>
      </c>
      <c r="Q1649" s="8"/>
      <c r="R1649" s="4" t="s">
        <v>5639</v>
      </c>
      <c r="S1649" s="4"/>
    </row>
    <row r="1650" customFormat="false" ht="26.85" hidden="false" customHeight="false" outlineLevel="0" collapsed="false">
      <c r="A1650" s="4" t="s">
        <v>5643</v>
      </c>
      <c r="B1650" s="8" t="s">
        <v>5644</v>
      </c>
      <c r="C1650" s="8"/>
      <c r="D1650" s="8"/>
      <c r="E1650" s="8" t="s">
        <v>68</v>
      </c>
      <c r="F1650" s="8" t="s">
        <v>5645</v>
      </c>
      <c r="G1650" s="8" t="s">
        <v>5646</v>
      </c>
      <c r="H1650" s="8"/>
      <c r="I1650" s="8" t="s">
        <v>5647</v>
      </c>
      <c r="J1650" s="8" t="s">
        <v>76</v>
      </c>
      <c r="K1650" s="8" t="s">
        <v>5177</v>
      </c>
      <c r="L1650" s="8" t="s">
        <v>688</v>
      </c>
      <c r="M1650" s="8"/>
      <c r="N1650" s="8" t="s">
        <v>62</v>
      </c>
      <c r="O1650" s="8" t="s">
        <v>63</v>
      </c>
      <c r="P1650" s="4" t="n">
        <v>57</v>
      </c>
      <c r="Q1650" s="8"/>
      <c r="R1650" s="4" t="s">
        <v>5644</v>
      </c>
      <c r="S1650" s="4"/>
    </row>
    <row r="1651" customFormat="false" ht="26.85" hidden="false" customHeight="false" outlineLevel="0" collapsed="false">
      <c r="A1651" s="4" t="s">
        <v>5648</v>
      </c>
      <c r="B1651" s="8" t="s">
        <v>2206</v>
      </c>
      <c r="C1651" s="8"/>
      <c r="D1651" s="8"/>
      <c r="E1651" s="8" t="s">
        <v>68</v>
      </c>
      <c r="F1651" s="8" t="s">
        <v>2207</v>
      </c>
      <c r="G1651" s="8" t="s">
        <v>2208</v>
      </c>
      <c r="H1651" s="8"/>
      <c r="I1651" s="8" t="s">
        <v>5649</v>
      </c>
      <c r="J1651" s="8" t="s">
        <v>76</v>
      </c>
      <c r="K1651" s="8" t="s">
        <v>5177</v>
      </c>
      <c r="L1651" s="8" t="s">
        <v>688</v>
      </c>
      <c r="M1651" s="8"/>
      <c r="N1651" s="8" t="s">
        <v>62</v>
      </c>
      <c r="O1651" s="8" t="s">
        <v>63</v>
      </c>
      <c r="P1651" s="4" t="n">
        <v>57</v>
      </c>
      <c r="Q1651" s="8"/>
      <c r="R1651" s="4" t="s">
        <v>2206</v>
      </c>
      <c r="S1651" s="4"/>
    </row>
    <row r="1652" customFormat="false" ht="26.85" hidden="false" customHeight="false" outlineLevel="0" collapsed="false">
      <c r="A1652" s="4" t="s">
        <v>5650</v>
      </c>
      <c r="B1652" s="8" t="s">
        <v>2211</v>
      </c>
      <c r="C1652" s="8"/>
      <c r="D1652" s="8"/>
      <c r="E1652" s="8" t="s">
        <v>68</v>
      </c>
      <c r="F1652" s="8" t="s">
        <v>2212</v>
      </c>
      <c r="G1652" s="8" t="s">
        <v>2213</v>
      </c>
      <c r="H1652" s="8"/>
      <c r="I1652" s="8" t="s">
        <v>2214</v>
      </c>
      <c r="J1652" s="8" t="s">
        <v>76</v>
      </c>
      <c r="K1652" s="8" t="s">
        <v>5177</v>
      </c>
      <c r="L1652" s="8" t="s">
        <v>688</v>
      </c>
      <c r="M1652" s="8"/>
      <c r="N1652" s="8" t="s">
        <v>62</v>
      </c>
      <c r="O1652" s="8" t="s">
        <v>63</v>
      </c>
      <c r="P1652" s="4" t="n">
        <v>57</v>
      </c>
      <c r="Q1652" s="8"/>
      <c r="R1652" s="4" t="s">
        <v>2211</v>
      </c>
      <c r="S1652" s="4"/>
    </row>
    <row r="1653" customFormat="false" ht="26.85" hidden="false" customHeight="false" outlineLevel="0" collapsed="false">
      <c r="A1653" s="4" t="s">
        <v>5651</v>
      </c>
      <c r="B1653" s="8" t="s">
        <v>5652</v>
      </c>
      <c r="C1653" s="8"/>
      <c r="D1653" s="8"/>
      <c r="E1653" s="8" t="s">
        <v>68</v>
      </c>
      <c r="F1653" s="8" t="s">
        <v>5653</v>
      </c>
      <c r="G1653" s="8" t="s">
        <v>5654</v>
      </c>
      <c r="H1653" s="8"/>
      <c r="I1653" s="8" t="s">
        <v>5655</v>
      </c>
      <c r="J1653" s="8" t="s">
        <v>76</v>
      </c>
      <c r="K1653" s="8" t="s">
        <v>5177</v>
      </c>
      <c r="L1653" s="8" t="s">
        <v>688</v>
      </c>
      <c r="M1653" s="8"/>
      <c r="N1653" s="8" t="s">
        <v>62</v>
      </c>
      <c r="O1653" s="8" t="s">
        <v>63</v>
      </c>
      <c r="P1653" s="4" t="n">
        <v>57</v>
      </c>
      <c r="Q1653" s="8"/>
      <c r="R1653" s="4" t="s">
        <v>5652</v>
      </c>
      <c r="S1653" s="4" t="n">
        <v>3512</v>
      </c>
    </row>
    <row r="1654" customFormat="false" ht="26.85" hidden="false" customHeight="false" outlineLevel="0" collapsed="false">
      <c r="A1654" s="4" t="s">
        <v>5656</v>
      </c>
      <c r="B1654" s="8" t="s">
        <v>5657</v>
      </c>
      <c r="C1654" s="8"/>
      <c r="D1654" s="8"/>
      <c r="E1654" s="8" t="s">
        <v>68</v>
      </c>
      <c r="F1654" s="8" t="s">
        <v>5658</v>
      </c>
      <c r="G1654" s="8" t="s">
        <v>5659</v>
      </c>
      <c r="H1654" s="8"/>
      <c r="I1654" s="8" t="s">
        <v>5605</v>
      </c>
      <c r="J1654" s="8" t="s">
        <v>76</v>
      </c>
      <c r="K1654" s="8" t="s">
        <v>5177</v>
      </c>
      <c r="L1654" s="8" t="s">
        <v>688</v>
      </c>
      <c r="M1654" s="8"/>
      <c r="N1654" s="8" t="s">
        <v>62</v>
      </c>
      <c r="O1654" s="8" t="s">
        <v>63</v>
      </c>
      <c r="P1654" s="4" t="n">
        <v>57</v>
      </c>
      <c r="Q1654" s="8"/>
      <c r="R1654" s="4" t="s">
        <v>5657</v>
      </c>
      <c r="S1654" s="4"/>
    </row>
    <row r="1655" customFormat="false" ht="26.85" hidden="false" customHeight="false" outlineLevel="0" collapsed="false">
      <c r="A1655" s="4" t="s">
        <v>5660</v>
      </c>
      <c r="B1655" s="8" t="s">
        <v>5661</v>
      </c>
      <c r="C1655" s="8"/>
      <c r="D1655" s="8"/>
      <c r="E1655" s="8" t="s">
        <v>68</v>
      </c>
      <c r="F1655" s="8" t="s">
        <v>5662</v>
      </c>
      <c r="G1655" s="8" t="s">
        <v>5663</v>
      </c>
      <c r="H1655" s="8"/>
      <c r="I1655" s="8" t="s">
        <v>5664</v>
      </c>
      <c r="J1655" s="8" t="s">
        <v>76</v>
      </c>
      <c r="K1655" s="8" t="s">
        <v>5177</v>
      </c>
      <c r="L1655" s="8" t="s">
        <v>688</v>
      </c>
      <c r="M1655" s="8"/>
      <c r="N1655" s="8" t="s">
        <v>62</v>
      </c>
      <c r="O1655" s="8" t="s">
        <v>63</v>
      </c>
      <c r="P1655" s="4" t="n">
        <v>57</v>
      </c>
      <c r="Q1655" s="8"/>
      <c r="R1655" s="4" t="s">
        <v>5661</v>
      </c>
      <c r="S1655" s="4" t="n">
        <v>1157</v>
      </c>
    </row>
    <row r="1656" customFormat="false" ht="26.85" hidden="false" customHeight="false" outlineLevel="0" collapsed="false">
      <c r="A1656" s="4" t="s">
        <v>5665</v>
      </c>
      <c r="B1656" s="8" t="s">
        <v>5666</v>
      </c>
      <c r="C1656" s="8"/>
      <c r="D1656" s="8"/>
      <c r="E1656" s="8" t="s">
        <v>68</v>
      </c>
      <c r="F1656" s="8" t="s">
        <v>5667</v>
      </c>
      <c r="G1656" s="8" t="s">
        <v>5668</v>
      </c>
      <c r="H1656" s="8"/>
      <c r="I1656" s="8" t="s">
        <v>5669</v>
      </c>
      <c r="J1656" s="8" t="s">
        <v>76</v>
      </c>
      <c r="K1656" s="8" t="s">
        <v>5177</v>
      </c>
      <c r="L1656" s="8" t="s">
        <v>688</v>
      </c>
      <c r="M1656" s="8"/>
      <c r="N1656" s="8" t="s">
        <v>62</v>
      </c>
      <c r="O1656" s="8" t="s">
        <v>63</v>
      </c>
      <c r="P1656" s="4" t="n">
        <v>57</v>
      </c>
      <c r="Q1656" s="8"/>
      <c r="R1656" s="4" t="s">
        <v>5666</v>
      </c>
      <c r="S1656" s="4"/>
    </row>
    <row r="1657" customFormat="false" ht="26.85" hidden="false" customHeight="false" outlineLevel="0" collapsed="false">
      <c r="A1657" s="4" t="s">
        <v>5670</v>
      </c>
      <c r="B1657" s="8" t="s">
        <v>5671</v>
      </c>
      <c r="C1657" s="8"/>
      <c r="D1657" s="8"/>
      <c r="E1657" s="8" t="s">
        <v>68</v>
      </c>
      <c r="F1657" s="8" t="s">
        <v>5672</v>
      </c>
      <c r="G1657" s="8" t="s">
        <v>5673</v>
      </c>
      <c r="H1657" s="8"/>
      <c r="I1657" s="8" t="s">
        <v>5674</v>
      </c>
      <c r="J1657" s="8" t="s">
        <v>76</v>
      </c>
      <c r="K1657" s="8" t="s">
        <v>5177</v>
      </c>
      <c r="L1657" s="8" t="s">
        <v>688</v>
      </c>
      <c r="M1657" s="8"/>
      <c r="N1657" s="8" t="s">
        <v>62</v>
      </c>
      <c r="O1657" s="8" t="s">
        <v>63</v>
      </c>
      <c r="P1657" s="4" t="n">
        <v>57</v>
      </c>
      <c r="Q1657" s="8"/>
      <c r="R1657" s="4" t="s">
        <v>5671</v>
      </c>
      <c r="S1657" s="4"/>
    </row>
    <row r="1658" customFormat="false" ht="26.85" hidden="false" customHeight="false" outlineLevel="0" collapsed="false">
      <c r="A1658" s="4" t="s">
        <v>5675</v>
      </c>
      <c r="B1658" s="8" t="s">
        <v>5676</v>
      </c>
      <c r="C1658" s="8"/>
      <c r="D1658" s="8"/>
      <c r="E1658" s="8" t="s">
        <v>68</v>
      </c>
      <c r="F1658" s="8" t="s">
        <v>5677</v>
      </c>
      <c r="G1658" s="8" t="s">
        <v>5678</v>
      </c>
      <c r="H1658" s="8"/>
      <c r="I1658" s="8" t="s">
        <v>5679</v>
      </c>
      <c r="J1658" s="8" t="s">
        <v>76</v>
      </c>
      <c r="K1658" s="8" t="s">
        <v>5177</v>
      </c>
      <c r="L1658" s="8" t="s">
        <v>688</v>
      </c>
      <c r="M1658" s="8"/>
      <c r="N1658" s="8" t="s">
        <v>62</v>
      </c>
      <c r="O1658" s="8" t="s">
        <v>63</v>
      </c>
      <c r="P1658" s="4" t="n">
        <v>57</v>
      </c>
      <c r="Q1658" s="8"/>
      <c r="R1658" s="4" t="s">
        <v>5676</v>
      </c>
      <c r="S1658" s="4"/>
    </row>
    <row r="1659" customFormat="false" ht="26.85" hidden="false" customHeight="false" outlineLevel="0" collapsed="false">
      <c r="A1659" s="4" t="s">
        <v>5680</v>
      </c>
      <c r="B1659" s="8" t="s">
        <v>5681</v>
      </c>
      <c r="C1659" s="8"/>
      <c r="D1659" s="8"/>
      <c r="E1659" s="8" t="s">
        <v>68</v>
      </c>
      <c r="F1659" s="8" t="s">
        <v>5682</v>
      </c>
      <c r="G1659" s="8" t="s">
        <v>5683</v>
      </c>
      <c r="H1659" s="8"/>
      <c r="I1659" s="8" t="s">
        <v>5684</v>
      </c>
      <c r="J1659" s="8" t="s">
        <v>76</v>
      </c>
      <c r="K1659" s="8" t="s">
        <v>5177</v>
      </c>
      <c r="L1659" s="8" t="s">
        <v>688</v>
      </c>
      <c r="M1659" s="8"/>
      <c r="N1659" s="8" t="s">
        <v>62</v>
      </c>
      <c r="O1659" s="8" t="s">
        <v>63</v>
      </c>
      <c r="P1659" s="4" t="n">
        <v>57</v>
      </c>
      <c r="Q1659" s="8"/>
      <c r="R1659" s="4" t="s">
        <v>5681</v>
      </c>
      <c r="S1659" s="4"/>
    </row>
    <row r="1660" customFormat="false" ht="26.85" hidden="false" customHeight="false" outlineLevel="0" collapsed="false">
      <c r="A1660" s="4" t="s">
        <v>5685</v>
      </c>
      <c r="B1660" s="8" t="s">
        <v>5686</v>
      </c>
      <c r="C1660" s="8"/>
      <c r="D1660" s="8"/>
      <c r="E1660" s="8"/>
      <c r="F1660" s="8"/>
      <c r="G1660" s="8"/>
      <c r="H1660" s="8"/>
      <c r="I1660" s="8" t="s">
        <v>5687</v>
      </c>
      <c r="J1660" s="8" t="s">
        <v>76</v>
      </c>
      <c r="K1660" s="8" t="s">
        <v>5177</v>
      </c>
      <c r="L1660" s="8" t="s">
        <v>688</v>
      </c>
      <c r="M1660" s="8"/>
      <c r="N1660" s="8" t="s">
        <v>62</v>
      </c>
      <c r="O1660" s="8" t="s">
        <v>63</v>
      </c>
      <c r="P1660" s="4" t="n">
        <v>57</v>
      </c>
      <c r="Q1660" s="8"/>
      <c r="R1660" s="4" t="s">
        <v>5686</v>
      </c>
      <c r="S1660" s="4"/>
    </row>
    <row r="1661" customFormat="false" ht="26.85" hidden="false" customHeight="false" outlineLevel="0" collapsed="false">
      <c r="A1661" s="4" t="s">
        <v>5688</v>
      </c>
      <c r="B1661" s="8" t="s">
        <v>768</v>
      </c>
      <c r="C1661" s="8"/>
      <c r="D1661" s="8"/>
      <c r="E1661" s="8"/>
      <c r="F1661" s="8"/>
      <c r="G1661" s="8"/>
      <c r="H1661" s="8"/>
      <c r="I1661" s="8" t="s">
        <v>769</v>
      </c>
      <c r="J1661" s="8" t="s">
        <v>76</v>
      </c>
      <c r="K1661" s="8" t="s">
        <v>5177</v>
      </c>
      <c r="L1661" s="8" t="s">
        <v>688</v>
      </c>
      <c r="M1661" s="8"/>
      <c r="N1661" s="8" t="s">
        <v>62</v>
      </c>
      <c r="O1661" s="8" t="s">
        <v>63</v>
      </c>
      <c r="P1661" s="4" t="n">
        <v>57</v>
      </c>
      <c r="Q1661" s="8"/>
      <c r="R1661" s="4" t="s">
        <v>768</v>
      </c>
      <c r="S1661" s="4"/>
    </row>
    <row r="1662" customFormat="false" ht="26.85" hidden="false" customHeight="false" outlineLevel="0" collapsed="false">
      <c r="A1662" s="4" t="s">
        <v>5689</v>
      </c>
      <c r="B1662" s="8" t="s">
        <v>5690</v>
      </c>
      <c r="C1662" s="8"/>
      <c r="D1662" s="8"/>
      <c r="E1662" s="8" t="s">
        <v>68</v>
      </c>
      <c r="F1662" s="8" t="s">
        <v>5691</v>
      </c>
      <c r="G1662" s="8" t="s">
        <v>5692</v>
      </c>
      <c r="H1662" s="8"/>
      <c r="I1662" s="8" t="s">
        <v>5693</v>
      </c>
      <c r="J1662" s="8" t="s">
        <v>76</v>
      </c>
      <c r="K1662" s="8" t="s">
        <v>5177</v>
      </c>
      <c r="L1662" s="8" t="s">
        <v>688</v>
      </c>
      <c r="M1662" s="8"/>
      <c r="N1662" s="8" t="s">
        <v>62</v>
      </c>
      <c r="O1662" s="8" t="s">
        <v>63</v>
      </c>
      <c r="P1662" s="4" t="n">
        <v>57</v>
      </c>
      <c r="Q1662" s="8"/>
      <c r="R1662" s="4" t="s">
        <v>5690</v>
      </c>
      <c r="S1662" s="4"/>
    </row>
    <row r="1663" customFormat="false" ht="26.85" hidden="false" customHeight="false" outlineLevel="0" collapsed="false">
      <c r="A1663" s="4" t="s">
        <v>5694</v>
      </c>
      <c r="B1663" s="8" t="s">
        <v>5695</v>
      </c>
      <c r="C1663" s="8"/>
      <c r="D1663" s="8"/>
      <c r="E1663" s="8" t="s">
        <v>68</v>
      </c>
      <c r="F1663" s="8" t="s">
        <v>5696</v>
      </c>
      <c r="G1663" s="8" t="s">
        <v>5697</v>
      </c>
      <c r="H1663" s="8"/>
      <c r="I1663" s="8" t="s">
        <v>2312</v>
      </c>
      <c r="J1663" s="8" t="s">
        <v>76</v>
      </c>
      <c r="K1663" s="8" t="s">
        <v>5177</v>
      </c>
      <c r="L1663" s="8" t="s">
        <v>688</v>
      </c>
      <c r="M1663" s="8"/>
      <c r="N1663" s="8" t="s">
        <v>62</v>
      </c>
      <c r="O1663" s="8" t="s">
        <v>63</v>
      </c>
      <c r="P1663" s="4" t="n">
        <v>57</v>
      </c>
      <c r="Q1663" s="8"/>
      <c r="R1663" s="4" t="s">
        <v>5695</v>
      </c>
      <c r="S1663" s="4"/>
    </row>
    <row r="1664" customFormat="false" ht="26.85" hidden="false" customHeight="false" outlineLevel="0" collapsed="false">
      <c r="A1664" s="4" t="s">
        <v>5698</v>
      </c>
      <c r="B1664" s="8" t="s">
        <v>5699</v>
      </c>
      <c r="C1664" s="8"/>
      <c r="D1664" s="8"/>
      <c r="E1664" s="8" t="s">
        <v>68</v>
      </c>
      <c r="F1664" s="8" t="s">
        <v>5700</v>
      </c>
      <c r="G1664" s="8" t="s">
        <v>5701</v>
      </c>
      <c r="H1664" s="8"/>
      <c r="I1664" s="8" t="s">
        <v>5702</v>
      </c>
      <c r="J1664" s="8" t="s">
        <v>76</v>
      </c>
      <c r="K1664" s="8" t="s">
        <v>5177</v>
      </c>
      <c r="L1664" s="8" t="s">
        <v>688</v>
      </c>
      <c r="M1664" s="8"/>
      <c r="N1664" s="8" t="s">
        <v>62</v>
      </c>
      <c r="O1664" s="8" t="s">
        <v>63</v>
      </c>
      <c r="P1664" s="4" t="n">
        <v>57</v>
      </c>
      <c r="Q1664" s="8"/>
      <c r="R1664" s="4" t="s">
        <v>5699</v>
      </c>
      <c r="S1664" s="4"/>
    </row>
    <row r="1665" customFormat="false" ht="26.85" hidden="false" customHeight="false" outlineLevel="0" collapsed="false">
      <c r="A1665" s="4" t="s">
        <v>5703</v>
      </c>
      <c r="B1665" s="8" t="s">
        <v>5704</v>
      </c>
      <c r="C1665" s="8"/>
      <c r="D1665" s="8"/>
      <c r="E1665" s="8" t="s">
        <v>68</v>
      </c>
      <c r="F1665" s="8" t="s">
        <v>5705</v>
      </c>
      <c r="G1665" s="8" t="s">
        <v>5706</v>
      </c>
      <c r="H1665" s="8"/>
      <c r="I1665" s="8" t="s">
        <v>5707</v>
      </c>
      <c r="J1665" s="8" t="s">
        <v>76</v>
      </c>
      <c r="K1665" s="8" t="s">
        <v>5177</v>
      </c>
      <c r="L1665" s="8" t="s">
        <v>688</v>
      </c>
      <c r="M1665" s="8"/>
      <c r="N1665" s="8" t="s">
        <v>62</v>
      </c>
      <c r="O1665" s="8" t="s">
        <v>63</v>
      </c>
      <c r="P1665" s="4" t="n">
        <v>57</v>
      </c>
      <c r="Q1665" s="8"/>
      <c r="R1665" s="4" t="s">
        <v>5704</v>
      </c>
      <c r="S1665" s="4"/>
    </row>
    <row r="1666" customFormat="false" ht="26.85" hidden="false" customHeight="false" outlineLevel="0" collapsed="false">
      <c r="A1666" s="4" t="s">
        <v>5708</v>
      </c>
      <c r="B1666" s="8" t="s">
        <v>5709</v>
      </c>
      <c r="C1666" s="8"/>
      <c r="D1666" s="8"/>
      <c r="E1666" s="8" t="s">
        <v>68</v>
      </c>
      <c r="F1666" s="8" t="s">
        <v>5710</v>
      </c>
      <c r="G1666" s="8" t="s">
        <v>5711</v>
      </c>
      <c r="H1666" s="8"/>
      <c r="I1666" s="8" t="s">
        <v>5712</v>
      </c>
      <c r="J1666" s="8" t="s">
        <v>76</v>
      </c>
      <c r="K1666" s="8" t="s">
        <v>5177</v>
      </c>
      <c r="L1666" s="8" t="s">
        <v>688</v>
      </c>
      <c r="M1666" s="8"/>
      <c r="N1666" s="8" t="s">
        <v>62</v>
      </c>
      <c r="O1666" s="8" t="s">
        <v>63</v>
      </c>
      <c r="P1666" s="4" t="n">
        <v>57</v>
      </c>
      <c r="Q1666" s="8"/>
      <c r="R1666" s="4" t="s">
        <v>5709</v>
      </c>
      <c r="S1666" s="4"/>
    </row>
    <row r="1667" customFormat="false" ht="26.85" hidden="false" customHeight="false" outlineLevel="0" collapsed="false">
      <c r="A1667" s="4" t="s">
        <v>5713</v>
      </c>
      <c r="B1667" s="8" t="s">
        <v>5714</v>
      </c>
      <c r="C1667" s="8"/>
      <c r="D1667" s="8"/>
      <c r="E1667" s="8" t="s">
        <v>68</v>
      </c>
      <c r="F1667" s="8" t="s">
        <v>5715</v>
      </c>
      <c r="G1667" s="8" t="s">
        <v>5716</v>
      </c>
      <c r="H1667" s="8"/>
      <c r="I1667" s="8" t="s">
        <v>5717</v>
      </c>
      <c r="J1667" s="8" t="s">
        <v>76</v>
      </c>
      <c r="K1667" s="8" t="s">
        <v>5177</v>
      </c>
      <c r="L1667" s="8" t="s">
        <v>688</v>
      </c>
      <c r="M1667" s="8"/>
      <c r="N1667" s="8" t="s">
        <v>62</v>
      </c>
      <c r="O1667" s="8" t="s">
        <v>63</v>
      </c>
      <c r="P1667" s="4" t="n">
        <v>57</v>
      </c>
      <c r="Q1667" s="8"/>
      <c r="R1667" s="4" t="s">
        <v>5714</v>
      </c>
      <c r="S1667" s="4"/>
    </row>
    <row r="1668" customFormat="false" ht="26.85" hidden="false" customHeight="false" outlineLevel="0" collapsed="false">
      <c r="A1668" s="4" t="s">
        <v>5718</v>
      </c>
      <c r="B1668" s="8" t="s">
        <v>5719</v>
      </c>
      <c r="C1668" s="8"/>
      <c r="D1668" s="8"/>
      <c r="E1668" s="8" t="s">
        <v>68</v>
      </c>
      <c r="F1668" s="8" t="s">
        <v>5720</v>
      </c>
      <c r="G1668" s="8" t="s">
        <v>5721</v>
      </c>
      <c r="H1668" s="8"/>
      <c r="I1668" s="8" t="s">
        <v>5722</v>
      </c>
      <c r="J1668" s="8" t="s">
        <v>76</v>
      </c>
      <c r="K1668" s="8" t="s">
        <v>5177</v>
      </c>
      <c r="L1668" s="8" t="s">
        <v>688</v>
      </c>
      <c r="M1668" s="8"/>
      <c r="N1668" s="8" t="s">
        <v>62</v>
      </c>
      <c r="O1668" s="8" t="s">
        <v>63</v>
      </c>
      <c r="P1668" s="4" t="n">
        <v>57</v>
      </c>
      <c r="Q1668" s="8"/>
      <c r="R1668" s="4" t="s">
        <v>5719</v>
      </c>
      <c r="S1668" s="4"/>
    </row>
    <row r="1669" customFormat="false" ht="26.85" hidden="false" customHeight="false" outlineLevel="0" collapsed="false">
      <c r="A1669" s="4" t="s">
        <v>5723</v>
      </c>
      <c r="B1669" s="8" t="s">
        <v>5724</v>
      </c>
      <c r="C1669" s="8"/>
      <c r="D1669" s="8"/>
      <c r="E1669" s="8" t="s">
        <v>68</v>
      </c>
      <c r="F1669" s="8" t="s">
        <v>5725</v>
      </c>
      <c r="G1669" s="8" t="s">
        <v>5726</v>
      </c>
      <c r="H1669" s="8"/>
      <c r="I1669" s="8"/>
      <c r="J1669" s="8" t="s">
        <v>76</v>
      </c>
      <c r="K1669" s="8" t="s">
        <v>5177</v>
      </c>
      <c r="L1669" s="8" t="s">
        <v>688</v>
      </c>
      <c r="M1669" s="8"/>
      <c r="N1669" s="8" t="s">
        <v>62</v>
      </c>
      <c r="O1669" s="8" t="s">
        <v>63</v>
      </c>
      <c r="P1669" s="4" t="n">
        <v>57</v>
      </c>
      <c r="Q1669" s="8" t="s">
        <v>1153</v>
      </c>
      <c r="R1669" s="4" t="s">
        <v>5724</v>
      </c>
      <c r="S1669" s="4"/>
    </row>
    <row r="1670" customFormat="false" ht="26.85" hidden="false" customHeight="false" outlineLevel="0" collapsed="false">
      <c r="A1670" s="4" t="s">
        <v>5727</v>
      </c>
      <c r="B1670" s="8" t="s">
        <v>5728</v>
      </c>
      <c r="C1670" s="8"/>
      <c r="D1670" s="8"/>
      <c r="E1670" s="8" t="s">
        <v>68</v>
      </c>
      <c r="F1670" s="8" t="s">
        <v>5729</v>
      </c>
      <c r="G1670" s="8" t="s">
        <v>5730</v>
      </c>
      <c r="H1670" s="8"/>
      <c r="I1670" s="8" t="s">
        <v>5731</v>
      </c>
      <c r="J1670" s="8" t="s">
        <v>76</v>
      </c>
      <c r="K1670" s="8" t="s">
        <v>5177</v>
      </c>
      <c r="L1670" s="8" t="s">
        <v>688</v>
      </c>
      <c r="M1670" s="8"/>
      <c r="N1670" s="8" t="s">
        <v>62</v>
      </c>
      <c r="O1670" s="8" t="s">
        <v>63</v>
      </c>
      <c r="P1670" s="4" t="n">
        <v>57</v>
      </c>
      <c r="Q1670" s="8"/>
      <c r="R1670" s="4" t="s">
        <v>5728</v>
      </c>
      <c r="S1670" s="4"/>
    </row>
    <row r="1671" customFormat="false" ht="26.85" hidden="false" customHeight="false" outlineLevel="0" collapsed="false">
      <c r="A1671" s="4" t="s">
        <v>5732</v>
      </c>
      <c r="B1671" s="8" t="s">
        <v>5733</v>
      </c>
      <c r="C1671" s="8"/>
      <c r="D1671" s="8"/>
      <c r="E1671" s="8" t="s">
        <v>68</v>
      </c>
      <c r="F1671" s="8" t="s">
        <v>5734</v>
      </c>
      <c r="G1671" s="8" t="s">
        <v>5735</v>
      </c>
      <c r="H1671" s="8"/>
      <c r="I1671" s="8" t="s">
        <v>5736</v>
      </c>
      <c r="J1671" s="8" t="s">
        <v>76</v>
      </c>
      <c r="K1671" s="8" t="s">
        <v>5177</v>
      </c>
      <c r="L1671" s="8" t="s">
        <v>688</v>
      </c>
      <c r="M1671" s="8"/>
      <c r="N1671" s="8" t="s">
        <v>62</v>
      </c>
      <c r="O1671" s="8" t="s">
        <v>63</v>
      </c>
      <c r="P1671" s="4" t="n">
        <v>57</v>
      </c>
      <c r="Q1671" s="8"/>
      <c r="R1671" s="4" t="s">
        <v>5733</v>
      </c>
      <c r="S1671" s="4"/>
    </row>
    <row r="1672" customFormat="false" ht="26.85" hidden="false" customHeight="false" outlineLevel="0" collapsed="false">
      <c r="A1672" s="4" t="s">
        <v>5737</v>
      </c>
      <c r="B1672" s="8" t="s">
        <v>5738</v>
      </c>
      <c r="C1672" s="8"/>
      <c r="D1672" s="8"/>
      <c r="E1672" s="8" t="s">
        <v>68</v>
      </c>
      <c r="F1672" s="8" t="s">
        <v>5739</v>
      </c>
      <c r="G1672" s="8" t="s">
        <v>5740</v>
      </c>
      <c r="H1672" s="8"/>
      <c r="I1672" s="8" t="s">
        <v>5741</v>
      </c>
      <c r="J1672" s="8" t="s">
        <v>76</v>
      </c>
      <c r="K1672" s="8" t="s">
        <v>5177</v>
      </c>
      <c r="L1672" s="8" t="s">
        <v>688</v>
      </c>
      <c r="M1672" s="8"/>
      <c r="N1672" s="8" t="s">
        <v>62</v>
      </c>
      <c r="O1672" s="8" t="s">
        <v>63</v>
      </c>
      <c r="P1672" s="4" t="n">
        <v>57</v>
      </c>
      <c r="Q1672" s="8"/>
      <c r="R1672" s="4" t="s">
        <v>5738</v>
      </c>
      <c r="S1672" s="4"/>
    </row>
    <row r="1673" customFormat="false" ht="26.85" hidden="false" customHeight="false" outlineLevel="0" collapsed="false">
      <c r="A1673" s="4" t="s">
        <v>5742</v>
      </c>
      <c r="B1673" s="8" t="s">
        <v>5743</v>
      </c>
      <c r="C1673" s="8"/>
      <c r="D1673" s="8"/>
      <c r="E1673" s="8" t="s">
        <v>68</v>
      </c>
      <c r="F1673" s="8" t="s">
        <v>5744</v>
      </c>
      <c r="G1673" s="8" t="s">
        <v>5745</v>
      </c>
      <c r="H1673" s="8"/>
      <c r="I1673" s="8" t="s">
        <v>5746</v>
      </c>
      <c r="J1673" s="8" t="s">
        <v>76</v>
      </c>
      <c r="K1673" s="8" t="s">
        <v>5177</v>
      </c>
      <c r="L1673" s="8" t="s">
        <v>688</v>
      </c>
      <c r="M1673" s="8"/>
      <c r="N1673" s="8" t="s">
        <v>62</v>
      </c>
      <c r="O1673" s="8" t="s">
        <v>63</v>
      </c>
      <c r="P1673" s="4" t="n">
        <v>57</v>
      </c>
      <c r="Q1673" s="8"/>
      <c r="R1673" s="4" t="s">
        <v>5743</v>
      </c>
      <c r="S1673" s="4"/>
    </row>
    <row r="1674" customFormat="false" ht="26.85" hidden="false" customHeight="false" outlineLevel="0" collapsed="false">
      <c r="A1674" s="4" t="s">
        <v>5747</v>
      </c>
      <c r="B1674" s="8" t="s">
        <v>5748</v>
      </c>
      <c r="C1674" s="8"/>
      <c r="D1674" s="8"/>
      <c r="E1674" s="8"/>
      <c r="F1674" s="8"/>
      <c r="G1674" s="8"/>
      <c r="H1674" s="8"/>
      <c r="I1674" s="8" t="s">
        <v>5749</v>
      </c>
      <c r="J1674" s="8" t="s">
        <v>76</v>
      </c>
      <c r="K1674" s="8" t="s">
        <v>5177</v>
      </c>
      <c r="L1674" s="8" t="s">
        <v>688</v>
      </c>
      <c r="M1674" s="8"/>
      <c r="N1674" s="8" t="s">
        <v>62</v>
      </c>
      <c r="O1674" s="8" t="s">
        <v>63</v>
      </c>
      <c r="P1674" s="4" t="n">
        <v>57</v>
      </c>
      <c r="Q1674" s="8"/>
      <c r="R1674" s="4" t="s">
        <v>5748</v>
      </c>
      <c r="S1674" s="4"/>
    </row>
    <row r="1675" customFormat="false" ht="26.85" hidden="false" customHeight="false" outlineLevel="0" collapsed="false">
      <c r="A1675" s="4" t="s">
        <v>5750</v>
      </c>
      <c r="B1675" s="8" t="s">
        <v>5751</v>
      </c>
      <c r="C1675" s="8"/>
      <c r="D1675" s="8"/>
      <c r="E1675" s="8" t="s">
        <v>68</v>
      </c>
      <c r="F1675" s="8" t="s">
        <v>5752</v>
      </c>
      <c r="G1675" s="8" t="s">
        <v>5753</v>
      </c>
      <c r="H1675" s="8"/>
      <c r="I1675" s="8" t="s">
        <v>5754</v>
      </c>
      <c r="J1675" s="8" t="s">
        <v>76</v>
      </c>
      <c r="K1675" s="8" t="s">
        <v>5177</v>
      </c>
      <c r="L1675" s="8" t="s">
        <v>688</v>
      </c>
      <c r="M1675" s="8"/>
      <c r="N1675" s="8" t="s">
        <v>62</v>
      </c>
      <c r="O1675" s="8" t="s">
        <v>63</v>
      </c>
      <c r="P1675" s="4" t="n">
        <v>57</v>
      </c>
      <c r="Q1675" s="8"/>
      <c r="R1675" s="4" t="s">
        <v>5751</v>
      </c>
      <c r="S1675" s="4" t="n">
        <v>1935</v>
      </c>
    </row>
    <row r="1676" customFormat="false" ht="26.85" hidden="false" customHeight="false" outlineLevel="0" collapsed="false">
      <c r="A1676" s="4" t="s">
        <v>5755</v>
      </c>
      <c r="B1676" s="8" t="s">
        <v>5756</v>
      </c>
      <c r="C1676" s="8"/>
      <c r="D1676" s="8"/>
      <c r="E1676" s="8" t="s">
        <v>68</v>
      </c>
      <c r="F1676" s="8" t="s">
        <v>5757</v>
      </c>
      <c r="G1676" s="8" t="s">
        <v>5758</v>
      </c>
      <c r="H1676" s="8"/>
      <c r="I1676" s="8" t="s">
        <v>5759</v>
      </c>
      <c r="J1676" s="8" t="s">
        <v>76</v>
      </c>
      <c r="K1676" s="8" t="s">
        <v>5177</v>
      </c>
      <c r="L1676" s="8" t="s">
        <v>688</v>
      </c>
      <c r="M1676" s="8"/>
      <c r="N1676" s="8" t="s">
        <v>62</v>
      </c>
      <c r="O1676" s="8" t="s">
        <v>63</v>
      </c>
      <c r="P1676" s="4" t="n">
        <v>57</v>
      </c>
      <c r="Q1676" s="8"/>
      <c r="R1676" s="4" t="s">
        <v>5756</v>
      </c>
      <c r="S1676" s="4"/>
    </row>
    <row r="1677" customFormat="false" ht="26.85" hidden="false" customHeight="false" outlineLevel="0" collapsed="false">
      <c r="A1677" s="4" t="s">
        <v>5760</v>
      </c>
      <c r="B1677" s="8" t="s">
        <v>5761</v>
      </c>
      <c r="C1677" s="8"/>
      <c r="D1677" s="8"/>
      <c r="E1677" s="8" t="s">
        <v>68</v>
      </c>
      <c r="F1677" s="8" t="s">
        <v>5762</v>
      </c>
      <c r="G1677" s="8" t="s">
        <v>5763</v>
      </c>
      <c r="H1677" s="8"/>
      <c r="I1677" s="8" t="s">
        <v>5764</v>
      </c>
      <c r="J1677" s="8" t="s">
        <v>76</v>
      </c>
      <c r="K1677" s="8" t="s">
        <v>5177</v>
      </c>
      <c r="L1677" s="8" t="s">
        <v>688</v>
      </c>
      <c r="M1677" s="8"/>
      <c r="N1677" s="8" t="s">
        <v>62</v>
      </c>
      <c r="O1677" s="8" t="s">
        <v>63</v>
      </c>
      <c r="P1677" s="4" t="n">
        <v>57</v>
      </c>
      <c r="Q1677" s="8"/>
      <c r="R1677" s="4" t="s">
        <v>5761</v>
      </c>
      <c r="S1677" s="4"/>
    </row>
    <row r="1678" customFormat="false" ht="26.85" hidden="false" customHeight="false" outlineLevel="0" collapsed="false">
      <c r="A1678" s="4" t="s">
        <v>5765</v>
      </c>
      <c r="B1678" s="8" t="s">
        <v>2328</v>
      </c>
      <c r="C1678" s="8"/>
      <c r="D1678" s="8"/>
      <c r="E1678" s="8" t="s">
        <v>68</v>
      </c>
      <c r="F1678" s="8" t="s">
        <v>2329</v>
      </c>
      <c r="G1678" s="8" t="s">
        <v>2330</v>
      </c>
      <c r="H1678" s="8"/>
      <c r="I1678" s="8" t="s">
        <v>2472</v>
      </c>
      <c r="J1678" s="8" t="s">
        <v>76</v>
      </c>
      <c r="K1678" s="8" t="s">
        <v>5177</v>
      </c>
      <c r="L1678" s="8" t="s">
        <v>688</v>
      </c>
      <c r="M1678" s="8"/>
      <c r="N1678" s="8" t="s">
        <v>62</v>
      </c>
      <c r="O1678" s="8" t="s">
        <v>63</v>
      </c>
      <c r="P1678" s="4" t="n">
        <v>58</v>
      </c>
      <c r="Q1678" s="8"/>
      <c r="R1678" s="4" t="s">
        <v>2328</v>
      </c>
      <c r="S1678" s="4" t="n">
        <v>646</v>
      </c>
    </row>
    <row r="1679" customFormat="false" ht="26.85" hidden="false" customHeight="false" outlineLevel="0" collapsed="false">
      <c r="A1679" s="4" t="s">
        <v>5766</v>
      </c>
      <c r="B1679" s="8" t="s">
        <v>5767</v>
      </c>
      <c r="C1679" s="8"/>
      <c r="D1679" s="8"/>
      <c r="E1679" s="8" t="s">
        <v>68</v>
      </c>
      <c r="F1679" s="8" t="s">
        <v>5768</v>
      </c>
      <c r="G1679" s="8" t="s">
        <v>5769</v>
      </c>
      <c r="H1679" s="8"/>
      <c r="I1679" s="8" t="s">
        <v>5770</v>
      </c>
      <c r="J1679" s="8" t="s">
        <v>76</v>
      </c>
      <c r="K1679" s="8" t="s">
        <v>5177</v>
      </c>
      <c r="L1679" s="8" t="s">
        <v>688</v>
      </c>
      <c r="M1679" s="8"/>
      <c r="N1679" s="8" t="s">
        <v>62</v>
      </c>
      <c r="O1679" s="8" t="s">
        <v>63</v>
      </c>
      <c r="P1679" s="4" t="n">
        <v>58</v>
      </c>
      <c r="Q1679" s="8"/>
      <c r="R1679" s="4" t="s">
        <v>5767</v>
      </c>
      <c r="S1679" s="4" t="n">
        <v>1071</v>
      </c>
    </row>
    <row r="1680" customFormat="false" ht="26.85" hidden="false" customHeight="false" outlineLevel="0" collapsed="false">
      <c r="A1680" s="4" t="s">
        <v>5771</v>
      </c>
      <c r="B1680" s="8" t="s">
        <v>5772</v>
      </c>
      <c r="C1680" s="8"/>
      <c r="D1680" s="8"/>
      <c r="E1680" s="8" t="s">
        <v>68</v>
      </c>
      <c r="F1680" s="8" t="s">
        <v>5773</v>
      </c>
      <c r="G1680" s="8" t="s">
        <v>5774</v>
      </c>
      <c r="H1680" s="8"/>
      <c r="I1680" s="8" t="s">
        <v>5775</v>
      </c>
      <c r="J1680" s="8" t="s">
        <v>76</v>
      </c>
      <c r="K1680" s="8" t="s">
        <v>5177</v>
      </c>
      <c r="L1680" s="8" t="s">
        <v>688</v>
      </c>
      <c r="M1680" s="8"/>
      <c r="N1680" s="8" t="s">
        <v>62</v>
      </c>
      <c r="O1680" s="8" t="s">
        <v>63</v>
      </c>
      <c r="P1680" s="4" t="n">
        <v>58</v>
      </c>
      <c r="Q1680" s="8"/>
      <c r="R1680" s="4" t="s">
        <v>5772</v>
      </c>
      <c r="S1680" s="4"/>
    </row>
    <row r="1681" customFormat="false" ht="26.85" hidden="false" customHeight="false" outlineLevel="0" collapsed="false">
      <c r="A1681" s="4" t="s">
        <v>5776</v>
      </c>
      <c r="B1681" s="8" t="s">
        <v>5777</v>
      </c>
      <c r="C1681" s="8"/>
      <c r="D1681" s="8"/>
      <c r="E1681" s="8"/>
      <c r="F1681" s="8"/>
      <c r="G1681" s="8"/>
      <c r="H1681" s="8"/>
      <c r="I1681" s="8" t="s">
        <v>5778</v>
      </c>
      <c r="J1681" s="8" t="s">
        <v>76</v>
      </c>
      <c r="K1681" s="8" t="s">
        <v>5779</v>
      </c>
      <c r="L1681" s="8"/>
      <c r="M1681" s="8"/>
      <c r="N1681" s="8" t="s">
        <v>62</v>
      </c>
      <c r="O1681" s="8" t="s">
        <v>63</v>
      </c>
      <c r="P1681" s="4" t="n">
        <v>58</v>
      </c>
      <c r="Q1681" s="8"/>
      <c r="R1681" s="4" t="s">
        <v>5777</v>
      </c>
      <c r="S1681" s="4"/>
    </row>
    <row r="1682" customFormat="false" ht="26.85" hidden="false" customHeight="false" outlineLevel="0" collapsed="false">
      <c r="A1682" s="4" t="s">
        <v>5780</v>
      </c>
      <c r="B1682" s="8" t="s">
        <v>5781</v>
      </c>
      <c r="C1682" s="8" t="s">
        <v>58</v>
      </c>
      <c r="D1682" s="8"/>
      <c r="E1682" s="8" t="s">
        <v>60</v>
      </c>
      <c r="F1682" s="8"/>
      <c r="G1682" s="8"/>
      <c r="H1682" s="8"/>
      <c r="I1682" s="8" t="s">
        <v>5782</v>
      </c>
      <c r="J1682" s="8" t="s">
        <v>76</v>
      </c>
      <c r="K1682" s="8" t="s">
        <v>5779</v>
      </c>
      <c r="L1682" s="8"/>
      <c r="M1682" s="8"/>
      <c r="N1682" s="8" t="s">
        <v>62</v>
      </c>
      <c r="O1682" s="8" t="s">
        <v>63</v>
      </c>
      <c r="P1682" s="4" t="n">
        <v>58</v>
      </c>
      <c r="Q1682" s="8"/>
      <c r="R1682" s="4" t="s">
        <v>5783</v>
      </c>
      <c r="S1682" s="4"/>
    </row>
    <row r="1683" customFormat="false" ht="26.85" hidden="false" customHeight="false" outlineLevel="0" collapsed="false">
      <c r="A1683" s="4" t="s">
        <v>5784</v>
      </c>
      <c r="B1683" s="8" t="s">
        <v>5785</v>
      </c>
      <c r="C1683" s="8"/>
      <c r="D1683" s="8"/>
      <c r="E1683" s="8"/>
      <c r="F1683" s="8"/>
      <c r="G1683" s="8"/>
      <c r="H1683" s="8"/>
      <c r="I1683" s="8" t="s">
        <v>5786</v>
      </c>
      <c r="J1683" s="8" t="s">
        <v>76</v>
      </c>
      <c r="K1683" s="8" t="s">
        <v>5779</v>
      </c>
      <c r="L1683" s="8"/>
      <c r="M1683" s="8"/>
      <c r="N1683" s="8" t="s">
        <v>62</v>
      </c>
      <c r="O1683" s="8" t="s">
        <v>63</v>
      </c>
      <c r="P1683" s="4" t="n">
        <v>58</v>
      </c>
      <c r="Q1683" s="8"/>
      <c r="R1683" s="4" t="s">
        <v>5785</v>
      </c>
      <c r="S1683" s="4"/>
    </row>
    <row r="1684" customFormat="false" ht="26.85" hidden="false" customHeight="false" outlineLevel="0" collapsed="false">
      <c r="A1684" s="4" t="s">
        <v>5787</v>
      </c>
      <c r="B1684" s="8" t="s">
        <v>5788</v>
      </c>
      <c r="C1684" s="8" t="s">
        <v>58</v>
      </c>
      <c r="D1684" s="8"/>
      <c r="E1684" s="8" t="s">
        <v>60</v>
      </c>
      <c r="F1684" s="8"/>
      <c r="G1684" s="8"/>
      <c r="H1684" s="8"/>
      <c r="I1684" s="8" t="s">
        <v>5789</v>
      </c>
      <c r="J1684" s="8" t="s">
        <v>76</v>
      </c>
      <c r="K1684" s="8" t="s">
        <v>5779</v>
      </c>
      <c r="L1684" s="8"/>
      <c r="M1684" s="8"/>
      <c r="N1684" s="8" t="s">
        <v>62</v>
      </c>
      <c r="O1684" s="8" t="s">
        <v>63</v>
      </c>
      <c r="P1684" s="4" t="n">
        <v>58</v>
      </c>
      <c r="Q1684" s="8"/>
      <c r="R1684" s="4" t="s">
        <v>5790</v>
      </c>
      <c r="S1684" s="4"/>
    </row>
    <row r="1685" customFormat="false" ht="26.85" hidden="false" customHeight="false" outlineLevel="0" collapsed="false">
      <c r="A1685" s="4" t="s">
        <v>5791</v>
      </c>
      <c r="B1685" s="8" t="s">
        <v>5792</v>
      </c>
      <c r="C1685" s="8" t="s">
        <v>58</v>
      </c>
      <c r="D1685" s="8"/>
      <c r="E1685" s="8" t="s">
        <v>60</v>
      </c>
      <c r="F1685" s="8"/>
      <c r="G1685" s="8"/>
      <c r="H1685" s="8"/>
      <c r="I1685" s="8" t="s">
        <v>5793</v>
      </c>
      <c r="J1685" s="8" t="s">
        <v>76</v>
      </c>
      <c r="K1685" s="8" t="s">
        <v>5779</v>
      </c>
      <c r="L1685" s="8"/>
      <c r="M1685" s="8"/>
      <c r="N1685" s="8" t="s">
        <v>62</v>
      </c>
      <c r="O1685" s="8" t="s">
        <v>63</v>
      </c>
      <c r="P1685" s="4" t="n">
        <v>58</v>
      </c>
      <c r="Q1685" s="8"/>
      <c r="R1685" s="4" t="s">
        <v>5794</v>
      </c>
      <c r="S1685" s="4"/>
    </row>
    <row r="1686" customFormat="false" ht="26.85" hidden="false" customHeight="false" outlineLevel="0" collapsed="false">
      <c r="A1686" s="4" t="s">
        <v>5795</v>
      </c>
      <c r="B1686" s="8" t="s">
        <v>5796</v>
      </c>
      <c r="C1686" s="8"/>
      <c r="D1686" s="8"/>
      <c r="E1686" s="8"/>
      <c r="F1686" s="8"/>
      <c r="G1686" s="8"/>
      <c r="H1686" s="8"/>
      <c r="I1686" s="8" t="s">
        <v>5797</v>
      </c>
      <c r="J1686" s="8" t="s">
        <v>76</v>
      </c>
      <c r="K1686" s="8" t="s">
        <v>5779</v>
      </c>
      <c r="L1686" s="8"/>
      <c r="M1686" s="8"/>
      <c r="N1686" s="8" t="s">
        <v>62</v>
      </c>
      <c r="O1686" s="8" t="s">
        <v>63</v>
      </c>
      <c r="P1686" s="4" t="n">
        <v>58</v>
      </c>
      <c r="Q1686" s="8"/>
      <c r="R1686" s="4" t="s">
        <v>5796</v>
      </c>
      <c r="S1686" s="4"/>
    </row>
    <row r="1687" customFormat="false" ht="26.85" hidden="false" customHeight="false" outlineLevel="0" collapsed="false">
      <c r="A1687" s="4" t="s">
        <v>5798</v>
      </c>
      <c r="B1687" s="8" t="s">
        <v>5799</v>
      </c>
      <c r="C1687" s="8"/>
      <c r="D1687" s="8"/>
      <c r="E1687" s="8"/>
      <c r="F1687" s="8"/>
      <c r="G1687" s="8"/>
      <c r="H1687" s="8"/>
      <c r="I1687" s="8" t="s">
        <v>5800</v>
      </c>
      <c r="J1687" s="8" t="s">
        <v>76</v>
      </c>
      <c r="K1687" s="8" t="s">
        <v>5779</v>
      </c>
      <c r="L1687" s="8"/>
      <c r="M1687" s="8"/>
      <c r="N1687" s="8" t="s">
        <v>62</v>
      </c>
      <c r="O1687" s="8" t="s">
        <v>63</v>
      </c>
      <c r="P1687" s="4" t="n">
        <v>58</v>
      </c>
      <c r="Q1687" s="8"/>
      <c r="R1687" s="4" t="s">
        <v>5799</v>
      </c>
      <c r="S1687" s="4"/>
    </row>
    <row r="1688" customFormat="false" ht="26.85" hidden="false" customHeight="false" outlineLevel="0" collapsed="false">
      <c r="A1688" s="4" t="s">
        <v>5801</v>
      </c>
      <c r="B1688" s="8" t="s">
        <v>5802</v>
      </c>
      <c r="C1688" s="8"/>
      <c r="D1688" s="8"/>
      <c r="E1688" s="8"/>
      <c r="F1688" s="8"/>
      <c r="G1688" s="8"/>
      <c r="H1688" s="8"/>
      <c r="I1688" s="8" t="s">
        <v>5803</v>
      </c>
      <c r="J1688" s="8" t="s">
        <v>76</v>
      </c>
      <c r="K1688" s="8" t="s">
        <v>5779</v>
      </c>
      <c r="L1688" s="8"/>
      <c r="M1688" s="8"/>
      <c r="N1688" s="8" t="s">
        <v>62</v>
      </c>
      <c r="O1688" s="8" t="s">
        <v>63</v>
      </c>
      <c r="P1688" s="4" t="n">
        <v>58</v>
      </c>
      <c r="Q1688" s="8"/>
      <c r="R1688" s="4" t="s">
        <v>5802</v>
      </c>
      <c r="S1688" s="4"/>
    </row>
    <row r="1689" customFormat="false" ht="26.85" hidden="false" customHeight="false" outlineLevel="0" collapsed="false">
      <c r="A1689" s="4" t="s">
        <v>5804</v>
      </c>
      <c r="B1689" s="8" t="s">
        <v>5805</v>
      </c>
      <c r="C1689" s="8" t="s">
        <v>58</v>
      </c>
      <c r="D1689" s="8"/>
      <c r="E1689" s="8" t="s">
        <v>60</v>
      </c>
      <c r="F1689" s="8"/>
      <c r="G1689" s="8"/>
      <c r="H1689" s="8"/>
      <c r="I1689" s="8" t="s">
        <v>5806</v>
      </c>
      <c r="J1689" s="8" t="s">
        <v>76</v>
      </c>
      <c r="K1689" s="8" t="s">
        <v>5779</v>
      </c>
      <c r="L1689" s="8"/>
      <c r="M1689" s="8"/>
      <c r="N1689" s="8" t="s">
        <v>62</v>
      </c>
      <c r="O1689" s="8" t="s">
        <v>63</v>
      </c>
      <c r="P1689" s="4" t="n">
        <v>58</v>
      </c>
      <c r="Q1689" s="8"/>
      <c r="R1689" s="4" t="s">
        <v>5807</v>
      </c>
      <c r="S1689" s="4"/>
    </row>
    <row r="1690" customFormat="false" ht="26.85" hidden="false" customHeight="false" outlineLevel="0" collapsed="false">
      <c r="A1690" s="4" t="s">
        <v>5808</v>
      </c>
      <c r="B1690" s="8" t="s">
        <v>5809</v>
      </c>
      <c r="C1690" s="8" t="s">
        <v>58</v>
      </c>
      <c r="D1690" s="8"/>
      <c r="E1690" s="8" t="s">
        <v>60</v>
      </c>
      <c r="F1690" s="8"/>
      <c r="G1690" s="8"/>
      <c r="H1690" s="8"/>
      <c r="I1690" s="8" t="s">
        <v>5810</v>
      </c>
      <c r="J1690" s="8" t="s">
        <v>76</v>
      </c>
      <c r="K1690" s="8" t="s">
        <v>5779</v>
      </c>
      <c r="L1690" s="8"/>
      <c r="M1690" s="8"/>
      <c r="N1690" s="8" t="s">
        <v>62</v>
      </c>
      <c r="O1690" s="8" t="s">
        <v>63</v>
      </c>
      <c r="P1690" s="4" t="n">
        <v>58</v>
      </c>
      <c r="Q1690" s="8"/>
      <c r="R1690" s="4" t="s">
        <v>5811</v>
      </c>
      <c r="S1690" s="4"/>
    </row>
    <row r="1691" customFormat="false" ht="26.85" hidden="false" customHeight="false" outlineLevel="0" collapsed="false">
      <c r="A1691" s="4" t="s">
        <v>5812</v>
      </c>
      <c r="B1691" s="8" t="s">
        <v>5317</v>
      </c>
      <c r="C1691" s="8"/>
      <c r="D1691" s="8"/>
      <c r="E1691" s="8"/>
      <c r="F1691" s="8"/>
      <c r="G1691" s="8"/>
      <c r="H1691" s="8"/>
      <c r="I1691" s="8" t="s">
        <v>5318</v>
      </c>
      <c r="J1691" s="8" t="s">
        <v>76</v>
      </c>
      <c r="K1691" s="8" t="s">
        <v>5779</v>
      </c>
      <c r="L1691" s="8"/>
      <c r="M1691" s="8"/>
      <c r="N1691" s="8" t="s">
        <v>62</v>
      </c>
      <c r="O1691" s="8" t="s">
        <v>63</v>
      </c>
      <c r="P1691" s="4" t="n">
        <v>58</v>
      </c>
      <c r="Q1691" s="8"/>
      <c r="R1691" s="4" t="s">
        <v>5317</v>
      </c>
      <c r="S1691" s="4"/>
    </row>
    <row r="1692" customFormat="false" ht="26.85" hidden="false" customHeight="false" outlineLevel="0" collapsed="false">
      <c r="A1692" s="4" t="s">
        <v>5813</v>
      </c>
      <c r="B1692" s="8" t="s">
        <v>5814</v>
      </c>
      <c r="C1692" s="8" t="s">
        <v>58</v>
      </c>
      <c r="D1692" s="8"/>
      <c r="E1692" s="8" t="s">
        <v>60</v>
      </c>
      <c r="F1692" s="8"/>
      <c r="G1692" s="8"/>
      <c r="H1692" s="8"/>
      <c r="I1692" s="8" t="s">
        <v>5815</v>
      </c>
      <c r="J1692" s="8" t="s">
        <v>76</v>
      </c>
      <c r="K1692" s="8" t="s">
        <v>5779</v>
      </c>
      <c r="L1692" s="8"/>
      <c r="M1692" s="8"/>
      <c r="N1692" s="8" t="s">
        <v>62</v>
      </c>
      <c r="O1692" s="8" t="s">
        <v>63</v>
      </c>
      <c r="P1692" s="4" t="n">
        <v>58</v>
      </c>
      <c r="Q1692" s="8"/>
      <c r="R1692" s="4" t="s">
        <v>5816</v>
      </c>
      <c r="S1692" s="4"/>
    </row>
    <row r="1693" customFormat="false" ht="26.85" hidden="false" customHeight="false" outlineLevel="0" collapsed="false">
      <c r="A1693" s="4" t="s">
        <v>5817</v>
      </c>
      <c r="B1693" s="8" t="s">
        <v>5818</v>
      </c>
      <c r="C1693" s="8"/>
      <c r="D1693" s="8"/>
      <c r="E1693" s="8"/>
      <c r="F1693" s="8"/>
      <c r="G1693" s="8"/>
      <c r="H1693" s="8"/>
      <c r="I1693" s="8" t="s">
        <v>5819</v>
      </c>
      <c r="J1693" s="8" t="s">
        <v>76</v>
      </c>
      <c r="K1693" s="8" t="s">
        <v>5779</v>
      </c>
      <c r="L1693" s="8"/>
      <c r="M1693" s="8"/>
      <c r="N1693" s="8" t="s">
        <v>62</v>
      </c>
      <c r="O1693" s="8" t="s">
        <v>63</v>
      </c>
      <c r="P1693" s="4" t="n">
        <v>58</v>
      </c>
      <c r="Q1693" s="8"/>
      <c r="R1693" s="4" t="s">
        <v>5818</v>
      </c>
      <c r="S1693" s="4"/>
    </row>
    <row r="1694" customFormat="false" ht="26.85" hidden="false" customHeight="false" outlineLevel="0" collapsed="false">
      <c r="A1694" s="4" t="s">
        <v>5820</v>
      </c>
      <c r="B1694" s="8" t="s">
        <v>5821</v>
      </c>
      <c r="C1694" s="8"/>
      <c r="D1694" s="8"/>
      <c r="E1694" s="8"/>
      <c r="F1694" s="8"/>
      <c r="G1694" s="8"/>
      <c r="H1694" s="8"/>
      <c r="I1694" s="8" t="s">
        <v>5822</v>
      </c>
      <c r="J1694" s="8" t="s">
        <v>76</v>
      </c>
      <c r="K1694" s="8" t="s">
        <v>5779</v>
      </c>
      <c r="L1694" s="8"/>
      <c r="M1694" s="8"/>
      <c r="N1694" s="8" t="s">
        <v>62</v>
      </c>
      <c r="O1694" s="8" t="s">
        <v>63</v>
      </c>
      <c r="P1694" s="4" t="n">
        <v>58</v>
      </c>
      <c r="Q1694" s="8"/>
      <c r="R1694" s="4" t="s">
        <v>5821</v>
      </c>
      <c r="S1694" s="4"/>
    </row>
    <row r="1695" customFormat="false" ht="26.85" hidden="false" customHeight="false" outlineLevel="0" collapsed="false">
      <c r="A1695" s="4" t="s">
        <v>5823</v>
      </c>
      <c r="B1695" s="8" t="s">
        <v>5824</v>
      </c>
      <c r="C1695" s="8"/>
      <c r="D1695" s="8"/>
      <c r="E1695" s="8"/>
      <c r="F1695" s="8"/>
      <c r="G1695" s="8"/>
      <c r="H1695" s="8"/>
      <c r="I1695" s="8" t="s">
        <v>5825</v>
      </c>
      <c r="J1695" s="8" t="s">
        <v>76</v>
      </c>
      <c r="K1695" s="8" t="s">
        <v>5779</v>
      </c>
      <c r="L1695" s="8"/>
      <c r="M1695" s="8"/>
      <c r="N1695" s="8" t="s">
        <v>62</v>
      </c>
      <c r="O1695" s="8" t="s">
        <v>63</v>
      </c>
      <c r="P1695" s="4" t="n">
        <v>58</v>
      </c>
      <c r="Q1695" s="8"/>
      <c r="R1695" s="4" t="s">
        <v>5824</v>
      </c>
      <c r="S1695" s="4"/>
    </row>
    <row r="1696" customFormat="false" ht="26.85" hidden="false" customHeight="false" outlineLevel="0" collapsed="false">
      <c r="A1696" s="4" t="s">
        <v>5826</v>
      </c>
      <c r="B1696" s="8" t="s">
        <v>5827</v>
      </c>
      <c r="C1696" s="8" t="s">
        <v>58</v>
      </c>
      <c r="D1696" s="8"/>
      <c r="E1696" s="8" t="s">
        <v>60</v>
      </c>
      <c r="F1696" s="8"/>
      <c r="G1696" s="8"/>
      <c r="H1696" s="8"/>
      <c r="I1696" s="8" t="s">
        <v>5828</v>
      </c>
      <c r="J1696" s="8" t="s">
        <v>76</v>
      </c>
      <c r="K1696" s="8" t="s">
        <v>5779</v>
      </c>
      <c r="L1696" s="8"/>
      <c r="M1696" s="8"/>
      <c r="N1696" s="8" t="s">
        <v>62</v>
      </c>
      <c r="O1696" s="8" t="s">
        <v>63</v>
      </c>
      <c r="P1696" s="4" t="n">
        <v>58</v>
      </c>
      <c r="Q1696" s="8"/>
      <c r="R1696" s="4" t="s">
        <v>5829</v>
      </c>
      <c r="S1696" s="4"/>
    </row>
    <row r="1697" customFormat="false" ht="26.85" hidden="false" customHeight="false" outlineLevel="0" collapsed="false">
      <c r="A1697" s="4" t="s">
        <v>5830</v>
      </c>
      <c r="B1697" s="8" t="s">
        <v>5831</v>
      </c>
      <c r="C1697" s="8"/>
      <c r="D1697" s="8"/>
      <c r="E1697" s="8"/>
      <c r="F1697" s="8"/>
      <c r="G1697" s="8"/>
      <c r="H1697" s="8"/>
      <c r="I1697" s="8" t="s">
        <v>5832</v>
      </c>
      <c r="J1697" s="8" t="s">
        <v>76</v>
      </c>
      <c r="K1697" s="8" t="s">
        <v>5779</v>
      </c>
      <c r="L1697" s="8" t="s">
        <v>688</v>
      </c>
      <c r="M1697" s="8"/>
      <c r="N1697" s="8" t="s">
        <v>62</v>
      </c>
      <c r="O1697" s="8" t="s">
        <v>63</v>
      </c>
      <c r="P1697" s="4" t="n">
        <v>58</v>
      </c>
      <c r="Q1697" s="8"/>
      <c r="R1697" s="4" t="s">
        <v>5831</v>
      </c>
      <c r="S1697" s="4"/>
    </row>
    <row r="1698" customFormat="false" ht="26.85" hidden="false" customHeight="false" outlineLevel="0" collapsed="false">
      <c r="A1698" s="4" t="s">
        <v>5833</v>
      </c>
      <c r="B1698" s="8" t="s">
        <v>5834</v>
      </c>
      <c r="C1698" s="8"/>
      <c r="D1698" s="8"/>
      <c r="E1698" s="8"/>
      <c r="F1698" s="8"/>
      <c r="G1698" s="8"/>
      <c r="H1698" s="8"/>
      <c r="I1698" s="8" t="s">
        <v>5835</v>
      </c>
      <c r="J1698" s="8" t="s">
        <v>76</v>
      </c>
      <c r="K1698" s="8" t="s">
        <v>5779</v>
      </c>
      <c r="L1698" s="8" t="s">
        <v>688</v>
      </c>
      <c r="M1698" s="8"/>
      <c r="N1698" s="8" t="s">
        <v>62</v>
      </c>
      <c r="O1698" s="8" t="s">
        <v>63</v>
      </c>
      <c r="P1698" s="4" t="n">
        <v>58</v>
      </c>
      <c r="Q1698" s="8"/>
      <c r="R1698" s="4" t="s">
        <v>5834</v>
      </c>
      <c r="S1698" s="4"/>
    </row>
    <row r="1699" customFormat="false" ht="26.85" hidden="false" customHeight="false" outlineLevel="0" collapsed="false">
      <c r="A1699" s="4" t="s">
        <v>5836</v>
      </c>
      <c r="B1699" s="8" t="s">
        <v>2291</v>
      </c>
      <c r="C1699" s="8"/>
      <c r="D1699" s="8"/>
      <c r="E1699" s="8" t="s">
        <v>68</v>
      </c>
      <c r="F1699" s="8" t="s">
        <v>2292</v>
      </c>
      <c r="G1699" s="8" t="s">
        <v>2293</v>
      </c>
      <c r="H1699" s="8"/>
      <c r="I1699" s="8" t="s">
        <v>2294</v>
      </c>
      <c r="J1699" s="8" t="s">
        <v>76</v>
      </c>
      <c r="K1699" s="8" t="s">
        <v>5779</v>
      </c>
      <c r="L1699" s="8" t="s">
        <v>688</v>
      </c>
      <c r="M1699" s="8"/>
      <c r="N1699" s="8" t="s">
        <v>62</v>
      </c>
      <c r="O1699" s="8" t="s">
        <v>63</v>
      </c>
      <c r="P1699" s="4" t="n">
        <v>58</v>
      </c>
      <c r="Q1699" s="8"/>
      <c r="R1699" s="4" t="s">
        <v>2291</v>
      </c>
      <c r="S1699" s="4"/>
    </row>
    <row r="1700" customFormat="false" ht="26.85" hidden="false" customHeight="false" outlineLevel="0" collapsed="false">
      <c r="A1700" s="4" t="s">
        <v>5837</v>
      </c>
      <c r="B1700" s="8" t="s">
        <v>5838</v>
      </c>
      <c r="C1700" s="8" t="s">
        <v>58</v>
      </c>
      <c r="D1700" s="8"/>
      <c r="E1700" s="8" t="s">
        <v>60</v>
      </c>
      <c r="F1700" s="8"/>
      <c r="G1700" s="8"/>
      <c r="H1700" s="8"/>
      <c r="I1700" s="8" t="s">
        <v>5839</v>
      </c>
      <c r="J1700" s="8" t="s">
        <v>76</v>
      </c>
      <c r="K1700" s="8" t="s">
        <v>5840</v>
      </c>
      <c r="L1700" s="8"/>
      <c r="M1700" s="8"/>
      <c r="N1700" s="8" t="s">
        <v>62</v>
      </c>
      <c r="O1700" s="8" t="s">
        <v>63</v>
      </c>
      <c r="P1700" s="4" t="n">
        <v>58</v>
      </c>
      <c r="Q1700" s="8"/>
      <c r="R1700" s="4" t="s">
        <v>5841</v>
      </c>
      <c r="S1700" s="4"/>
    </row>
    <row r="1701" customFormat="false" ht="26.85" hidden="false" customHeight="false" outlineLevel="0" collapsed="false">
      <c r="A1701" s="4" t="s">
        <v>5842</v>
      </c>
      <c r="B1701" s="8" t="s">
        <v>5843</v>
      </c>
      <c r="C1701" s="8"/>
      <c r="D1701" s="8"/>
      <c r="E1701" s="8"/>
      <c r="F1701" s="8"/>
      <c r="G1701" s="8"/>
      <c r="H1701" s="8"/>
      <c r="I1701" s="8" t="s">
        <v>214</v>
      </c>
      <c r="J1701" s="8" t="s">
        <v>76</v>
      </c>
      <c r="K1701" s="8" t="s">
        <v>5840</v>
      </c>
      <c r="L1701" s="8"/>
      <c r="M1701" s="8"/>
      <c r="N1701" s="8" t="s">
        <v>62</v>
      </c>
      <c r="O1701" s="8" t="s">
        <v>63</v>
      </c>
      <c r="P1701" s="4" t="n">
        <v>58</v>
      </c>
      <c r="Q1701" s="8"/>
      <c r="R1701" s="4" t="s">
        <v>5843</v>
      </c>
      <c r="S1701" s="4"/>
    </row>
    <row r="1702" customFormat="false" ht="26.85" hidden="false" customHeight="false" outlineLevel="0" collapsed="false">
      <c r="A1702" s="4" t="s">
        <v>5844</v>
      </c>
      <c r="B1702" s="8" t="s">
        <v>5845</v>
      </c>
      <c r="C1702" s="8" t="s">
        <v>58</v>
      </c>
      <c r="D1702" s="8"/>
      <c r="E1702" s="8" t="s">
        <v>60</v>
      </c>
      <c r="F1702" s="8"/>
      <c r="G1702" s="8"/>
      <c r="H1702" s="8"/>
      <c r="I1702" s="8" t="s">
        <v>5846</v>
      </c>
      <c r="J1702" s="8" t="s">
        <v>76</v>
      </c>
      <c r="K1702" s="8" t="s">
        <v>5840</v>
      </c>
      <c r="L1702" s="8"/>
      <c r="M1702" s="8"/>
      <c r="N1702" s="8" t="s">
        <v>62</v>
      </c>
      <c r="O1702" s="8" t="s">
        <v>63</v>
      </c>
      <c r="P1702" s="4" t="n">
        <v>58</v>
      </c>
      <c r="Q1702" s="8"/>
      <c r="R1702" s="4" t="s">
        <v>5847</v>
      </c>
      <c r="S1702" s="4"/>
    </row>
    <row r="1703" customFormat="false" ht="26.85" hidden="false" customHeight="false" outlineLevel="0" collapsed="false">
      <c r="A1703" s="4" t="s">
        <v>5848</v>
      </c>
      <c r="B1703" s="8" t="s">
        <v>5849</v>
      </c>
      <c r="C1703" s="8" t="s">
        <v>58</v>
      </c>
      <c r="D1703" s="8"/>
      <c r="E1703" s="8" t="s">
        <v>60</v>
      </c>
      <c r="F1703" s="8"/>
      <c r="G1703" s="8"/>
      <c r="H1703" s="8"/>
      <c r="I1703" s="8" t="s">
        <v>5850</v>
      </c>
      <c r="J1703" s="8" t="s">
        <v>76</v>
      </c>
      <c r="K1703" s="8" t="s">
        <v>5840</v>
      </c>
      <c r="L1703" s="8"/>
      <c r="M1703" s="8"/>
      <c r="N1703" s="8" t="s">
        <v>62</v>
      </c>
      <c r="O1703" s="8" t="s">
        <v>63</v>
      </c>
      <c r="P1703" s="4" t="n">
        <v>58</v>
      </c>
      <c r="Q1703" s="8"/>
      <c r="R1703" s="4" t="s">
        <v>5851</v>
      </c>
      <c r="S1703" s="4"/>
    </row>
    <row r="1704" customFormat="false" ht="26.85" hidden="false" customHeight="false" outlineLevel="0" collapsed="false">
      <c r="A1704" s="4" t="s">
        <v>5852</v>
      </c>
      <c r="B1704" s="8" t="s">
        <v>5853</v>
      </c>
      <c r="C1704" s="8"/>
      <c r="D1704" s="8"/>
      <c r="E1704" s="8"/>
      <c r="F1704" s="8"/>
      <c r="G1704" s="8"/>
      <c r="H1704" s="8"/>
      <c r="I1704" s="8" t="s">
        <v>5854</v>
      </c>
      <c r="J1704" s="8" t="s">
        <v>76</v>
      </c>
      <c r="K1704" s="8" t="s">
        <v>5840</v>
      </c>
      <c r="L1704" s="8"/>
      <c r="M1704" s="8"/>
      <c r="N1704" s="8" t="s">
        <v>62</v>
      </c>
      <c r="O1704" s="8" t="s">
        <v>63</v>
      </c>
      <c r="P1704" s="4" t="n">
        <v>58</v>
      </c>
      <c r="Q1704" s="8"/>
      <c r="R1704" s="4" t="s">
        <v>5853</v>
      </c>
      <c r="S1704" s="4"/>
    </row>
    <row r="1705" customFormat="false" ht="26.85" hidden="false" customHeight="false" outlineLevel="0" collapsed="false">
      <c r="A1705" s="4" t="s">
        <v>5855</v>
      </c>
      <c r="B1705" s="8" t="s">
        <v>5856</v>
      </c>
      <c r="C1705" s="8" t="s">
        <v>58</v>
      </c>
      <c r="D1705" s="8"/>
      <c r="E1705" s="8" t="s">
        <v>60</v>
      </c>
      <c r="F1705" s="8"/>
      <c r="G1705" s="8"/>
      <c r="H1705" s="8"/>
      <c r="I1705" s="8" t="s">
        <v>5857</v>
      </c>
      <c r="J1705" s="8" t="s">
        <v>76</v>
      </c>
      <c r="K1705" s="8" t="s">
        <v>5840</v>
      </c>
      <c r="L1705" s="8"/>
      <c r="M1705" s="8"/>
      <c r="N1705" s="8" t="s">
        <v>62</v>
      </c>
      <c r="O1705" s="8" t="s">
        <v>63</v>
      </c>
      <c r="P1705" s="4" t="n">
        <v>58</v>
      </c>
      <c r="Q1705" s="8"/>
      <c r="R1705" s="4" t="s">
        <v>5858</v>
      </c>
      <c r="S1705" s="4"/>
    </row>
    <row r="1706" customFormat="false" ht="26.85" hidden="false" customHeight="false" outlineLevel="0" collapsed="false">
      <c r="A1706" s="4" t="s">
        <v>5859</v>
      </c>
      <c r="B1706" s="8" t="s">
        <v>5860</v>
      </c>
      <c r="C1706" s="8" t="s">
        <v>58</v>
      </c>
      <c r="D1706" s="8"/>
      <c r="E1706" s="8" t="s">
        <v>60</v>
      </c>
      <c r="F1706" s="8"/>
      <c r="G1706" s="8"/>
      <c r="H1706" s="8"/>
      <c r="I1706" s="8" t="s">
        <v>5861</v>
      </c>
      <c r="J1706" s="8" t="s">
        <v>76</v>
      </c>
      <c r="K1706" s="8" t="s">
        <v>5840</v>
      </c>
      <c r="L1706" s="8"/>
      <c r="M1706" s="8"/>
      <c r="N1706" s="8" t="s">
        <v>62</v>
      </c>
      <c r="O1706" s="8" t="s">
        <v>63</v>
      </c>
      <c r="P1706" s="4" t="n">
        <v>58</v>
      </c>
      <c r="Q1706" s="8"/>
      <c r="R1706" s="4" t="s">
        <v>5862</v>
      </c>
      <c r="S1706" s="4"/>
    </row>
    <row r="1707" customFormat="false" ht="26.85" hidden="false" customHeight="false" outlineLevel="0" collapsed="false">
      <c r="A1707" s="4" t="s">
        <v>5863</v>
      </c>
      <c r="B1707" s="8" t="s">
        <v>5864</v>
      </c>
      <c r="C1707" s="8" t="s">
        <v>58</v>
      </c>
      <c r="D1707" s="8"/>
      <c r="E1707" s="8" t="s">
        <v>60</v>
      </c>
      <c r="F1707" s="8"/>
      <c r="G1707" s="8"/>
      <c r="H1707" s="8"/>
      <c r="I1707" s="8" t="s">
        <v>5865</v>
      </c>
      <c r="J1707" s="8" t="s">
        <v>76</v>
      </c>
      <c r="K1707" s="8" t="s">
        <v>5840</v>
      </c>
      <c r="L1707" s="8"/>
      <c r="M1707" s="8"/>
      <c r="N1707" s="8" t="s">
        <v>62</v>
      </c>
      <c r="O1707" s="8" t="s">
        <v>63</v>
      </c>
      <c r="P1707" s="4" t="n">
        <v>58</v>
      </c>
      <c r="Q1707" s="8"/>
      <c r="R1707" s="4" t="s">
        <v>5866</v>
      </c>
      <c r="S1707" s="4"/>
    </row>
    <row r="1708" customFormat="false" ht="26.85" hidden="false" customHeight="false" outlineLevel="0" collapsed="false">
      <c r="A1708" s="4" t="s">
        <v>5867</v>
      </c>
      <c r="B1708" s="8" t="s">
        <v>5868</v>
      </c>
      <c r="C1708" s="8" t="s">
        <v>58</v>
      </c>
      <c r="D1708" s="8"/>
      <c r="E1708" s="8" t="s">
        <v>60</v>
      </c>
      <c r="F1708" s="8"/>
      <c r="G1708" s="8"/>
      <c r="H1708" s="8"/>
      <c r="I1708" s="8" t="s">
        <v>5869</v>
      </c>
      <c r="J1708" s="8" t="s">
        <v>76</v>
      </c>
      <c r="K1708" s="8" t="s">
        <v>5840</v>
      </c>
      <c r="L1708" s="8"/>
      <c r="M1708" s="8"/>
      <c r="N1708" s="8" t="s">
        <v>62</v>
      </c>
      <c r="O1708" s="8" t="s">
        <v>63</v>
      </c>
      <c r="P1708" s="4" t="n">
        <v>58</v>
      </c>
      <c r="Q1708" s="8"/>
      <c r="R1708" s="4" t="s">
        <v>5870</v>
      </c>
      <c r="S1708" s="4"/>
    </row>
    <row r="1709" customFormat="false" ht="26.85" hidden="false" customHeight="false" outlineLevel="0" collapsed="false">
      <c r="A1709" s="4" t="s">
        <v>5871</v>
      </c>
      <c r="B1709" s="8" t="s">
        <v>5872</v>
      </c>
      <c r="C1709" s="8" t="s">
        <v>58</v>
      </c>
      <c r="D1709" s="8"/>
      <c r="E1709" s="8" t="s">
        <v>60</v>
      </c>
      <c r="F1709" s="8"/>
      <c r="G1709" s="8"/>
      <c r="H1709" s="8"/>
      <c r="I1709" s="8" t="s">
        <v>5873</v>
      </c>
      <c r="J1709" s="8" t="s">
        <v>76</v>
      </c>
      <c r="K1709" s="8" t="s">
        <v>5840</v>
      </c>
      <c r="L1709" s="8"/>
      <c r="M1709" s="8"/>
      <c r="N1709" s="8" t="s">
        <v>62</v>
      </c>
      <c r="O1709" s="8" t="s">
        <v>63</v>
      </c>
      <c r="P1709" s="4" t="n">
        <v>58</v>
      </c>
      <c r="Q1709" s="8"/>
      <c r="R1709" s="4" t="s">
        <v>5874</v>
      </c>
      <c r="S1709" s="4"/>
    </row>
    <row r="1710" customFormat="false" ht="26.85" hidden="false" customHeight="false" outlineLevel="0" collapsed="false">
      <c r="A1710" s="4" t="s">
        <v>5875</v>
      </c>
      <c r="B1710" s="8" t="s">
        <v>5876</v>
      </c>
      <c r="C1710" s="8"/>
      <c r="D1710" s="8"/>
      <c r="E1710" s="8"/>
      <c r="F1710" s="8"/>
      <c r="G1710" s="8"/>
      <c r="H1710" s="8"/>
      <c r="I1710" s="8" t="s">
        <v>5877</v>
      </c>
      <c r="J1710" s="8" t="s">
        <v>76</v>
      </c>
      <c r="K1710" s="8" t="s">
        <v>5840</v>
      </c>
      <c r="L1710" s="8"/>
      <c r="M1710" s="8"/>
      <c r="N1710" s="8" t="s">
        <v>62</v>
      </c>
      <c r="O1710" s="8" t="s">
        <v>63</v>
      </c>
      <c r="P1710" s="4" t="n">
        <v>58</v>
      </c>
      <c r="Q1710" s="8"/>
      <c r="R1710" s="4" t="s">
        <v>5876</v>
      </c>
      <c r="S1710" s="4"/>
    </row>
    <row r="1711" customFormat="false" ht="26.85" hidden="false" customHeight="false" outlineLevel="0" collapsed="false">
      <c r="A1711" s="4" t="s">
        <v>5878</v>
      </c>
      <c r="B1711" s="8" t="s">
        <v>1501</v>
      </c>
      <c r="C1711" s="8" t="s">
        <v>58</v>
      </c>
      <c r="D1711" s="8"/>
      <c r="E1711" s="8" t="s">
        <v>60</v>
      </c>
      <c r="F1711" s="8"/>
      <c r="G1711" s="8"/>
      <c r="H1711" s="8"/>
      <c r="I1711" s="8" t="s">
        <v>5879</v>
      </c>
      <c r="J1711" s="8" t="s">
        <v>76</v>
      </c>
      <c r="K1711" s="8" t="s">
        <v>5840</v>
      </c>
      <c r="L1711" s="8"/>
      <c r="M1711" s="8"/>
      <c r="N1711" s="8" t="s">
        <v>62</v>
      </c>
      <c r="O1711" s="8" t="s">
        <v>63</v>
      </c>
      <c r="P1711" s="4" t="n">
        <v>58</v>
      </c>
      <c r="Q1711" s="8"/>
      <c r="R1711" s="4" t="s">
        <v>1503</v>
      </c>
      <c r="S1711" s="4"/>
    </row>
    <row r="1712" customFormat="false" ht="26.85" hidden="false" customHeight="false" outlineLevel="0" collapsed="false">
      <c r="A1712" s="4" t="s">
        <v>5880</v>
      </c>
      <c r="B1712" s="8" t="s">
        <v>5881</v>
      </c>
      <c r="C1712" s="8"/>
      <c r="D1712" s="8"/>
      <c r="E1712" s="8"/>
      <c r="F1712" s="8"/>
      <c r="G1712" s="8"/>
      <c r="H1712" s="8"/>
      <c r="I1712" s="8" t="s">
        <v>5882</v>
      </c>
      <c r="J1712" s="8" t="s">
        <v>76</v>
      </c>
      <c r="K1712" s="8" t="s">
        <v>5840</v>
      </c>
      <c r="L1712" s="8"/>
      <c r="M1712" s="8"/>
      <c r="N1712" s="8" t="s">
        <v>62</v>
      </c>
      <c r="O1712" s="8" t="s">
        <v>63</v>
      </c>
      <c r="P1712" s="4" t="n">
        <v>58</v>
      </c>
      <c r="Q1712" s="8"/>
      <c r="R1712" s="4" t="s">
        <v>5881</v>
      </c>
      <c r="S1712" s="4"/>
    </row>
    <row r="1713" customFormat="false" ht="26.85" hidden="false" customHeight="false" outlineLevel="0" collapsed="false">
      <c r="A1713" s="4" t="s">
        <v>5883</v>
      </c>
      <c r="B1713" s="8" t="s">
        <v>5884</v>
      </c>
      <c r="C1713" s="8" t="s">
        <v>58</v>
      </c>
      <c r="D1713" s="8"/>
      <c r="E1713" s="8" t="s">
        <v>60</v>
      </c>
      <c r="F1713" s="8"/>
      <c r="G1713" s="8"/>
      <c r="H1713" s="8"/>
      <c r="I1713" s="8" t="s">
        <v>5885</v>
      </c>
      <c r="J1713" s="8" t="s">
        <v>76</v>
      </c>
      <c r="K1713" s="8" t="s">
        <v>5840</v>
      </c>
      <c r="L1713" s="8"/>
      <c r="M1713" s="8"/>
      <c r="N1713" s="8" t="s">
        <v>62</v>
      </c>
      <c r="O1713" s="8" t="s">
        <v>63</v>
      </c>
      <c r="P1713" s="4" t="n">
        <v>58</v>
      </c>
      <c r="Q1713" s="8"/>
      <c r="R1713" s="4" t="s">
        <v>5886</v>
      </c>
      <c r="S1713" s="4"/>
    </row>
    <row r="1714" customFormat="false" ht="26.85" hidden="false" customHeight="false" outlineLevel="0" collapsed="false">
      <c r="A1714" s="4" t="s">
        <v>5887</v>
      </c>
      <c r="B1714" s="8" t="s">
        <v>5888</v>
      </c>
      <c r="C1714" s="8" t="s">
        <v>58</v>
      </c>
      <c r="D1714" s="8"/>
      <c r="E1714" s="8" t="s">
        <v>60</v>
      </c>
      <c r="F1714" s="8"/>
      <c r="G1714" s="8"/>
      <c r="H1714" s="8"/>
      <c r="I1714" s="8" t="s">
        <v>5889</v>
      </c>
      <c r="J1714" s="8" t="s">
        <v>76</v>
      </c>
      <c r="K1714" s="8" t="s">
        <v>5840</v>
      </c>
      <c r="L1714" s="8"/>
      <c r="M1714" s="8"/>
      <c r="N1714" s="8" t="s">
        <v>62</v>
      </c>
      <c r="O1714" s="8" t="s">
        <v>63</v>
      </c>
      <c r="P1714" s="4" t="n">
        <v>58</v>
      </c>
      <c r="Q1714" s="8"/>
      <c r="R1714" s="4" t="s">
        <v>5890</v>
      </c>
      <c r="S1714" s="4" t="n">
        <v>532</v>
      </c>
    </row>
    <row r="1715" customFormat="false" ht="26.85" hidden="false" customHeight="false" outlineLevel="0" collapsed="false">
      <c r="A1715" s="4" t="s">
        <v>5891</v>
      </c>
      <c r="B1715" s="8" t="s">
        <v>5892</v>
      </c>
      <c r="C1715" s="8"/>
      <c r="D1715" s="8"/>
      <c r="E1715" s="8"/>
      <c r="F1715" s="8"/>
      <c r="G1715" s="8"/>
      <c r="H1715" s="8"/>
      <c r="I1715" s="8" t="s">
        <v>5893</v>
      </c>
      <c r="J1715" s="8" t="s">
        <v>76</v>
      </c>
      <c r="K1715" s="8" t="s">
        <v>5840</v>
      </c>
      <c r="L1715" s="8"/>
      <c r="M1715" s="8"/>
      <c r="N1715" s="8" t="s">
        <v>62</v>
      </c>
      <c r="O1715" s="8" t="s">
        <v>63</v>
      </c>
      <c r="P1715" s="4" t="n">
        <v>58</v>
      </c>
      <c r="Q1715" s="8"/>
      <c r="R1715" s="4" t="s">
        <v>5892</v>
      </c>
      <c r="S1715" s="4"/>
    </row>
    <row r="1716" customFormat="false" ht="26.85" hidden="false" customHeight="false" outlineLevel="0" collapsed="false">
      <c r="A1716" s="4" t="s">
        <v>5894</v>
      </c>
      <c r="B1716" s="8" t="s">
        <v>5895</v>
      </c>
      <c r="C1716" s="8" t="s">
        <v>58</v>
      </c>
      <c r="D1716" s="8"/>
      <c r="E1716" s="8" t="s">
        <v>60</v>
      </c>
      <c r="F1716" s="8"/>
      <c r="G1716" s="8"/>
      <c r="H1716" s="8"/>
      <c r="I1716" s="8" t="s">
        <v>5896</v>
      </c>
      <c r="J1716" s="8" t="s">
        <v>76</v>
      </c>
      <c r="K1716" s="8" t="s">
        <v>5840</v>
      </c>
      <c r="L1716" s="8"/>
      <c r="M1716" s="8"/>
      <c r="N1716" s="8" t="s">
        <v>62</v>
      </c>
      <c r="O1716" s="8" t="s">
        <v>63</v>
      </c>
      <c r="P1716" s="4" t="n">
        <v>58</v>
      </c>
      <c r="Q1716" s="8"/>
      <c r="R1716" s="4" t="s">
        <v>5897</v>
      </c>
      <c r="S1716" s="4"/>
    </row>
    <row r="1717" customFormat="false" ht="26.85" hidden="false" customHeight="false" outlineLevel="0" collapsed="false">
      <c r="A1717" s="4" t="s">
        <v>5898</v>
      </c>
      <c r="B1717" s="8" t="s">
        <v>5899</v>
      </c>
      <c r="C1717" s="8" t="s">
        <v>58</v>
      </c>
      <c r="D1717" s="8"/>
      <c r="E1717" s="8" t="s">
        <v>60</v>
      </c>
      <c r="F1717" s="8"/>
      <c r="G1717" s="8"/>
      <c r="H1717" s="8"/>
      <c r="I1717" s="8" t="s">
        <v>5900</v>
      </c>
      <c r="J1717" s="8" t="s">
        <v>76</v>
      </c>
      <c r="K1717" s="8" t="s">
        <v>5840</v>
      </c>
      <c r="L1717" s="8"/>
      <c r="M1717" s="8"/>
      <c r="N1717" s="8" t="s">
        <v>62</v>
      </c>
      <c r="O1717" s="8" t="s">
        <v>63</v>
      </c>
      <c r="P1717" s="4" t="n">
        <v>58</v>
      </c>
      <c r="Q1717" s="8"/>
      <c r="R1717" s="4" t="s">
        <v>5901</v>
      </c>
      <c r="S1717" s="4"/>
    </row>
    <row r="1718" customFormat="false" ht="26.85" hidden="false" customHeight="false" outlineLevel="0" collapsed="false">
      <c r="A1718" s="4" t="s">
        <v>5902</v>
      </c>
      <c r="B1718" s="8" t="s">
        <v>5903</v>
      </c>
      <c r="C1718" s="8"/>
      <c r="D1718" s="8"/>
      <c r="E1718" s="8"/>
      <c r="F1718" s="8"/>
      <c r="G1718" s="8"/>
      <c r="H1718" s="8"/>
      <c r="I1718" s="8" t="s">
        <v>5904</v>
      </c>
      <c r="J1718" s="8" t="s">
        <v>76</v>
      </c>
      <c r="K1718" s="8" t="s">
        <v>5840</v>
      </c>
      <c r="L1718" s="8"/>
      <c r="M1718" s="8"/>
      <c r="N1718" s="8" t="s">
        <v>62</v>
      </c>
      <c r="O1718" s="8" t="s">
        <v>63</v>
      </c>
      <c r="P1718" s="4" t="n">
        <v>59</v>
      </c>
      <c r="Q1718" s="8"/>
      <c r="R1718" s="4" t="s">
        <v>5903</v>
      </c>
      <c r="S1718" s="4" t="n">
        <v>882</v>
      </c>
    </row>
    <row r="1719" customFormat="false" ht="26.85" hidden="false" customHeight="false" outlineLevel="0" collapsed="false">
      <c r="A1719" s="4" t="s">
        <v>5905</v>
      </c>
      <c r="B1719" s="8" t="s">
        <v>5906</v>
      </c>
      <c r="C1719" s="8"/>
      <c r="D1719" s="8"/>
      <c r="E1719" s="8"/>
      <c r="F1719" s="8"/>
      <c r="G1719" s="8"/>
      <c r="H1719" s="8"/>
      <c r="I1719" s="8" t="s">
        <v>5907</v>
      </c>
      <c r="J1719" s="8" t="s">
        <v>76</v>
      </c>
      <c r="K1719" s="8" t="s">
        <v>5840</v>
      </c>
      <c r="L1719" s="8"/>
      <c r="M1719" s="8"/>
      <c r="N1719" s="8" t="s">
        <v>62</v>
      </c>
      <c r="O1719" s="8" t="s">
        <v>63</v>
      </c>
      <c r="P1719" s="4" t="n">
        <v>59</v>
      </c>
      <c r="Q1719" s="8"/>
      <c r="R1719" s="4" t="s">
        <v>5906</v>
      </c>
      <c r="S1719" s="4"/>
    </row>
    <row r="1720" customFormat="false" ht="26.85" hidden="false" customHeight="false" outlineLevel="0" collapsed="false">
      <c r="A1720" s="4" t="s">
        <v>5908</v>
      </c>
      <c r="B1720" s="8" t="s">
        <v>5909</v>
      </c>
      <c r="C1720" s="8"/>
      <c r="D1720" s="8"/>
      <c r="E1720" s="8"/>
      <c r="F1720" s="8"/>
      <c r="G1720" s="8"/>
      <c r="H1720" s="8"/>
      <c r="I1720" s="8" t="s">
        <v>5910</v>
      </c>
      <c r="J1720" s="8" t="s">
        <v>76</v>
      </c>
      <c r="K1720" s="8" t="s">
        <v>5840</v>
      </c>
      <c r="L1720" s="8"/>
      <c r="M1720" s="8"/>
      <c r="N1720" s="8" t="s">
        <v>62</v>
      </c>
      <c r="O1720" s="8" t="s">
        <v>63</v>
      </c>
      <c r="P1720" s="4" t="n">
        <v>59</v>
      </c>
      <c r="Q1720" s="8"/>
      <c r="R1720" s="4" t="s">
        <v>5909</v>
      </c>
      <c r="S1720" s="4"/>
    </row>
    <row r="1721" customFormat="false" ht="26.85" hidden="false" customHeight="false" outlineLevel="0" collapsed="false">
      <c r="A1721" s="4" t="s">
        <v>5911</v>
      </c>
      <c r="B1721" s="8" t="s">
        <v>5912</v>
      </c>
      <c r="C1721" s="8"/>
      <c r="D1721" s="8"/>
      <c r="E1721" s="8"/>
      <c r="F1721" s="8"/>
      <c r="G1721" s="8"/>
      <c r="H1721" s="8"/>
      <c r="I1721" s="8" t="s">
        <v>5913</v>
      </c>
      <c r="J1721" s="8" t="s">
        <v>76</v>
      </c>
      <c r="K1721" s="8" t="s">
        <v>5840</v>
      </c>
      <c r="L1721" s="8"/>
      <c r="M1721" s="8"/>
      <c r="N1721" s="8" t="s">
        <v>62</v>
      </c>
      <c r="O1721" s="8" t="s">
        <v>63</v>
      </c>
      <c r="P1721" s="4" t="n">
        <v>59</v>
      </c>
      <c r="Q1721" s="8"/>
      <c r="R1721" s="4" t="s">
        <v>5912</v>
      </c>
      <c r="S1721" s="4" t="n">
        <v>121</v>
      </c>
    </row>
    <row r="1722" customFormat="false" ht="26.85" hidden="false" customHeight="false" outlineLevel="0" collapsed="false">
      <c r="A1722" s="4" t="s">
        <v>5914</v>
      </c>
      <c r="B1722" s="8" t="s">
        <v>5915</v>
      </c>
      <c r="C1722" s="8" t="s">
        <v>58</v>
      </c>
      <c r="D1722" s="8"/>
      <c r="E1722" s="8" t="s">
        <v>60</v>
      </c>
      <c r="F1722" s="8"/>
      <c r="G1722" s="8"/>
      <c r="H1722" s="8"/>
      <c r="I1722" s="8" t="s">
        <v>5916</v>
      </c>
      <c r="J1722" s="8" t="s">
        <v>76</v>
      </c>
      <c r="K1722" s="8" t="s">
        <v>5840</v>
      </c>
      <c r="L1722" s="8"/>
      <c r="M1722" s="8"/>
      <c r="N1722" s="8" t="s">
        <v>62</v>
      </c>
      <c r="O1722" s="8" t="s">
        <v>63</v>
      </c>
      <c r="P1722" s="4" t="n">
        <v>59</v>
      </c>
      <c r="Q1722" s="8"/>
      <c r="R1722" s="4" t="s">
        <v>5917</v>
      </c>
      <c r="S1722" s="4"/>
    </row>
    <row r="1723" customFormat="false" ht="26.85" hidden="false" customHeight="false" outlineLevel="0" collapsed="false">
      <c r="A1723" s="4" t="s">
        <v>5918</v>
      </c>
      <c r="B1723" s="8" t="s">
        <v>5919</v>
      </c>
      <c r="C1723" s="8" t="s">
        <v>58</v>
      </c>
      <c r="D1723" s="8"/>
      <c r="E1723" s="8" t="s">
        <v>60</v>
      </c>
      <c r="F1723" s="8"/>
      <c r="G1723" s="8"/>
      <c r="H1723" s="8"/>
      <c r="I1723" s="8" t="s">
        <v>5920</v>
      </c>
      <c r="J1723" s="8" t="s">
        <v>76</v>
      </c>
      <c r="K1723" s="8" t="s">
        <v>5840</v>
      </c>
      <c r="L1723" s="8"/>
      <c r="M1723" s="8"/>
      <c r="N1723" s="8" t="s">
        <v>62</v>
      </c>
      <c r="O1723" s="8" t="s">
        <v>63</v>
      </c>
      <c r="P1723" s="4" t="n">
        <v>59</v>
      </c>
      <c r="Q1723" s="8"/>
      <c r="R1723" s="4" t="s">
        <v>5921</v>
      </c>
      <c r="S1723" s="4" t="n">
        <v>701</v>
      </c>
    </row>
    <row r="1724" customFormat="false" ht="26.85" hidden="false" customHeight="false" outlineLevel="0" collapsed="false">
      <c r="A1724" s="4" t="s">
        <v>5922</v>
      </c>
      <c r="B1724" s="8" t="s">
        <v>5923</v>
      </c>
      <c r="C1724" s="8"/>
      <c r="D1724" s="8"/>
      <c r="E1724" s="8"/>
      <c r="F1724" s="8"/>
      <c r="G1724" s="8"/>
      <c r="H1724" s="8"/>
      <c r="I1724" s="8" t="s">
        <v>5924</v>
      </c>
      <c r="J1724" s="8" t="s">
        <v>76</v>
      </c>
      <c r="K1724" s="8" t="s">
        <v>5840</v>
      </c>
      <c r="L1724" s="8"/>
      <c r="M1724" s="8"/>
      <c r="N1724" s="8" t="s">
        <v>62</v>
      </c>
      <c r="O1724" s="8" t="s">
        <v>63</v>
      </c>
      <c r="P1724" s="4" t="n">
        <v>59</v>
      </c>
      <c r="Q1724" s="8"/>
      <c r="R1724" s="4" t="s">
        <v>5923</v>
      </c>
      <c r="S1724" s="4"/>
    </row>
    <row r="1725" customFormat="false" ht="26.85" hidden="false" customHeight="false" outlineLevel="0" collapsed="false">
      <c r="A1725" s="4" t="s">
        <v>5925</v>
      </c>
      <c r="B1725" s="8" t="s">
        <v>2049</v>
      </c>
      <c r="C1725" s="8" t="s">
        <v>58</v>
      </c>
      <c r="D1725" s="8"/>
      <c r="E1725" s="8" t="s">
        <v>60</v>
      </c>
      <c r="F1725" s="8"/>
      <c r="G1725" s="8"/>
      <c r="H1725" s="8"/>
      <c r="I1725" s="8" t="s">
        <v>2050</v>
      </c>
      <c r="J1725" s="8" t="s">
        <v>76</v>
      </c>
      <c r="K1725" s="8" t="s">
        <v>5840</v>
      </c>
      <c r="L1725" s="8"/>
      <c r="M1725" s="8"/>
      <c r="N1725" s="8" t="s">
        <v>62</v>
      </c>
      <c r="O1725" s="8" t="s">
        <v>63</v>
      </c>
      <c r="P1725" s="4" t="n">
        <v>59</v>
      </c>
      <c r="Q1725" s="8"/>
      <c r="R1725" s="4" t="s">
        <v>5926</v>
      </c>
      <c r="S1725" s="4" t="n">
        <v>1261</v>
      </c>
    </row>
    <row r="1726" customFormat="false" ht="26.85" hidden="false" customHeight="false" outlineLevel="0" collapsed="false">
      <c r="A1726" s="4" t="s">
        <v>5927</v>
      </c>
      <c r="B1726" s="8" t="s">
        <v>5928</v>
      </c>
      <c r="C1726" s="8"/>
      <c r="D1726" s="8"/>
      <c r="E1726" s="8"/>
      <c r="F1726" s="8"/>
      <c r="G1726" s="8"/>
      <c r="H1726" s="8"/>
      <c r="I1726" s="8" t="s">
        <v>5929</v>
      </c>
      <c r="J1726" s="8" t="s">
        <v>76</v>
      </c>
      <c r="K1726" s="8" t="s">
        <v>5840</v>
      </c>
      <c r="L1726" s="8"/>
      <c r="M1726" s="8"/>
      <c r="N1726" s="8" t="s">
        <v>62</v>
      </c>
      <c r="O1726" s="8" t="s">
        <v>63</v>
      </c>
      <c r="P1726" s="4" t="n">
        <v>59</v>
      </c>
      <c r="Q1726" s="8"/>
      <c r="R1726" s="4" t="s">
        <v>5928</v>
      </c>
      <c r="S1726" s="4" t="n">
        <v>894</v>
      </c>
    </row>
    <row r="1727" customFormat="false" ht="26.85" hidden="false" customHeight="false" outlineLevel="0" collapsed="false">
      <c r="A1727" s="4" t="s">
        <v>5930</v>
      </c>
      <c r="B1727" s="8" t="s">
        <v>5931</v>
      </c>
      <c r="C1727" s="8"/>
      <c r="D1727" s="8"/>
      <c r="E1727" s="8"/>
      <c r="F1727" s="8"/>
      <c r="G1727" s="8"/>
      <c r="H1727" s="8"/>
      <c r="I1727" s="8" t="s">
        <v>5932</v>
      </c>
      <c r="J1727" s="8" t="s">
        <v>76</v>
      </c>
      <c r="K1727" s="8" t="s">
        <v>5840</v>
      </c>
      <c r="L1727" s="8"/>
      <c r="M1727" s="8"/>
      <c r="N1727" s="8" t="s">
        <v>62</v>
      </c>
      <c r="O1727" s="8" t="s">
        <v>63</v>
      </c>
      <c r="P1727" s="4" t="n">
        <v>59</v>
      </c>
      <c r="Q1727" s="8"/>
      <c r="R1727" s="4" t="s">
        <v>5931</v>
      </c>
      <c r="S1727" s="4"/>
    </row>
    <row r="1728" customFormat="false" ht="26.85" hidden="false" customHeight="false" outlineLevel="0" collapsed="false">
      <c r="A1728" s="4" t="s">
        <v>5933</v>
      </c>
      <c r="B1728" s="8" t="s">
        <v>5934</v>
      </c>
      <c r="C1728" s="8"/>
      <c r="D1728" s="8"/>
      <c r="E1728" s="8"/>
      <c r="F1728" s="8"/>
      <c r="G1728" s="8"/>
      <c r="H1728" s="8"/>
      <c r="I1728" s="8" t="s">
        <v>5935</v>
      </c>
      <c r="J1728" s="8" t="s">
        <v>76</v>
      </c>
      <c r="K1728" s="8" t="s">
        <v>5840</v>
      </c>
      <c r="L1728" s="8"/>
      <c r="M1728" s="8"/>
      <c r="N1728" s="8" t="s">
        <v>62</v>
      </c>
      <c r="O1728" s="8" t="s">
        <v>63</v>
      </c>
      <c r="P1728" s="4" t="n">
        <v>59</v>
      </c>
      <c r="Q1728" s="8"/>
      <c r="R1728" s="4" t="s">
        <v>5934</v>
      </c>
      <c r="S1728" s="4" t="n">
        <v>1408</v>
      </c>
    </row>
    <row r="1729" customFormat="false" ht="26.85" hidden="false" customHeight="false" outlineLevel="0" collapsed="false">
      <c r="A1729" s="4" t="s">
        <v>5936</v>
      </c>
      <c r="B1729" s="8" t="s">
        <v>5937</v>
      </c>
      <c r="C1729" s="8" t="s">
        <v>58</v>
      </c>
      <c r="D1729" s="8"/>
      <c r="E1729" s="8" t="s">
        <v>60</v>
      </c>
      <c r="F1729" s="8"/>
      <c r="G1729" s="8"/>
      <c r="H1729" s="8"/>
      <c r="I1729" s="8" t="s">
        <v>5938</v>
      </c>
      <c r="J1729" s="8" t="s">
        <v>76</v>
      </c>
      <c r="K1729" s="8" t="s">
        <v>5840</v>
      </c>
      <c r="L1729" s="8"/>
      <c r="M1729" s="8"/>
      <c r="N1729" s="8" t="s">
        <v>62</v>
      </c>
      <c r="O1729" s="8" t="s">
        <v>63</v>
      </c>
      <c r="P1729" s="4" t="n">
        <v>59</v>
      </c>
      <c r="Q1729" s="8"/>
      <c r="R1729" s="4" t="s">
        <v>5939</v>
      </c>
      <c r="S1729" s="4"/>
    </row>
    <row r="1730" customFormat="false" ht="26.85" hidden="false" customHeight="false" outlineLevel="0" collapsed="false">
      <c r="A1730" s="4" t="s">
        <v>5940</v>
      </c>
      <c r="B1730" s="8" t="s">
        <v>2126</v>
      </c>
      <c r="C1730" s="8"/>
      <c r="D1730" s="8"/>
      <c r="E1730" s="8" t="s">
        <v>68</v>
      </c>
      <c r="F1730" s="8" t="s">
        <v>1363</v>
      </c>
      <c r="G1730" s="8" t="s">
        <v>2127</v>
      </c>
      <c r="H1730" s="8"/>
      <c r="I1730" s="8" t="s">
        <v>2128</v>
      </c>
      <c r="J1730" s="8" t="s">
        <v>76</v>
      </c>
      <c r="K1730" s="8" t="s">
        <v>5840</v>
      </c>
      <c r="L1730" s="8" t="s">
        <v>688</v>
      </c>
      <c r="M1730" s="8"/>
      <c r="N1730" s="8" t="s">
        <v>62</v>
      </c>
      <c r="O1730" s="8" t="s">
        <v>63</v>
      </c>
      <c r="P1730" s="4" t="n">
        <v>59</v>
      </c>
      <c r="Q1730" s="8"/>
      <c r="R1730" s="4" t="s">
        <v>2126</v>
      </c>
      <c r="S1730" s="4"/>
    </row>
    <row r="1731" customFormat="false" ht="26.85" hidden="false" customHeight="false" outlineLevel="0" collapsed="false">
      <c r="A1731" s="4" t="s">
        <v>5941</v>
      </c>
      <c r="B1731" s="8" t="s">
        <v>5942</v>
      </c>
      <c r="C1731" s="8"/>
      <c r="D1731" s="8"/>
      <c r="E1731" s="8" t="s">
        <v>68</v>
      </c>
      <c r="F1731" s="8" t="s">
        <v>5943</v>
      </c>
      <c r="G1731" s="8" t="s">
        <v>5944</v>
      </c>
      <c r="H1731" s="8"/>
      <c r="I1731" s="8" t="s">
        <v>5945</v>
      </c>
      <c r="J1731" s="8" t="s">
        <v>76</v>
      </c>
      <c r="K1731" s="8" t="s">
        <v>5840</v>
      </c>
      <c r="L1731" s="8" t="s">
        <v>688</v>
      </c>
      <c r="M1731" s="8"/>
      <c r="N1731" s="8" t="s">
        <v>62</v>
      </c>
      <c r="O1731" s="8" t="s">
        <v>63</v>
      </c>
      <c r="P1731" s="4" t="n">
        <v>59</v>
      </c>
      <c r="Q1731" s="8"/>
      <c r="R1731" s="4" t="s">
        <v>5942</v>
      </c>
      <c r="S1731" s="4"/>
    </row>
    <row r="1732" customFormat="false" ht="26.85" hidden="false" customHeight="false" outlineLevel="0" collapsed="false">
      <c r="A1732" s="4" t="s">
        <v>5946</v>
      </c>
      <c r="B1732" s="8" t="s">
        <v>5947</v>
      </c>
      <c r="C1732" s="8"/>
      <c r="D1732" s="8"/>
      <c r="E1732" s="8" t="s">
        <v>68</v>
      </c>
      <c r="F1732" s="8" t="s">
        <v>5948</v>
      </c>
      <c r="G1732" s="8" t="s">
        <v>5949</v>
      </c>
      <c r="H1732" s="8"/>
      <c r="I1732" s="8" t="s">
        <v>5950</v>
      </c>
      <c r="J1732" s="8" t="s">
        <v>76</v>
      </c>
      <c r="K1732" s="8" t="s">
        <v>5840</v>
      </c>
      <c r="L1732" s="8" t="s">
        <v>688</v>
      </c>
      <c r="M1732" s="8"/>
      <c r="N1732" s="8" t="s">
        <v>62</v>
      </c>
      <c r="O1732" s="8" t="s">
        <v>63</v>
      </c>
      <c r="P1732" s="4" t="n">
        <v>59</v>
      </c>
      <c r="Q1732" s="8"/>
      <c r="R1732" s="4" t="s">
        <v>5947</v>
      </c>
      <c r="S1732" s="4"/>
    </row>
    <row r="1733" customFormat="false" ht="26.85" hidden="false" customHeight="false" outlineLevel="0" collapsed="false">
      <c r="A1733" s="4" t="s">
        <v>5951</v>
      </c>
      <c r="B1733" s="8" t="s">
        <v>5952</v>
      </c>
      <c r="C1733" s="8"/>
      <c r="D1733" s="8"/>
      <c r="E1733" s="8" t="s">
        <v>68</v>
      </c>
      <c r="F1733" s="8" t="s">
        <v>5953</v>
      </c>
      <c r="G1733" s="8" t="s">
        <v>5954</v>
      </c>
      <c r="H1733" s="8"/>
      <c r="I1733" s="8" t="s">
        <v>5955</v>
      </c>
      <c r="J1733" s="8" t="s">
        <v>76</v>
      </c>
      <c r="K1733" s="8" t="s">
        <v>5840</v>
      </c>
      <c r="L1733" s="8" t="s">
        <v>688</v>
      </c>
      <c r="M1733" s="8"/>
      <c r="N1733" s="8" t="s">
        <v>62</v>
      </c>
      <c r="O1733" s="8" t="s">
        <v>63</v>
      </c>
      <c r="P1733" s="4" t="n">
        <v>59</v>
      </c>
      <c r="Q1733" s="8"/>
      <c r="R1733" s="4" t="s">
        <v>5952</v>
      </c>
      <c r="S1733" s="4"/>
    </row>
    <row r="1734" customFormat="false" ht="26.85" hidden="false" customHeight="false" outlineLevel="0" collapsed="false">
      <c r="A1734" s="4" t="s">
        <v>5956</v>
      </c>
      <c r="B1734" s="8" t="s">
        <v>5957</v>
      </c>
      <c r="C1734" s="8"/>
      <c r="D1734" s="8"/>
      <c r="E1734" s="8" t="s">
        <v>68</v>
      </c>
      <c r="F1734" s="8" t="s">
        <v>5958</v>
      </c>
      <c r="G1734" s="8" t="s">
        <v>5959</v>
      </c>
      <c r="H1734" s="8"/>
      <c r="I1734" s="8" t="s">
        <v>5960</v>
      </c>
      <c r="J1734" s="8" t="s">
        <v>76</v>
      </c>
      <c r="K1734" s="8" t="s">
        <v>5840</v>
      </c>
      <c r="L1734" s="8" t="s">
        <v>688</v>
      </c>
      <c r="M1734" s="8"/>
      <c r="N1734" s="8" t="s">
        <v>62</v>
      </c>
      <c r="O1734" s="8" t="s">
        <v>63</v>
      </c>
      <c r="P1734" s="4" t="n">
        <v>59</v>
      </c>
      <c r="Q1734" s="8"/>
      <c r="R1734" s="4" t="s">
        <v>5957</v>
      </c>
      <c r="S1734" s="4"/>
    </row>
    <row r="1735" customFormat="false" ht="26.85" hidden="false" customHeight="false" outlineLevel="0" collapsed="false">
      <c r="A1735" s="4" t="s">
        <v>5961</v>
      </c>
      <c r="B1735" s="8" t="s">
        <v>5962</v>
      </c>
      <c r="C1735" s="8"/>
      <c r="D1735" s="8"/>
      <c r="E1735" s="8" t="s">
        <v>68</v>
      </c>
      <c r="F1735" s="8" t="s">
        <v>5963</v>
      </c>
      <c r="G1735" s="8" t="s">
        <v>5964</v>
      </c>
      <c r="H1735" s="8"/>
      <c r="I1735" s="8" t="s">
        <v>5965</v>
      </c>
      <c r="J1735" s="8" t="s">
        <v>76</v>
      </c>
      <c r="K1735" s="8" t="s">
        <v>5840</v>
      </c>
      <c r="L1735" s="8" t="s">
        <v>688</v>
      </c>
      <c r="M1735" s="8"/>
      <c r="N1735" s="8" t="s">
        <v>62</v>
      </c>
      <c r="O1735" s="8" t="s">
        <v>63</v>
      </c>
      <c r="P1735" s="4" t="n">
        <v>59</v>
      </c>
      <c r="Q1735" s="8"/>
      <c r="R1735" s="4" t="s">
        <v>5962</v>
      </c>
      <c r="S1735" s="4" t="n">
        <v>1405</v>
      </c>
    </row>
    <row r="1736" customFormat="false" ht="26.85" hidden="false" customHeight="false" outlineLevel="0" collapsed="false">
      <c r="A1736" s="4" t="s">
        <v>5966</v>
      </c>
      <c r="B1736" s="8" t="s">
        <v>5967</v>
      </c>
      <c r="C1736" s="8"/>
      <c r="D1736" s="8"/>
      <c r="E1736" s="8" t="s">
        <v>68</v>
      </c>
      <c r="F1736" s="8" t="s">
        <v>2415</v>
      </c>
      <c r="G1736" s="8" t="s">
        <v>5968</v>
      </c>
      <c r="H1736" s="8"/>
      <c r="I1736" s="8" t="s">
        <v>2417</v>
      </c>
      <c r="J1736" s="8" t="s">
        <v>76</v>
      </c>
      <c r="K1736" s="8" t="s">
        <v>5840</v>
      </c>
      <c r="L1736" s="8" t="s">
        <v>688</v>
      </c>
      <c r="M1736" s="8"/>
      <c r="N1736" s="8" t="s">
        <v>62</v>
      </c>
      <c r="O1736" s="8" t="s">
        <v>63</v>
      </c>
      <c r="P1736" s="4" t="n">
        <v>59</v>
      </c>
      <c r="Q1736" s="8"/>
      <c r="R1736" s="4" t="s">
        <v>5967</v>
      </c>
      <c r="S1736" s="4"/>
    </row>
    <row r="1737" customFormat="false" ht="26.85" hidden="false" customHeight="false" outlineLevel="0" collapsed="false">
      <c r="A1737" s="4" t="s">
        <v>5969</v>
      </c>
      <c r="B1737" s="8" t="s">
        <v>5970</v>
      </c>
      <c r="C1737" s="8"/>
      <c r="D1737" s="8"/>
      <c r="E1737" s="8" t="s">
        <v>68</v>
      </c>
      <c r="F1737" s="8" t="s">
        <v>5971</v>
      </c>
      <c r="G1737" s="8" t="s">
        <v>5972</v>
      </c>
      <c r="H1737" s="8"/>
      <c r="I1737" s="8" t="s">
        <v>5973</v>
      </c>
      <c r="J1737" s="8" t="s">
        <v>76</v>
      </c>
      <c r="K1737" s="8" t="s">
        <v>5840</v>
      </c>
      <c r="L1737" s="8" t="s">
        <v>688</v>
      </c>
      <c r="M1737" s="8"/>
      <c r="N1737" s="8" t="s">
        <v>62</v>
      </c>
      <c r="O1737" s="8" t="s">
        <v>63</v>
      </c>
      <c r="P1737" s="4" t="n">
        <v>59</v>
      </c>
      <c r="Q1737" s="8"/>
      <c r="R1737" s="4" t="s">
        <v>5970</v>
      </c>
      <c r="S1737" s="4"/>
    </row>
    <row r="1738" customFormat="false" ht="26.85" hidden="false" customHeight="false" outlineLevel="0" collapsed="false">
      <c r="A1738" s="4" t="s">
        <v>5974</v>
      </c>
      <c r="B1738" s="8" t="s">
        <v>5975</v>
      </c>
      <c r="C1738" s="8"/>
      <c r="D1738" s="8"/>
      <c r="E1738" s="8" t="s">
        <v>68</v>
      </c>
      <c r="F1738" s="8" t="s">
        <v>5976</v>
      </c>
      <c r="G1738" s="8" t="s">
        <v>5977</v>
      </c>
      <c r="H1738" s="8"/>
      <c r="I1738" s="8" t="s">
        <v>5978</v>
      </c>
      <c r="J1738" s="8" t="s">
        <v>76</v>
      </c>
      <c r="K1738" s="8" t="s">
        <v>5840</v>
      </c>
      <c r="L1738" s="8" t="s">
        <v>688</v>
      </c>
      <c r="M1738" s="8"/>
      <c r="N1738" s="8" t="s">
        <v>62</v>
      </c>
      <c r="O1738" s="8" t="s">
        <v>63</v>
      </c>
      <c r="P1738" s="4" t="n">
        <v>59</v>
      </c>
      <c r="Q1738" s="8"/>
      <c r="R1738" s="4" t="s">
        <v>5975</v>
      </c>
      <c r="S1738" s="4" t="n">
        <v>821</v>
      </c>
    </row>
    <row r="1739" customFormat="false" ht="26.85" hidden="false" customHeight="false" outlineLevel="0" collapsed="false">
      <c r="A1739" s="4" t="s">
        <v>5979</v>
      </c>
      <c r="B1739" s="8" t="s">
        <v>5980</v>
      </c>
      <c r="C1739" s="8"/>
      <c r="D1739" s="8"/>
      <c r="E1739" s="8" t="s">
        <v>68</v>
      </c>
      <c r="F1739" s="8" t="s">
        <v>5981</v>
      </c>
      <c r="G1739" s="8" t="s">
        <v>5982</v>
      </c>
      <c r="H1739" s="8"/>
      <c r="I1739" s="8" t="s">
        <v>5983</v>
      </c>
      <c r="J1739" s="8" t="s">
        <v>76</v>
      </c>
      <c r="K1739" s="8" t="s">
        <v>5840</v>
      </c>
      <c r="L1739" s="8" t="s">
        <v>688</v>
      </c>
      <c r="M1739" s="8"/>
      <c r="N1739" s="8" t="s">
        <v>62</v>
      </c>
      <c r="O1739" s="8" t="s">
        <v>63</v>
      </c>
      <c r="P1739" s="4" t="n">
        <v>59</v>
      </c>
      <c r="Q1739" s="8"/>
      <c r="R1739" s="4" t="s">
        <v>5980</v>
      </c>
      <c r="S1739" s="4"/>
    </row>
    <row r="1740" customFormat="false" ht="26.85" hidden="false" customHeight="false" outlineLevel="0" collapsed="false">
      <c r="A1740" s="4" t="s">
        <v>5984</v>
      </c>
      <c r="B1740" s="8" t="s">
        <v>2440</v>
      </c>
      <c r="C1740" s="8"/>
      <c r="D1740" s="8"/>
      <c r="E1740" s="8" t="s">
        <v>68</v>
      </c>
      <c r="F1740" s="8" t="s">
        <v>2441</v>
      </c>
      <c r="G1740" s="8" t="s">
        <v>2442</v>
      </c>
      <c r="H1740" s="8"/>
      <c r="I1740" s="8" t="s">
        <v>2443</v>
      </c>
      <c r="J1740" s="8" t="s">
        <v>76</v>
      </c>
      <c r="K1740" s="8" t="s">
        <v>5840</v>
      </c>
      <c r="L1740" s="8" t="s">
        <v>688</v>
      </c>
      <c r="M1740" s="8"/>
      <c r="N1740" s="8" t="s">
        <v>62</v>
      </c>
      <c r="O1740" s="8" t="s">
        <v>63</v>
      </c>
      <c r="P1740" s="4" t="n">
        <v>59</v>
      </c>
      <c r="Q1740" s="8"/>
      <c r="R1740" s="4" t="s">
        <v>2440</v>
      </c>
      <c r="S1740" s="4"/>
    </row>
    <row r="1741" customFormat="false" ht="26.85" hidden="false" customHeight="false" outlineLevel="0" collapsed="false">
      <c r="A1741" s="4" t="s">
        <v>5985</v>
      </c>
      <c r="B1741" s="8" t="s">
        <v>5986</v>
      </c>
      <c r="C1741" s="8"/>
      <c r="D1741" s="8"/>
      <c r="E1741" s="8" t="s">
        <v>68</v>
      </c>
      <c r="F1741" s="8" t="s">
        <v>5987</v>
      </c>
      <c r="G1741" s="8" t="s">
        <v>5988</v>
      </c>
      <c r="H1741" s="8"/>
      <c r="I1741" s="8" t="s">
        <v>5989</v>
      </c>
      <c r="J1741" s="8" t="s">
        <v>76</v>
      </c>
      <c r="K1741" s="8" t="s">
        <v>5840</v>
      </c>
      <c r="L1741" s="8" t="s">
        <v>688</v>
      </c>
      <c r="M1741" s="8"/>
      <c r="N1741" s="8" t="s">
        <v>62</v>
      </c>
      <c r="O1741" s="8" t="s">
        <v>63</v>
      </c>
      <c r="P1741" s="4" t="n">
        <v>59</v>
      </c>
      <c r="Q1741" s="8"/>
      <c r="R1741" s="4" t="s">
        <v>5986</v>
      </c>
      <c r="S1741" s="4"/>
    </row>
    <row r="1742" customFormat="false" ht="26.85" hidden="false" customHeight="false" outlineLevel="0" collapsed="false">
      <c r="A1742" s="4" t="s">
        <v>5990</v>
      </c>
      <c r="B1742" s="8" t="s">
        <v>5991</v>
      </c>
      <c r="C1742" s="8"/>
      <c r="D1742" s="8"/>
      <c r="E1742" s="8" t="s">
        <v>68</v>
      </c>
      <c r="F1742" s="8" t="s">
        <v>5992</v>
      </c>
      <c r="G1742" s="8" t="s">
        <v>5993</v>
      </c>
      <c r="H1742" s="8"/>
      <c r="I1742" s="8" t="s">
        <v>5994</v>
      </c>
      <c r="J1742" s="8" t="s">
        <v>76</v>
      </c>
      <c r="K1742" s="8" t="s">
        <v>5840</v>
      </c>
      <c r="L1742" s="8" t="s">
        <v>688</v>
      </c>
      <c r="M1742" s="8"/>
      <c r="N1742" s="8" t="s">
        <v>62</v>
      </c>
      <c r="O1742" s="8" t="s">
        <v>63</v>
      </c>
      <c r="P1742" s="4" t="n">
        <v>59</v>
      </c>
      <c r="Q1742" s="8"/>
      <c r="R1742" s="4" t="s">
        <v>5991</v>
      </c>
      <c r="S1742" s="4"/>
    </row>
    <row r="1743" customFormat="false" ht="26.85" hidden="false" customHeight="false" outlineLevel="0" collapsed="false">
      <c r="A1743" s="4" t="s">
        <v>5995</v>
      </c>
      <c r="B1743" s="8" t="s">
        <v>5996</v>
      </c>
      <c r="C1743" s="8"/>
      <c r="D1743" s="8"/>
      <c r="E1743" s="8" t="s">
        <v>68</v>
      </c>
      <c r="F1743" s="8" t="s">
        <v>5997</v>
      </c>
      <c r="G1743" s="8" t="s">
        <v>5998</v>
      </c>
      <c r="H1743" s="8"/>
      <c r="I1743" s="8" t="s">
        <v>5999</v>
      </c>
      <c r="J1743" s="8" t="s">
        <v>76</v>
      </c>
      <c r="K1743" s="8" t="s">
        <v>5840</v>
      </c>
      <c r="L1743" s="8" t="s">
        <v>688</v>
      </c>
      <c r="M1743" s="8"/>
      <c r="N1743" s="8" t="s">
        <v>62</v>
      </c>
      <c r="O1743" s="8" t="s">
        <v>63</v>
      </c>
      <c r="P1743" s="4" t="n">
        <v>59</v>
      </c>
      <c r="Q1743" s="8"/>
      <c r="R1743" s="4" t="s">
        <v>5996</v>
      </c>
      <c r="S1743" s="4"/>
    </row>
    <row r="1744" customFormat="false" ht="26.85" hidden="false" customHeight="false" outlineLevel="0" collapsed="false">
      <c r="A1744" s="4" t="s">
        <v>6000</v>
      </c>
      <c r="B1744" s="8" t="s">
        <v>6001</v>
      </c>
      <c r="C1744" s="8"/>
      <c r="D1744" s="8"/>
      <c r="E1744" s="8" t="s">
        <v>68</v>
      </c>
      <c r="F1744" s="8" t="s">
        <v>6002</v>
      </c>
      <c r="G1744" s="8" t="s">
        <v>6003</v>
      </c>
      <c r="H1744" s="8"/>
      <c r="I1744" s="8" t="s">
        <v>6004</v>
      </c>
      <c r="J1744" s="8" t="s">
        <v>76</v>
      </c>
      <c r="K1744" s="8" t="s">
        <v>5840</v>
      </c>
      <c r="L1744" s="8" t="s">
        <v>688</v>
      </c>
      <c r="M1744" s="8"/>
      <c r="N1744" s="8" t="s">
        <v>62</v>
      </c>
      <c r="O1744" s="8" t="s">
        <v>63</v>
      </c>
      <c r="P1744" s="4" t="n">
        <v>59</v>
      </c>
      <c r="Q1744" s="8"/>
      <c r="R1744" s="4" t="s">
        <v>6001</v>
      </c>
      <c r="S1744" s="4"/>
    </row>
    <row r="1745" customFormat="false" ht="26.85" hidden="false" customHeight="false" outlineLevel="0" collapsed="false">
      <c r="A1745" s="4" t="s">
        <v>6005</v>
      </c>
      <c r="B1745" s="8" t="s">
        <v>5845</v>
      </c>
      <c r="C1745" s="8"/>
      <c r="D1745" s="8"/>
      <c r="E1745" s="8"/>
      <c r="F1745" s="8"/>
      <c r="G1745" s="8"/>
      <c r="H1745" s="8"/>
      <c r="I1745" s="8" t="s">
        <v>5846</v>
      </c>
      <c r="J1745" s="8" t="s">
        <v>76</v>
      </c>
      <c r="K1745" s="8" t="s">
        <v>6006</v>
      </c>
      <c r="L1745" s="8"/>
      <c r="M1745" s="8"/>
      <c r="N1745" s="8" t="s">
        <v>62</v>
      </c>
      <c r="O1745" s="8" t="s">
        <v>63</v>
      </c>
      <c r="P1745" s="4" t="n">
        <v>59</v>
      </c>
      <c r="Q1745" s="8"/>
      <c r="R1745" s="4" t="s">
        <v>5845</v>
      </c>
      <c r="S1745" s="4"/>
    </row>
    <row r="1746" customFormat="false" ht="26.85" hidden="false" customHeight="false" outlineLevel="0" collapsed="false">
      <c r="A1746" s="4" t="s">
        <v>6007</v>
      </c>
      <c r="B1746" s="8" t="s">
        <v>6008</v>
      </c>
      <c r="C1746" s="8"/>
      <c r="D1746" s="8"/>
      <c r="E1746" s="8"/>
      <c r="F1746" s="8"/>
      <c r="G1746" s="8"/>
      <c r="H1746" s="8"/>
      <c r="I1746" s="8" t="s">
        <v>6009</v>
      </c>
      <c r="J1746" s="8" t="s">
        <v>76</v>
      </c>
      <c r="K1746" s="8" t="s">
        <v>6006</v>
      </c>
      <c r="L1746" s="8"/>
      <c r="M1746" s="8"/>
      <c r="N1746" s="8" t="s">
        <v>62</v>
      </c>
      <c r="O1746" s="8" t="s">
        <v>63</v>
      </c>
      <c r="P1746" s="4" t="n">
        <v>59</v>
      </c>
      <c r="Q1746" s="8"/>
      <c r="R1746" s="4" t="s">
        <v>6008</v>
      </c>
      <c r="S1746" s="4"/>
    </row>
    <row r="1747" customFormat="false" ht="26.85" hidden="false" customHeight="false" outlineLevel="0" collapsed="false">
      <c r="A1747" s="4" t="s">
        <v>6010</v>
      </c>
      <c r="B1747" s="8" t="s">
        <v>3236</v>
      </c>
      <c r="C1747" s="8"/>
      <c r="D1747" s="8"/>
      <c r="E1747" s="8"/>
      <c r="F1747" s="8"/>
      <c r="G1747" s="8"/>
      <c r="H1747" s="8"/>
      <c r="I1747" s="8" t="s">
        <v>3237</v>
      </c>
      <c r="J1747" s="8" t="s">
        <v>76</v>
      </c>
      <c r="K1747" s="8" t="s">
        <v>6006</v>
      </c>
      <c r="L1747" s="8"/>
      <c r="M1747" s="8"/>
      <c r="N1747" s="8" t="s">
        <v>62</v>
      </c>
      <c r="O1747" s="8" t="s">
        <v>63</v>
      </c>
      <c r="P1747" s="4" t="n">
        <v>59</v>
      </c>
      <c r="Q1747" s="8"/>
      <c r="R1747" s="4" t="s">
        <v>3236</v>
      </c>
      <c r="S1747" s="4" t="n">
        <v>1698</v>
      </c>
    </row>
    <row r="1748" customFormat="false" ht="26.85" hidden="false" customHeight="false" outlineLevel="0" collapsed="false">
      <c r="A1748" s="4" t="s">
        <v>6011</v>
      </c>
      <c r="B1748" s="8" t="s">
        <v>6012</v>
      </c>
      <c r="C1748" s="8"/>
      <c r="D1748" s="8"/>
      <c r="E1748" s="8"/>
      <c r="F1748" s="8"/>
      <c r="G1748" s="8"/>
      <c r="H1748" s="8"/>
      <c r="I1748" s="8" t="s">
        <v>6013</v>
      </c>
      <c r="J1748" s="8" t="s">
        <v>76</v>
      </c>
      <c r="K1748" s="8" t="s">
        <v>6006</v>
      </c>
      <c r="L1748" s="8"/>
      <c r="M1748" s="8"/>
      <c r="N1748" s="8" t="s">
        <v>62</v>
      </c>
      <c r="O1748" s="8" t="s">
        <v>63</v>
      </c>
      <c r="P1748" s="4" t="n">
        <v>59</v>
      </c>
      <c r="Q1748" s="8"/>
      <c r="R1748" s="4" t="s">
        <v>6012</v>
      </c>
      <c r="S1748" s="4"/>
    </row>
    <row r="1749" customFormat="false" ht="26.85" hidden="false" customHeight="false" outlineLevel="0" collapsed="false">
      <c r="A1749" s="4" t="s">
        <v>6014</v>
      </c>
      <c r="B1749" s="8" t="s">
        <v>6015</v>
      </c>
      <c r="C1749" s="8"/>
      <c r="D1749" s="8"/>
      <c r="E1749" s="8"/>
      <c r="F1749" s="8"/>
      <c r="G1749" s="8"/>
      <c r="H1749" s="8"/>
      <c r="I1749" s="8" t="s">
        <v>6016</v>
      </c>
      <c r="J1749" s="8" t="s">
        <v>76</v>
      </c>
      <c r="K1749" s="8" t="s">
        <v>6006</v>
      </c>
      <c r="L1749" s="8"/>
      <c r="M1749" s="8"/>
      <c r="N1749" s="8" t="s">
        <v>62</v>
      </c>
      <c r="O1749" s="8" t="s">
        <v>63</v>
      </c>
      <c r="P1749" s="4" t="n">
        <v>59</v>
      </c>
      <c r="Q1749" s="8"/>
      <c r="R1749" s="4" t="s">
        <v>6015</v>
      </c>
      <c r="S1749" s="4"/>
    </row>
    <row r="1750" customFormat="false" ht="26.85" hidden="false" customHeight="false" outlineLevel="0" collapsed="false">
      <c r="A1750" s="4" t="s">
        <v>6017</v>
      </c>
      <c r="B1750" s="8" t="s">
        <v>6018</v>
      </c>
      <c r="C1750" s="8"/>
      <c r="D1750" s="8"/>
      <c r="E1750" s="8"/>
      <c r="F1750" s="8"/>
      <c r="G1750" s="8"/>
      <c r="H1750" s="8"/>
      <c r="I1750" s="8" t="s">
        <v>6019</v>
      </c>
      <c r="J1750" s="8" t="s">
        <v>76</v>
      </c>
      <c r="K1750" s="8" t="s">
        <v>6006</v>
      </c>
      <c r="L1750" s="8"/>
      <c r="M1750" s="8"/>
      <c r="N1750" s="8" t="s">
        <v>62</v>
      </c>
      <c r="O1750" s="8" t="s">
        <v>63</v>
      </c>
      <c r="P1750" s="4" t="n">
        <v>59</v>
      </c>
      <c r="Q1750" s="8"/>
      <c r="R1750" s="4" t="s">
        <v>6018</v>
      </c>
      <c r="S1750" s="4"/>
    </row>
    <row r="1751" customFormat="false" ht="26.85" hidden="false" customHeight="false" outlineLevel="0" collapsed="false">
      <c r="A1751" s="4" t="s">
        <v>6020</v>
      </c>
      <c r="B1751" s="8" t="s">
        <v>5196</v>
      </c>
      <c r="C1751" s="8"/>
      <c r="D1751" s="8"/>
      <c r="E1751" s="8"/>
      <c r="F1751" s="8"/>
      <c r="G1751" s="8"/>
      <c r="H1751" s="8"/>
      <c r="I1751" s="8" t="s">
        <v>5197</v>
      </c>
      <c r="J1751" s="8" t="s">
        <v>76</v>
      </c>
      <c r="K1751" s="8" t="s">
        <v>6006</v>
      </c>
      <c r="L1751" s="8"/>
      <c r="M1751" s="8"/>
      <c r="N1751" s="8" t="s">
        <v>62</v>
      </c>
      <c r="O1751" s="8" t="s">
        <v>63</v>
      </c>
      <c r="P1751" s="4" t="n">
        <v>59</v>
      </c>
      <c r="Q1751" s="8"/>
      <c r="R1751" s="4" t="s">
        <v>5196</v>
      </c>
      <c r="S1751" s="4"/>
    </row>
    <row r="1752" customFormat="false" ht="26.85" hidden="false" customHeight="false" outlineLevel="0" collapsed="false">
      <c r="A1752" s="4" t="s">
        <v>6021</v>
      </c>
      <c r="B1752" s="8" t="s">
        <v>6022</v>
      </c>
      <c r="C1752" s="8"/>
      <c r="D1752" s="8"/>
      <c r="E1752" s="8"/>
      <c r="F1752" s="8"/>
      <c r="G1752" s="8"/>
      <c r="H1752" s="8"/>
      <c r="I1752" s="8" t="s">
        <v>6023</v>
      </c>
      <c r="J1752" s="8" t="s">
        <v>76</v>
      </c>
      <c r="K1752" s="8" t="s">
        <v>6006</v>
      </c>
      <c r="L1752" s="8"/>
      <c r="M1752" s="8"/>
      <c r="N1752" s="8" t="s">
        <v>62</v>
      </c>
      <c r="O1752" s="8" t="s">
        <v>63</v>
      </c>
      <c r="P1752" s="4" t="n">
        <v>59</v>
      </c>
      <c r="Q1752" s="8"/>
      <c r="R1752" s="4" t="s">
        <v>6022</v>
      </c>
      <c r="S1752" s="4"/>
    </row>
    <row r="1753" customFormat="false" ht="26.85" hidden="false" customHeight="false" outlineLevel="0" collapsed="false">
      <c r="A1753" s="4" t="s">
        <v>6024</v>
      </c>
      <c r="B1753" s="8" t="s">
        <v>6025</v>
      </c>
      <c r="C1753" s="8"/>
      <c r="D1753" s="8"/>
      <c r="E1753" s="8"/>
      <c r="F1753" s="8"/>
      <c r="G1753" s="8"/>
      <c r="H1753" s="8"/>
      <c r="I1753" s="8" t="s">
        <v>6026</v>
      </c>
      <c r="J1753" s="8" t="s">
        <v>76</v>
      </c>
      <c r="K1753" s="8" t="s">
        <v>6006</v>
      </c>
      <c r="L1753" s="8"/>
      <c r="M1753" s="8"/>
      <c r="N1753" s="8" t="s">
        <v>62</v>
      </c>
      <c r="O1753" s="8" t="s">
        <v>63</v>
      </c>
      <c r="P1753" s="4" t="n">
        <v>59</v>
      </c>
      <c r="Q1753" s="8"/>
      <c r="R1753" s="4" t="s">
        <v>6025</v>
      </c>
      <c r="S1753" s="4"/>
    </row>
    <row r="1754" customFormat="false" ht="26.85" hidden="false" customHeight="false" outlineLevel="0" collapsed="false">
      <c r="A1754" s="4" t="s">
        <v>6027</v>
      </c>
      <c r="B1754" s="8" t="s">
        <v>6028</v>
      </c>
      <c r="C1754" s="8"/>
      <c r="D1754" s="8"/>
      <c r="E1754" s="8" t="s">
        <v>68</v>
      </c>
      <c r="F1754" s="8" t="s">
        <v>6029</v>
      </c>
      <c r="G1754" s="8" t="s">
        <v>6030</v>
      </c>
      <c r="H1754" s="8"/>
      <c r="I1754" s="8" t="s">
        <v>6031</v>
      </c>
      <c r="J1754" s="8" t="s">
        <v>76</v>
      </c>
      <c r="K1754" s="8" t="s">
        <v>6006</v>
      </c>
      <c r="L1754" s="8" t="s">
        <v>688</v>
      </c>
      <c r="M1754" s="8"/>
      <c r="N1754" s="8" t="s">
        <v>62</v>
      </c>
      <c r="O1754" s="8" t="s">
        <v>63</v>
      </c>
      <c r="P1754" s="4" t="n">
        <v>60</v>
      </c>
      <c r="Q1754" s="8"/>
      <c r="R1754" s="4" t="s">
        <v>6028</v>
      </c>
      <c r="S1754" s="4"/>
    </row>
    <row r="1755" customFormat="false" ht="26.85" hidden="false" customHeight="false" outlineLevel="0" collapsed="false">
      <c r="A1755" s="4" t="s">
        <v>6032</v>
      </c>
      <c r="B1755" s="8" t="s">
        <v>6033</v>
      </c>
      <c r="C1755" s="8"/>
      <c r="D1755" s="8"/>
      <c r="E1755" s="8" t="s">
        <v>68</v>
      </c>
      <c r="F1755" s="8" t="s">
        <v>6034</v>
      </c>
      <c r="G1755" s="8" t="s">
        <v>6035</v>
      </c>
      <c r="H1755" s="8"/>
      <c r="I1755" s="8" t="s">
        <v>6036</v>
      </c>
      <c r="J1755" s="8" t="s">
        <v>76</v>
      </c>
      <c r="K1755" s="8" t="s">
        <v>6006</v>
      </c>
      <c r="L1755" s="8" t="s">
        <v>688</v>
      </c>
      <c r="M1755" s="8"/>
      <c r="N1755" s="8" t="s">
        <v>62</v>
      </c>
      <c r="O1755" s="8" t="s">
        <v>63</v>
      </c>
      <c r="P1755" s="4" t="n">
        <v>60</v>
      </c>
      <c r="Q1755" s="8"/>
      <c r="R1755" s="4" t="s">
        <v>6033</v>
      </c>
      <c r="S1755" s="4"/>
    </row>
    <row r="1756" customFormat="false" ht="26.85" hidden="false" customHeight="false" outlineLevel="0" collapsed="false">
      <c r="A1756" s="4" t="s">
        <v>6037</v>
      </c>
      <c r="B1756" s="8" t="s">
        <v>6038</v>
      </c>
      <c r="C1756" s="8"/>
      <c r="D1756" s="8"/>
      <c r="E1756" s="8" t="s">
        <v>68</v>
      </c>
      <c r="F1756" s="8" t="s">
        <v>6039</v>
      </c>
      <c r="G1756" s="8" t="s">
        <v>6040</v>
      </c>
      <c r="H1756" s="8"/>
      <c r="I1756" s="8" t="s">
        <v>6041</v>
      </c>
      <c r="J1756" s="8" t="s">
        <v>76</v>
      </c>
      <c r="K1756" s="8" t="s">
        <v>6006</v>
      </c>
      <c r="L1756" s="8" t="s">
        <v>688</v>
      </c>
      <c r="M1756" s="8"/>
      <c r="N1756" s="8" t="s">
        <v>62</v>
      </c>
      <c r="O1756" s="8" t="s">
        <v>63</v>
      </c>
      <c r="P1756" s="4" t="n">
        <v>60</v>
      </c>
      <c r="Q1756" s="8"/>
      <c r="R1756" s="4" t="s">
        <v>6038</v>
      </c>
      <c r="S1756" s="4"/>
    </row>
    <row r="1757" customFormat="false" ht="26.85" hidden="false" customHeight="false" outlineLevel="0" collapsed="false">
      <c r="A1757" s="4" t="s">
        <v>6042</v>
      </c>
      <c r="B1757" s="8" t="s">
        <v>6043</v>
      </c>
      <c r="C1757" s="8" t="s">
        <v>58</v>
      </c>
      <c r="D1757" s="8"/>
      <c r="E1757" s="8" t="s">
        <v>60</v>
      </c>
      <c r="F1757" s="8"/>
      <c r="G1757" s="8"/>
      <c r="H1757" s="8"/>
      <c r="I1757" s="8" t="s">
        <v>6044</v>
      </c>
      <c r="J1757" s="8" t="s">
        <v>76</v>
      </c>
      <c r="K1757" s="8" t="s">
        <v>6045</v>
      </c>
      <c r="L1757" s="8"/>
      <c r="M1757" s="8"/>
      <c r="N1757" s="8" t="s">
        <v>62</v>
      </c>
      <c r="O1757" s="8" t="s">
        <v>63</v>
      </c>
      <c r="P1757" s="4" t="n">
        <v>60</v>
      </c>
      <c r="Q1757" s="8"/>
      <c r="R1757" s="4" t="s">
        <v>6046</v>
      </c>
      <c r="S1757" s="4"/>
    </row>
    <row r="1758" customFormat="false" ht="26.85" hidden="false" customHeight="false" outlineLevel="0" collapsed="false">
      <c r="A1758" s="4" t="s">
        <v>6047</v>
      </c>
      <c r="B1758" s="8" t="s">
        <v>6048</v>
      </c>
      <c r="C1758" s="8" t="s">
        <v>58</v>
      </c>
      <c r="D1758" s="8"/>
      <c r="E1758" s="8" t="s">
        <v>60</v>
      </c>
      <c r="F1758" s="8"/>
      <c r="G1758" s="8"/>
      <c r="H1758" s="8"/>
      <c r="I1758" s="8" t="s">
        <v>6049</v>
      </c>
      <c r="J1758" s="8" t="s">
        <v>76</v>
      </c>
      <c r="K1758" s="8" t="s">
        <v>6045</v>
      </c>
      <c r="L1758" s="8"/>
      <c r="M1758" s="8"/>
      <c r="N1758" s="8" t="s">
        <v>62</v>
      </c>
      <c r="O1758" s="8" t="s">
        <v>63</v>
      </c>
      <c r="P1758" s="4" t="n">
        <v>60</v>
      </c>
      <c r="Q1758" s="8"/>
      <c r="R1758" s="4" t="s">
        <v>6050</v>
      </c>
      <c r="S1758" s="4"/>
    </row>
    <row r="1759" customFormat="false" ht="26.85" hidden="false" customHeight="false" outlineLevel="0" collapsed="false">
      <c r="A1759" s="4" t="s">
        <v>6051</v>
      </c>
      <c r="B1759" s="8" t="s">
        <v>5838</v>
      </c>
      <c r="C1759" s="8" t="s">
        <v>58</v>
      </c>
      <c r="D1759" s="8"/>
      <c r="E1759" s="8" t="s">
        <v>60</v>
      </c>
      <c r="F1759" s="8"/>
      <c r="G1759" s="8"/>
      <c r="H1759" s="8"/>
      <c r="I1759" s="8" t="s">
        <v>5839</v>
      </c>
      <c r="J1759" s="8" t="s">
        <v>76</v>
      </c>
      <c r="K1759" s="8" t="s">
        <v>6045</v>
      </c>
      <c r="L1759" s="8"/>
      <c r="M1759" s="8"/>
      <c r="N1759" s="8" t="s">
        <v>62</v>
      </c>
      <c r="O1759" s="8" t="s">
        <v>63</v>
      </c>
      <c r="P1759" s="4" t="n">
        <v>60</v>
      </c>
      <c r="Q1759" s="8"/>
      <c r="R1759" s="4" t="s">
        <v>6052</v>
      </c>
      <c r="S1759" s="4"/>
    </row>
    <row r="1760" customFormat="false" ht="26.85" hidden="false" customHeight="false" outlineLevel="0" collapsed="false">
      <c r="A1760" s="4" t="s">
        <v>6053</v>
      </c>
      <c r="B1760" s="8" t="s">
        <v>6054</v>
      </c>
      <c r="C1760" s="8" t="s">
        <v>58</v>
      </c>
      <c r="D1760" s="8"/>
      <c r="E1760" s="8" t="s">
        <v>60</v>
      </c>
      <c r="F1760" s="8"/>
      <c r="G1760" s="8"/>
      <c r="H1760" s="8"/>
      <c r="I1760" s="8" t="s">
        <v>6055</v>
      </c>
      <c r="J1760" s="8" t="s">
        <v>76</v>
      </c>
      <c r="K1760" s="8" t="s">
        <v>6045</v>
      </c>
      <c r="L1760" s="8"/>
      <c r="M1760" s="8"/>
      <c r="N1760" s="8" t="s">
        <v>62</v>
      </c>
      <c r="O1760" s="8" t="s">
        <v>63</v>
      </c>
      <c r="P1760" s="4" t="n">
        <v>60</v>
      </c>
      <c r="Q1760" s="8"/>
      <c r="R1760" s="4" t="s">
        <v>6056</v>
      </c>
      <c r="S1760" s="4"/>
    </row>
    <row r="1761" customFormat="false" ht="26.85" hidden="false" customHeight="false" outlineLevel="0" collapsed="false">
      <c r="A1761" s="4" t="s">
        <v>6057</v>
      </c>
      <c r="B1761" s="8" t="s">
        <v>6058</v>
      </c>
      <c r="C1761" s="8"/>
      <c r="D1761" s="8"/>
      <c r="E1761" s="8"/>
      <c r="F1761" s="8"/>
      <c r="G1761" s="8"/>
      <c r="H1761" s="8"/>
      <c r="I1761" s="8" t="s">
        <v>6059</v>
      </c>
      <c r="J1761" s="8" t="s">
        <v>76</v>
      </c>
      <c r="K1761" s="8" t="s">
        <v>6045</v>
      </c>
      <c r="L1761" s="8"/>
      <c r="M1761" s="8"/>
      <c r="N1761" s="8" t="s">
        <v>62</v>
      </c>
      <c r="O1761" s="8" t="s">
        <v>63</v>
      </c>
      <c r="P1761" s="4" t="n">
        <v>60</v>
      </c>
      <c r="Q1761" s="8"/>
      <c r="R1761" s="4" t="s">
        <v>6058</v>
      </c>
      <c r="S1761" s="4"/>
    </row>
    <row r="1762" customFormat="false" ht="26.85" hidden="false" customHeight="false" outlineLevel="0" collapsed="false">
      <c r="A1762" s="4" t="s">
        <v>6060</v>
      </c>
      <c r="B1762" s="8" t="s">
        <v>6061</v>
      </c>
      <c r="C1762" s="8" t="s">
        <v>58</v>
      </c>
      <c r="D1762" s="8"/>
      <c r="E1762" s="8" t="s">
        <v>60</v>
      </c>
      <c r="F1762" s="8"/>
      <c r="G1762" s="8"/>
      <c r="H1762" s="8"/>
      <c r="I1762" s="8" t="s">
        <v>6062</v>
      </c>
      <c r="J1762" s="8" t="s">
        <v>76</v>
      </c>
      <c r="K1762" s="8" t="s">
        <v>6045</v>
      </c>
      <c r="L1762" s="8"/>
      <c r="M1762" s="8"/>
      <c r="N1762" s="8" t="s">
        <v>62</v>
      </c>
      <c r="O1762" s="8" t="s">
        <v>63</v>
      </c>
      <c r="P1762" s="4" t="n">
        <v>60</v>
      </c>
      <c r="Q1762" s="8"/>
      <c r="R1762" s="4" t="s">
        <v>6063</v>
      </c>
      <c r="S1762" s="4"/>
    </row>
    <row r="1763" customFormat="false" ht="26.85" hidden="false" customHeight="false" outlineLevel="0" collapsed="false">
      <c r="A1763" s="4" t="s">
        <v>6064</v>
      </c>
      <c r="B1763" s="8" t="s">
        <v>6065</v>
      </c>
      <c r="C1763" s="8" t="s">
        <v>66</v>
      </c>
      <c r="D1763" s="8" t="s">
        <v>67</v>
      </c>
      <c r="E1763" s="8" t="s">
        <v>60</v>
      </c>
      <c r="F1763" s="8"/>
      <c r="G1763" s="8"/>
      <c r="H1763" s="8"/>
      <c r="I1763" s="8" t="s">
        <v>6066</v>
      </c>
      <c r="J1763" s="8" t="s">
        <v>76</v>
      </c>
      <c r="K1763" s="8" t="s">
        <v>6045</v>
      </c>
      <c r="L1763" s="8"/>
      <c r="M1763" s="8"/>
      <c r="N1763" s="8" t="s">
        <v>62</v>
      </c>
      <c r="O1763" s="8" t="s">
        <v>63</v>
      </c>
      <c r="P1763" s="4" t="n">
        <v>60</v>
      </c>
      <c r="Q1763" s="8"/>
      <c r="R1763" s="4" t="s">
        <v>6067</v>
      </c>
      <c r="S1763" s="4"/>
    </row>
    <row r="1764" customFormat="false" ht="26.85" hidden="false" customHeight="false" outlineLevel="0" collapsed="false">
      <c r="A1764" s="4" t="s">
        <v>6068</v>
      </c>
      <c r="B1764" s="8" t="s">
        <v>6069</v>
      </c>
      <c r="C1764" s="8" t="s">
        <v>58</v>
      </c>
      <c r="D1764" s="8"/>
      <c r="E1764" s="8" t="s">
        <v>60</v>
      </c>
      <c r="F1764" s="8"/>
      <c r="G1764" s="8"/>
      <c r="H1764" s="8"/>
      <c r="I1764" s="8" t="s">
        <v>6070</v>
      </c>
      <c r="J1764" s="8" t="s">
        <v>76</v>
      </c>
      <c r="K1764" s="8" t="s">
        <v>6045</v>
      </c>
      <c r="L1764" s="8"/>
      <c r="M1764" s="8"/>
      <c r="N1764" s="8" t="s">
        <v>62</v>
      </c>
      <c r="O1764" s="8" t="s">
        <v>63</v>
      </c>
      <c r="P1764" s="4" t="n">
        <v>60</v>
      </c>
      <c r="Q1764" s="8"/>
      <c r="R1764" s="4" t="s">
        <v>6071</v>
      </c>
      <c r="S1764" s="4"/>
    </row>
    <row r="1765" customFormat="false" ht="26.85" hidden="false" customHeight="false" outlineLevel="0" collapsed="false">
      <c r="A1765" s="4" t="s">
        <v>6072</v>
      </c>
      <c r="B1765" s="8" t="s">
        <v>6073</v>
      </c>
      <c r="C1765" s="8"/>
      <c r="D1765" s="8"/>
      <c r="E1765" s="8"/>
      <c r="F1765" s="8"/>
      <c r="G1765" s="8"/>
      <c r="H1765" s="8"/>
      <c r="I1765" s="8" t="s">
        <v>6074</v>
      </c>
      <c r="J1765" s="8" t="s">
        <v>76</v>
      </c>
      <c r="K1765" s="8" t="s">
        <v>6045</v>
      </c>
      <c r="L1765" s="8"/>
      <c r="M1765" s="8"/>
      <c r="N1765" s="8" t="s">
        <v>62</v>
      </c>
      <c r="O1765" s="8" t="s">
        <v>63</v>
      </c>
      <c r="P1765" s="4" t="n">
        <v>60</v>
      </c>
      <c r="Q1765" s="8"/>
      <c r="R1765" s="4" t="s">
        <v>6073</v>
      </c>
      <c r="S1765" s="4"/>
    </row>
    <row r="1766" customFormat="false" ht="26.85" hidden="false" customHeight="false" outlineLevel="0" collapsed="false">
      <c r="A1766" s="4" t="s">
        <v>6075</v>
      </c>
      <c r="B1766" s="8" t="s">
        <v>6076</v>
      </c>
      <c r="C1766" s="8"/>
      <c r="D1766" s="8"/>
      <c r="E1766" s="8"/>
      <c r="F1766" s="8"/>
      <c r="G1766" s="8"/>
      <c r="H1766" s="8"/>
      <c r="I1766" s="8" t="s">
        <v>6077</v>
      </c>
      <c r="J1766" s="8" t="s">
        <v>76</v>
      </c>
      <c r="K1766" s="8" t="s">
        <v>6045</v>
      </c>
      <c r="L1766" s="8"/>
      <c r="M1766" s="8"/>
      <c r="N1766" s="8" t="s">
        <v>62</v>
      </c>
      <c r="O1766" s="8" t="s">
        <v>63</v>
      </c>
      <c r="P1766" s="4" t="n">
        <v>60</v>
      </c>
      <c r="Q1766" s="8"/>
      <c r="R1766" s="4" t="s">
        <v>6076</v>
      </c>
      <c r="S1766" s="4" t="n">
        <v>1135</v>
      </c>
    </row>
    <row r="1767" customFormat="false" ht="26.85" hidden="false" customHeight="false" outlineLevel="0" collapsed="false">
      <c r="A1767" s="4" t="s">
        <v>6078</v>
      </c>
      <c r="B1767" s="8" t="s">
        <v>6079</v>
      </c>
      <c r="C1767" s="8" t="s">
        <v>58</v>
      </c>
      <c r="D1767" s="8"/>
      <c r="E1767" s="8" t="s">
        <v>60</v>
      </c>
      <c r="F1767" s="8"/>
      <c r="G1767" s="8"/>
      <c r="H1767" s="8"/>
      <c r="I1767" s="8" t="s">
        <v>3218</v>
      </c>
      <c r="J1767" s="8" t="s">
        <v>76</v>
      </c>
      <c r="K1767" s="8" t="s">
        <v>6045</v>
      </c>
      <c r="L1767" s="8"/>
      <c r="M1767" s="8"/>
      <c r="N1767" s="8" t="s">
        <v>62</v>
      </c>
      <c r="O1767" s="8" t="s">
        <v>63</v>
      </c>
      <c r="P1767" s="4" t="n">
        <v>60</v>
      </c>
      <c r="Q1767" s="8"/>
      <c r="R1767" s="4" t="s">
        <v>6080</v>
      </c>
      <c r="S1767" s="4"/>
    </row>
    <row r="1768" customFormat="false" ht="26.85" hidden="false" customHeight="false" outlineLevel="0" collapsed="false">
      <c r="A1768" s="4" t="s">
        <v>6081</v>
      </c>
      <c r="B1768" s="8" t="s">
        <v>1373</v>
      </c>
      <c r="C1768" s="8" t="s">
        <v>58</v>
      </c>
      <c r="D1768" s="8"/>
      <c r="E1768" s="8" t="s">
        <v>60</v>
      </c>
      <c r="F1768" s="8"/>
      <c r="G1768" s="8"/>
      <c r="H1768" s="8"/>
      <c r="I1768" s="8" t="s">
        <v>6082</v>
      </c>
      <c r="J1768" s="8" t="s">
        <v>76</v>
      </c>
      <c r="K1768" s="8" t="s">
        <v>6045</v>
      </c>
      <c r="L1768" s="8"/>
      <c r="M1768" s="8"/>
      <c r="N1768" s="8" t="s">
        <v>62</v>
      </c>
      <c r="O1768" s="8" t="s">
        <v>63</v>
      </c>
      <c r="P1768" s="4" t="n">
        <v>60</v>
      </c>
      <c r="Q1768" s="8"/>
      <c r="R1768" s="4" t="s">
        <v>1375</v>
      </c>
      <c r="S1768" s="4"/>
    </row>
    <row r="1769" customFormat="false" ht="26.85" hidden="false" customHeight="false" outlineLevel="0" collapsed="false">
      <c r="A1769" s="4" t="s">
        <v>6083</v>
      </c>
      <c r="B1769" s="8" t="s">
        <v>6084</v>
      </c>
      <c r="C1769" s="8"/>
      <c r="D1769" s="8"/>
      <c r="E1769" s="8"/>
      <c r="F1769" s="8"/>
      <c r="G1769" s="8"/>
      <c r="H1769" s="8"/>
      <c r="I1769" s="8" t="s">
        <v>6085</v>
      </c>
      <c r="J1769" s="8" t="s">
        <v>76</v>
      </c>
      <c r="K1769" s="8" t="s">
        <v>6045</v>
      </c>
      <c r="L1769" s="8"/>
      <c r="M1769" s="8"/>
      <c r="N1769" s="8" t="s">
        <v>62</v>
      </c>
      <c r="O1769" s="8" t="s">
        <v>63</v>
      </c>
      <c r="P1769" s="4" t="n">
        <v>60</v>
      </c>
      <c r="Q1769" s="8"/>
      <c r="R1769" s="4" t="s">
        <v>6084</v>
      </c>
      <c r="S1769" s="4" t="n">
        <v>275</v>
      </c>
    </row>
    <row r="1770" customFormat="false" ht="26.85" hidden="false" customHeight="false" outlineLevel="0" collapsed="false">
      <c r="A1770" s="4" t="s">
        <v>6086</v>
      </c>
      <c r="B1770" s="8" t="s">
        <v>6087</v>
      </c>
      <c r="C1770" s="8"/>
      <c r="D1770" s="8"/>
      <c r="E1770" s="8"/>
      <c r="F1770" s="8"/>
      <c r="G1770" s="8"/>
      <c r="H1770" s="8"/>
      <c r="I1770" s="8" t="s">
        <v>6088</v>
      </c>
      <c r="J1770" s="8" t="s">
        <v>76</v>
      </c>
      <c r="K1770" s="8" t="s">
        <v>6045</v>
      </c>
      <c r="L1770" s="8"/>
      <c r="M1770" s="8"/>
      <c r="N1770" s="8" t="s">
        <v>62</v>
      </c>
      <c r="O1770" s="8" t="s">
        <v>63</v>
      </c>
      <c r="P1770" s="4" t="n">
        <v>60</v>
      </c>
      <c r="Q1770" s="8"/>
      <c r="R1770" s="4" t="s">
        <v>6087</v>
      </c>
      <c r="S1770" s="4"/>
    </row>
    <row r="1771" customFormat="false" ht="26.85" hidden="false" customHeight="false" outlineLevel="0" collapsed="false">
      <c r="A1771" s="4" t="s">
        <v>6089</v>
      </c>
      <c r="B1771" s="8" t="s">
        <v>6090</v>
      </c>
      <c r="C1771" s="8" t="s">
        <v>58</v>
      </c>
      <c r="D1771" s="8"/>
      <c r="E1771" s="8" t="s">
        <v>60</v>
      </c>
      <c r="F1771" s="8"/>
      <c r="G1771" s="8"/>
      <c r="H1771" s="8"/>
      <c r="I1771" s="8" t="s">
        <v>6091</v>
      </c>
      <c r="J1771" s="8" t="s">
        <v>76</v>
      </c>
      <c r="K1771" s="8" t="s">
        <v>6045</v>
      </c>
      <c r="L1771" s="8"/>
      <c r="M1771" s="8"/>
      <c r="N1771" s="8" t="s">
        <v>62</v>
      </c>
      <c r="O1771" s="8" t="s">
        <v>63</v>
      </c>
      <c r="P1771" s="4" t="n">
        <v>60</v>
      </c>
      <c r="Q1771" s="8"/>
      <c r="R1771" s="4" t="s">
        <v>6092</v>
      </c>
      <c r="S1771" s="4"/>
    </row>
    <row r="1772" customFormat="false" ht="26.85" hidden="false" customHeight="false" outlineLevel="0" collapsed="false">
      <c r="A1772" s="4" t="s">
        <v>6093</v>
      </c>
      <c r="B1772" s="8" t="s">
        <v>6094</v>
      </c>
      <c r="C1772" s="8" t="s">
        <v>58</v>
      </c>
      <c r="D1772" s="8"/>
      <c r="E1772" s="8" t="s">
        <v>60</v>
      </c>
      <c r="F1772" s="8"/>
      <c r="G1772" s="8"/>
      <c r="H1772" s="8"/>
      <c r="I1772" s="8" t="s">
        <v>6095</v>
      </c>
      <c r="J1772" s="8" t="s">
        <v>76</v>
      </c>
      <c r="K1772" s="8" t="s">
        <v>6045</v>
      </c>
      <c r="L1772" s="8"/>
      <c r="M1772" s="8"/>
      <c r="N1772" s="8" t="s">
        <v>62</v>
      </c>
      <c r="O1772" s="8" t="s">
        <v>63</v>
      </c>
      <c r="P1772" s="4" t="n">
        <v>60</v>
      </c>
      <c r="Q1772" s="8"/>
      <c r="R1772" s="4" t="s">
        <v>6096</v>
      </c>
      <c r="S1772" s="4"/>
    </row>
    <row r="1773" customFormat="false" ht="26.85" hidden="false" customHeight="false" outlineLevel="0" collapsed="false">
      <c r="A1773" s="4" t="s">
        <v>6097</v>
      </c>
      <c r="B1773" s="8" t="s">
        <v>6098</v>
      </c>
      <c r="C1773" s="8" t="s">
        <v>58</v>
      </c>
      <c r="D1773" s="8"/>
      <c r="E1773" s="8" t="s">
        <v>60</v>
      </c>
      <c r="F1773" s="8"/>
      <c r="G1773" s="8"/>
      <c r="H1773" s="8"/>
      <c r="I1773" s="8" t="s">
        <v>6099</v>
      </c>
      <c r="J1773" s="8" t="s">
        <v>76</v>
      </c>
      <c r="K1773" s="8" t="s">
        <v>6045</v>
      </c>
      <c r="L1773" s="8"/>
      <c r="M1773" s="8"/>
      <c r="N1773" s="8" t="s">
        <v>62</v>
      </c>
      <c r="O1773" s="8" t="s">
        <v>63</v>
      </c>
      <c r="P1773" s="4" t="n">
        <v>60</v>
      </c>
      <c r="Q1773" s="8"/>
      <c r="R1773" s="4" t="s">
        <v>6100</v>
      </c>
      <c r="S1773" s="4"/>
    </row>
    <row r="1774" customFormat="false" ht="26.85" hidden="false" customHeight="false" outlineLevel="0" collapsed="false">
      <c r="A1774" s="4" t="s">
        <v>6101</v>
      </c>
      <c r="B1774" s="8" t="s">
        <v>6102</v>
      </c>
      <c r="C1774" s="8" t="s">
        <v>58</v>
      </c>
      <c r="D1774" s="8"/>
      <c r="E1774" s="8" t="s">
        <v>60</v>
      </c>
      <c r="F1774" s="8"/>
      <c r="G1774" s="8"/>
      <c r="H1774" s="8"/>
      <c r="I1774" s="8" t="s">
        <v>6103</v>
      </c>
      <c r="J1774" s="8" t="s">
        <v>76</v>
      </c>
      <c r="K1774" s="8" t="s">
        <v>6045</v>
      </c>
      <c r="L1774" s="8"/>
      <c r="M1774" s="8"/>
      <c r="N1774" s="8" t="s">
        <v>62</v>
      </c>
      <c r="O1774" s="8" t="s">
        <v>63</v>
      </c>
      <c r="P1774" s="4" t="n">
        <v>60</v>
      </c>
      <c r="Q1774" s="8"/>
      <c r="R1774" s="4" t="s">
        <v>6104</v>
      </c>
      <c r="S1774" s="4"/>
    </row>
    <row r="1775" customFormat="false" ht="26.85" hidden="false" customHeight="false" outlineLevel="0" collapsed="false">
      <c r="A1775" s="4" t="s">
        <v>6105</v>
      </c>
      <c r="B1775" s="8" t="s">
        <v>6106</v>
      </c>
      <c r="C1775" s="8" t="s">
        <v>58</v>
      </c>
      <c r="D1775" s="8"/>
      <c r="E1775" s="8" t="s">
        <v>60</v>
      </c>
      <c r="F1775" s="8"/>
      <c r="G1775" s="8"/>
      <c r="H1775" s="8"/>
      <c r="I1775" s="8" t="s">
        <v>6107</v>
      </c>
      <c r="J1775" s="8" t="s">
        <v>76</v>
      </c>
      <c r="K1775" s="8" t="s">
        <v>6045</v>
      </c>
      <c r="L1775" s="8"/>
      <c r="M1775" s="8"/>
      <c r="N1775" s="8" t="s">
        <v>62</v>
      </c>
      <c r="O1775" s="8" t="s">
        <v>63</v>
      </c>
      <c r="P1775" s="4" t="n">
        <v>60</v>
      </c>
      <c r="Q1775" s="8"/>
      <c r="R1775" s="4" t="s">
        <v>6108</v>
      </c>
      <c r="S1775" s="4"/>
    </row>
    <row r="1776" customFormat="false" ht="26.85" hidden="false" customHeight="false" outlineLevel="0" collapsed="false">
      <c r="A1776" s="4" t="s">
        <v>6109</v>
      </c>
      <c r="B1776" s="8" t="s">
        <v>6110</v>
      </c>
      <c r="C1776" s="8"/>
      <c r="D1776" s="8"/>
      <c r="E1776" s="8"/>
      <c r="F1776" s="8"/>
      <c r="G1776" s="8"/>
      <c r="H1776" s="8"/>
      <c r="I1776" s="8" t="s">
        <v>6111</v>
      </c>
      <c r="J1776" s="8" t="s">
        <v>76</v>
      </c>
      <c r="K1776" s="8" t="s">
        <v>6045</v>
      </c>
      <c r="L1776" s="8"/>
      <c r="M1776" s="8"/>
      <c r="N1776" s="8" t="s">
        <v>62</v>
      </c>
      <c r="O1776" s="8" t="s">
        <v>63</v>
      </c>
      <c r="P1776" s="4" t="n">
        <v>60</v>
      </c>
      <c r="Q1776" s="8"/>
      <c r="R1776" s="4" t="s">
        <v>6110</v>
      </c>
      <c r="S1776" s="4"/>
    </row>
    <row r="1777" customFormat="false" ht="26.85" hidden="false" customHeight="false" outlineLevel="0" collapsed="false">
      <c r="A1777" s="4" t="s">
        <v>6112</v>
      </c>
      <c r="B1777" s="8" t="s">
        <v>6113</v>
      </c>
      <c r="C1777" s="8" t="s">
        <v>58</v>
      </c>
      <c r="D1777" s="8"/>
      <c r="E1777" s="8" t="s">
        <v>60</v>
      </c>
      <c r="F1777" s="8"/>
      <c r="G1777" s="8"/>
      <c r="H1777" s="8"/>
      <c r="I1777" s="8" t="s">
        <v>6114</v>
      </c>
      <c r="J1777" s="8" t="s">
        <v>76</v>
      </c>
      <c r="K1777" s="8" t="s">
        <v>6045</v>
      </c>
      <c r="L1777" s="8"/>
      <c r="M1777" s="8"/>
      <c r="N1777" s="8" t="s">
        <v>62</v>
      </c>
      <c r="O1777" s="8" t="s">
        <v>63</v>
      </c>
      <c r="P1777" s="4" t="n">
        <v>60</v>
      </c>
      <c r="Q1777" s="8"/>
      <c r="R1777" s="4" t="s">
        <v>6115</v>
      </c>
      <c r="S1777" s="4"/>
    </row>
    <row r="1778" customFormat="false" ht="26.85" hidden="false" customHeight="false" outlineLevel="0" collapsed="false">
      <c r="A1778" s="4" t="s">
        <v>6116</v>
      </c>
      <c r="B1778" s="8" t="s">
        <v>3598</v>
      </c>
      <c r="C1778" s="8" t="s">
        <v>58</v>
      </c>
      <c r="D1778" s="8"/>
      <c r="E1778" s="8" t="s">
        <v>60</v>
      </c>
      <c r="F1778" s="8"/>
      <c r="G1778" s="8"/>
      <c r="H1778" s="8"/>
      <c r="I1778" s="8" t="s">
        <v>6117</v>
      </c>
      <c r="J1778" s="8" t="s">
        <v>76</v>
      </c>
      <c r="K1778" s="8" t="s">
        <v>6045</v>
      </c>
      <c r="L1778" s="8"/>
      <c r="M1778" s="8"/>
      <c r="N1778" s="8" t="s">
        <v>62</v>
      </c>
      <c r="O1778" s="8" t="s">
        <v>63</v>
      </c>
      <c r="P1778" s="4" t="n">
        <v>60</v>
      </c>
      <c r="Q1778" s="8"/>
      <c r="R1778" s="4" t="s">
        <v>3600</v>
      </c>
      <c r="S1778" s="4" t="n">
        <v>287</v>
      </c>
    </row>
    <row r="1779" customFormat="false" ht="26.85" hidden="false" customHeight="false" outlineLevel="0" collapsed="false">
      <c r="A1779" s="4" t="s">
        <v>6118</v>
      </c>
      <c r="B1779" s="8" t="s">
        <v>6119</v>
      </c>
      <c r="C1779" s="8" t="s">
        <v>58</v>
      </c>
      <c r="D1779" s="8"/>
      <c r="E1779" s="8" t="s">
        <v>60</v>
      </c>
      <c r="F1779" s="8"/>
      <c r="G1779" s="8"/>
      <c r="H1779" s="8"/>
      <c r="I1779" s="8" t="s">
        <v>6120</v>
      </c>
      <c r="J1779" s="8" t="s">
        <v>76</v>
      </c>
      <c r="K1779" s="8" t="s">
        <v>6045</v>
      </c>
      <c r="L1779" s="8"/>
      <c r="M1779" s="8"/>
      <c r="N1779" s="8" t="s">
        <v>62</v>
      </c>
      <c r="O1779" s="8" t="s">
        <v>63</v>
      </c>
      <c r="P1779" s="4" t="n">
        <v>60</v>
      </c>
      <c r="Q1779" s="8"/>
      <c r="R1779" s="4" t="s">
        <v>6121</v>
      </c>
      <c r="S1779" s="4"/>
    </row>
    <row r="1780" customFormat="false" ht="26.85" hidden="false" customHeight="false" outlineLevel="0" collapsed="false">
      <c r="A1780" s="4" t="s">
        <v>6122</v>
      </c>
      <c r="B1780" s="8" t="s">
        <v>6123</v>
      </c>
      <c r="C1780" s="8" t="s">
        <v>58</v>
      </c>
      <c r="D1780" s="8"/>
      <c r="E1780" s="8" t="s">
        <v>60</v>
      </c>
      <c r="F1780" s="8"/>
      <c r="G1780" s="8"/>
      <c r="H1780" s="8"/>
      <c r="I1780" s="8" t="s">
        <v>6124</v>
      </c>
      <c r="J1780" s="8" t="s">
        <v>76</v>
      </c>
      <c r="K1780" s="8" t="s">
        <v>6045</v>
      </c>
      <c r="L1780" s="8"/>
      <c r="M1780" s="8"/>
      <c r="N1780" s="8" t="s">
        <v>62</v>
      </c>
      <c r="O1780" s="8" t="s">
        <v>63</v>
      </c>
      <c r="P1780" s="4" t="n">
        <v>60</v>
      </c>
      <c r="Q1780" s="8"/>
      <c r="R1780" s="4" t="s">
        <v>6125</v>
      </c>
      <c r="S1780" s="4" t="n">
        <v>200</v>
      </c>
    </row>
    <row r="1781" customFormat="false" ht="26.85" hidden="false" customHeight="false" outlineLevel="0" collapsed="false">
      <c r="A1781" s="4" t="s">
        <v>6126</v>
      </c>
      <c r="B1781" s="8" t="s">
        <v>6127</v>
      </c>
      <c r="C1781" s="8" t="s">
        <v>58</v>
      </c>
      <c r="D1781" s="8"/>
      <c r="E1781" s="8" t="s">
        <v>60</v>
      </c>
      <c r="F1781" s="8"/>
      <c r="G1781" s="8"/>
      <c r="H1781" s="8"/>
      <c r="I1781" s="8" t="s">
        <v>6128</v>
      </c>
      <c r="J1781" s="8" t="s">
        <v>76</v>
      </c>
      <c r="K1781" s="8" t="s">
        <v>6045</v>
      </c>
      <c r="L1781" s="8"/>
      <c r="M1781" s="8"/>
      <c r="N1781" s="8" t="s">
        <v>62</v>
      </c>
      <c r="O1781" s="8" t="s">
        <v>63</v>
      </c>
      <c r="P1781" s="4" t="n">
        <v>60</v>
      </c>
      <c r="Q1781" s="8"/>
      <c r="R1781" s="4" t="s">
        <v>6129</v>
      </c>
      <c r="S1781" s="4"/>
    </row>
    <row r="1782" customFormat="false" ht="26.85" hidden="false" customHeight="false" outlineLevel="0" collapsed="false">
      <c r="A1782" s="4" t="s">
        <v>6130</v>
      </c>
      <c r="B1782" s="8" t="s">
        <v>6131</v>
      </c>
      <c r="C1782" s="8"/>
      <c r="D1782" s="8"/>
      <c r="E1782" s="8"/>
      <c r="F1782" s="8"/>
      <c r="G1782" s="8"/>
      <c r="H1782" s="8"/>
      <c r="I1782" s="8" t="s">
        <v>6132</v>
      </c>
      <c r="J1782" s="8" t="s">
        <v>76</v>
      </c>
      <c r="K1782" s="8" t="s">
        <v>6045</v>
      </c>
      <c r="L1782" s="8"/>
      <c r="M1782" s="8"/>
      <c r="N1782" s="8" t="s">
        <v>62</v>
      </c>
      <c r="O1782" s="8" t="s">
        <v>63</v>
      </c>
      <c r="P1782" s="4" t="n">
        <v>60</v>
      </c>
      <c r="Q1782" s="8"/>
      <c r="R1782" s="4" t="s">
        <v>6131</v>
      </c>
      <c r="S1782" s="4"/>
    </row>
    <row r="1783" customFormat="false" ht="26.85" hidden="false" customHeight="false" outlineLevel="0" collapsed="false">
      <c r="A1783" s="4" t="s">
        <v>6133</v>
      </c>
      <c r="B1783" s="8" t="s">
        <v>6134</v>
      </c>
      <c r="C1783" s="8" t="s">
        <v>58</v>
      </c>
      <c r="D1783" s="8"/>
      <c r="E1783" s="8" t="s">
        <v>60</v>
      </c>
      <c r="F1783" s="8"/>
      <c r="G1783" s="8"/>
      <c r="H1783" s="8"/>
      <c r="I1783" s="8" t="s">
        <v>6135</v>
      </c>
      <c r="J1783" s="8" t="s">
        <v>76</v>
      </c>
      <c r="K1783" s="8" t="s">
        <v>6045</v>
      </c>
      <c r="L1783" s="8"/>
      <c r="M1783" s="8"/>
      <c r="N1783" s="8" t="s">
        <v>62</v>
      </c>
      <c r="O1783" s="8" t="s">
        <v>63</v>
      </c>
      <c r="P1783" s="4" t="n">
        <v>60</v>
      </c>
      <c r="Q1783" s="8"/>
      <c r="R1783" s="4" t="s">
        <v>6136</v>
      </c>
      <c r="S1783" s="4"/>
    </row>
    <row r="1784" customFormat="false" ht="26.85" hidden="false" customHeight="false" outlineLevel="0" collapsed="false">
      <c r="A1784" s="4" t="s">
        <v>6137</v>
      </c>
      <c r="B1784" s="8" t="s">
        <v>4475</v>
      </c>
      <c r="C1784" s="8" t="s">
        <v>58</v>
      </c>
      <c r="D1784" s="8"/>
      <c r="E1784" s="8" t="s">
        <v>60</v>
      </c>
      <c r="F1784" s="8"/>
      <c r="G1784" s="8"/>
      <c r="H1784" s="8"/>
      <c r="I1784" s="8" t="s">
        <v>4476</v>
      </c>
      <c r="J1784" s="8" t="s">
        <v>76</v>
      </c>
      <c r="K1784" s="8" t="s">
        <v>6045</v>
      </c>
      <c r="L1784" s="8"/>
      <c r="M1784" s="8"/>
      <c r="N1784" s="8" t="s">
        <v>62</v>
      </c>
      <c r="O1784" s="8" t="s">
        <v>63</v>
      </c>
      <c r="P1784" s="4" t="n">
        <v>60</v>
      </c>
      <c r="Q1784" s="8"/>
      <c r="R1784" s="4" t="s">
        <v>4477</v>
      </c>
      <c r="S1784" s="4"/>
    </row>
    <row r="1785" customFormat="false" ht="26.85" hidden="false" customHeight="false" outlineLevel="0" collapsed="false">
      <c r="A1785" s="4" t="s">
        <v>6138</v>
      </c>
      <c r="B1785" s="8" t="s">
        <v>6139</v>
      </c>
      <c r="C1785" s="8"/>
      <c r="D1785" s="8"/>
      <c r="E1785" s="8"/>
      <c r="F1785" s="8"/>
      <c r="G1785" s="8"/>
      <c r="H1785" s="8"/>
      <c r="I1785" s="8" t="s">
        <v>6140</v>
      </c>
      <c r="J1785" s="8" t="s">
        <v>76</v>
      </c>
      <c r="K1785" s="8" t="s">
        <v>6045</v>
      </c>
      <c r="L1785" s="8"/>
      <c r="M1785" s="8"/>
      <c r="N1785" s="8" t="s">
        <v>62</v>
      </c>
      <c r="O1785" s="8" t="s">
        <v>63</v>
      </c>
      <c r="P1785" s="4" t="n">
        <v>60</v>
      </c>
      <c r="Q1785" s="8"/>
      <c r="R1785" s="4" t="s">
        <v>6139</v>
      </c>
      <c r="S1785" s="4"/>
    </row>
    <row r="1786" customFormat="false" ht="26.85" hidden="false" customHeight="false" outlineLevel="0" collapsed="false">
      <c r="A1786" s="4" t="s">
        <v>6141</v>
      </c>
      <c r="B1786" s="8" t="s">
        <v>6142</v>
      </c>
      <c r="C1786" s="8" t="s">
        <v>58</v>
      </c>
      <c r="D1786" s="8"/>
      <c r="E1786" s="8" t="s">
        <v>60</v>
      </c>
      <c r="F1786" s="8"/>
      <c r="G1786" s="8"/>
      <c r="H1786" s="8"/>
      <c r="I1786" s="8" t="s">
        <v>6143</v>
      </c>
      <c r="J1786" s="8" t="s">
        <v>76</v>
      </c>
      <c r="K1786" s="8" t="s">
        <v>6045</v>
      </c>
      <c r="L1786" s="8"/>
      <c r="M1786" s="8"/>
      <c r="N1786" s="8" t="s">
        <v>62</v>
      </c>
      <c r="O1786" s="8" t="s">
        <v>63</v>
      </c>
      <c r="P1786" s="4" t="n">
        <v>60</v>
      </c>
      <c r="Q1786" s="8"/>
      <c r="R1786" s="4" t="s">
        <v>6144</v>
      </c>
      <c r="S1786" s="4"/>
    </row>
    <row r="1787" customFormat="false" ht="26.85" hidden="false" customHeight="false" outlineLevel="0" collapsed="false">
      <c r="A1787" s="4" t="s">
        <v>6145</v>
      </c>
      <c r="B1787" s="8" t="s">
        <v>562</v>
      </c>
      <c r="C1787" s="8"/>
      <c r="D1787" s="8"/>
      <c r="E1787" s="8"/>
      <c r="F1787" s="8"/>
      <c r="G1787" s="8"/>
      <c r="H1787" s="8"/>
      <c r="I1787" s="8" t="s">
        <v>563</v>
      </c>
      <c r="J1787" s="8" t="s">
        <v>76</v>
      </c>
      <c r="K1787" s="8" t="s">
        <v>6045</v>
      </c>
      <c r="L1787" s="8"/>
      <c r="M1787" s="8"/>
      <c r="N1787" s="8" t="s">
        <v>62</v>
      </c>
      <c r="O1787" s="8" t="s">
        <v>63</v>
      </c>
      <c r="P1787" s="4" t="n">
        <v>60</v>
      </c>
      <c r="Q1787" s="8"/>
      <c r="R1787" s="4" t="s">
        <v>562</v>
      </c>
      <c r="S1787" s="4" t="n">
        <v>591</v>
      </c>
    </row>
    <row r="1788" customFormat="false" ht="26.85" hidden="false" customHeight="false" outlineLevel="0" collapsed="false">
      <c r="A1788" s="4" t="s">
        <v>6146</v>
      </c>
      <c r="B1788" s="8" t="s">
        <v>6147</v>
      </c>
      <c r="C1788" s="8"/>
      <c r="D1788" s="8"/>
      <c r="E1788" s="8"/>
      <c r="F1788" s="8"/>
      <c r="G1788" s="8"/>
      <c r="H1788" s="8"/>
      <c r="I1788" s="8" t="s">
        <v>6148</v>
      </c>
      <c r="J1788" s="8" t="s">
        <v>76</v>
      </c>
      <c r="K1788" s="8" t="s">
        <v>6045</v>
      </c>
      <c r="L1788" s="8"/>
      <c r="M1788" s="8"/>
      <c r="N1788" s="8" t="s">
        <v>62</v>
      </c>
      <c r="O1788" s="8" t="s">
        <v>63</v>
      </c>
      <c r="P1788" s="4" t="n">
        <v>60</v>
      </c>
      <c r="Q1788" s="8"/>
      <c r="R1788" s="4" t="s">
        <v>6147</v>
      </c>
      <c r="S1788" s="4"/>
    </row>
    <row r="1789" customFormat="false" ht="26.85" hidden="false" customHeight="false" outlineLevel="0" collapsed="false">
      <c r="A1789" s="4" t="s">
        <v>6149</v>
      </c>
      <c r="B1789" s="8" t="s">
        <v>6150</v>
      </c>
      <c r="C1789" s="8" t="s">
        <v>58</v>
      </c>
      <c r="D1789" s="8"/>
      <c r="E1789" s="8" t="s">
        <v>60</v>
      </c>
      <c r="F1789" s="8"/>
      <c r="G1789" s="8"/>
      <c r="H1789" s="8"/>
      <c r="I1789" s="8" t="s">
        <v>6151</v>
      </c>
      <c r="J1789" s="8" t="s">
        <v>76</v>
      </c>
      <c r="K1789" s="8" t="s">
        <v>6045</v>
      </c>
      <c r="L1789" s="8"/>
      <c r="M1789" s="8"/>
      <c r="N1789" s="8" t="s">
        <v>62</v>
      </c>
      <c r="O1789" s="8" t="s">
        <v>63</v>
      </c>
      <c r="P1789" s="4" t="n">
        <v>60</v>
      </c>
      <c r="Q1789" s="8"/>
      <c r="R1789" s="4" t="s">
        <v>6152</v>
      </c>
      <c r="S1789" s="4"/>
    </row>
    <row r="1790" customFormat="false" ht="26.85" hidden="false" customHeight="false" outlineLevel="0" collapsed="false">
      <c r="A1790" s="4" t="s">
        <v>6153</v>
      </c>
      <c r="B1790" s="8" t="s">
        <v>6154</v>
      </c>
      <c r="C1790" s="8"/>
      <c r="D1790" s="8"/>
      <c r="E1790" s="8"/>
      <c r="F1790" s="8"/>
      <c r="G1790" s="8"/>
      <c r="H1790" s="8"/>
      <c r="I1790" s="8" t="s">
        <v>6155</v>
      </c>
      <c r="J1790" s="8" t="s">
        <v>76</v>
      </c>
      <c r="K1790" s="8" t="s">
        <v>6045</v>
      </c>
      <c r="L1790" s="8"/>
      <c r="M1790" s="8"/>
      <c r="N1790" s="8" t="s">
        <v>62</v>
      </c>
      <c r="O1790" s="8" t="s">
        <v>63</v>
      </c>
      <c r="P1790" s="4" t="n">
        <v>60</v>
      </c>
      <c r="Q1790" s="8"/>
      <c r="R1790" s="4" t="s">
        <v>6154</v>
      </c>
      <c r="S1790" s="4"/>
    </row>
    <row r="1791" customFormat="false" ht="26.85" hidden="false" customHeight="false" outlineLevel="0" collapsed="false">
      <c r="A1791" s="4" t="s">
        <v>6156</v>
      </c>
      <c r="B1791" s="8" t="s">
        <v>6157</v>
      </c>
      <c r="C1791" s="8" t="s">
        <v>58</v>
      </c>
      <c r="D1791" s="8"/>
      <c r="E1791" s="8" t="s">
        <v>60</v>
      </c>
      <c r="F1791" s="8"/>
      <c r="G1791" s="8"/>
      <c r="H1791" s="8"/>
      <c r="I1791" s="8" t="s">
        <v>6158</v>
      </c>
      <c r="J1791" s="8" t="s">
        <v>76</v>
      </c>
      <c r="K1791" s="8" t="s">
        <v>6045</v>
      </c>
      <c r="L1791" s="8"/>
      <c r="M1791" s="8"/>
      <c r="N1791" s="8" t="s">
        <v>62</v>
      </c>
      <c r="O1791" s="8" t="s">
        <v>63</v>
      </c>
      <c r="P1791" s="4" t="n">
        <v>60</v>
      </c>
      <c r="Q1791" s="8"/>
      <c r="R1791" s="4" t="s">
        <v>6159</v>
      </c>
      <c r="S1791" s="4"/>
    </row>
    <row r="1792" customFormat="false" ht="26.85" hidden="false" customHeight="false" outlineLevel="0" collapsed="false">
      <c r="A1792" s="4" t="s">
        <v>6160</v>
      </c>
      <c r="B1792" s="8" t="s">
        <v>6161</v>
      </c>
      <c r="C1792" s="8" t="s">
        <v>58</v>
      </c>
      <c r="D1792" s="8"/>
      <c r="E1792" s="8" t="s">
        <v>60</v>
      </c>
      <c r="F1792" s="8"/>
      <c r="G1792" s="8"/>
      <c r="H1792" s="8"/>
      <c r="I1792" s="8" t="s">
        <v>6162</v>
      </c>
      <c r="J1792" s="8" t="s">
        <v>76</v>
      </c>
      <c r="K1792" s="8" t="s">
        <v>6045</v>
      </c>
      <c r="L1792" s="8"/>
      <c r="M1792" s="8"/>
      <c r="N1792" s="8" t="s">
        <v>62</v>
      </c>
      <c r="O1792" s="8" t="s">
        <v>63</v>
      </c>
      <c r="P1792" s="4" t="n">
        <v>60</v>
      </c>
      <c r="Q1792" s="8"/>
      <c r="R1792" s="4" t="s">
        <v>6163</v>
      </c>
      <c r="S1792" s="4"/>
    </row>
    <row r="1793" customFormat="false" ht="26.85" hidden="false" customHeight="false" outlineLevel="0" collapsed="false">
      <c r="A1793" s="4" t="s">
        <v>6164</v>
      </c>
      <c r="B1793" s="8" t="s">
        <v>6165</v>
      </c>
      <c r="C1793" s="8" t="s">
        <v>58</v>
      </c>
      <c r="D1793" s="8"/>
      <c r="E1793" s="8" t="s">
        <v>60</v>
      </c>
      <c r="F1793" s="8"/>
      <c r="G1793" s="8"/>
      <c r="H1793" s="8"/>
      <c r="I1793" s="8" t="s">
        <v>6166</v>
      </c>
      <c r="J1793" s="8" t="s">
        <v>76</v>
      </c>
      <c r="K1793" s="8" t="s">
        <v>6045</v>
      </c>
      <c r="L1793" s="8"/>
      <c r="M1793" s="8"/>
      <c r="N1793" s="8" t="s">
        <v>62</v>
      </c>
      <c r="O1793" s="8" t="s">
        <v>63</v>
      </c>
      <c r="P1793" s="4" t="n">
        <v>60</v>
      </c>
      <c r="Q1793" s="8"/>
      <c r="R1793" s="4" t="s">
        <v>6167</v>
      </c>
      <c r="S1793" s="4"/>
    </row>
    <row r="1794" customFormat="false" ht="26.85" hidden="false" customHeight="false" outlineLevel="0" collapsed="false">
      <c r="A1794" s="4" t="s">
        <v>6168</v>
      </c>
      <c r="B1794" s="8" t="s">
        <v>6169</v>
      </c>
      <c r="C1794" s="8" t="s">
        <v>58</v>
      </c>
      <c r="D1794" s="8"/>
      <c r="E1794" s="8" t="s">
        <v>60</v>
      </c>
      <c r="F1794" s="8"/>
      <c r="G1794" s="8"/>
      <c r="H1794" s="8"/>
      <c r="I1794" s="8" t="s">
        <v>6170</v>
      </c>
      <c r="J1794" s="8" t="s">
        <v>76</v>
      </c>
      <c r="K1794" s="8" t="s">
        <v>6045</v>
      </c>
      <c r="L1794" s="8"/>
      <c r="M1794" s="8"/>
      <c r="N1794" s="8" t="s">
        <v>62</v>
      </c>
      <c r="O1794" s="8" t="s">
        <v>63</v>
      </c>
      <c r="P1794" s="4" t="n">
        <v>60</v>
      </c>
      <c r="Q1794" s="8"/>
      <c r="R1794" s="4" t="s">
        <v>6171</v>
      </c>
      <c r="S1794" s="4"/>
    </row>
    <row r="1795" customFormat="false" ht="26.85" hidden="false" customHeight="false" outlineLevel="0" collapsed="false">
      <c r="A1795" s="4" t="s">
        <v>6172</v>
      </c>
      <c r="B1795" s="8" t="s">
        <v>6173</v>
      </c>
      <c r="C1795" s="8"/>
      <c r="D1795" s="8"/>
      <c r="E1795" s="8"/>
      <c r="F1795" s="8"/>
      <c r="G1795" s="8"/>
      <c r="H1795" s="8"/>
      <c r="I1795" s="8" t="s">
        <v>6174</v>
      </c>
      <c r="J1795" s="8" t="s">
        <v>76</v>
      </c>
      <c r="K1795" s="8" t="s">
        <v>6045</v>
      </c>
      <c r="L1795" s="8"/>
      <c r="M1795" s="8"/>
      <c r="N1795" s="8" t="s">
        <v>62</v>
      </c>
      <c r="O1795" s="8" t="s">
        <v>63</v>
      </c>
      <c r="P1795" s="4" t="n">
        <v>61</v>
      </c>
      <c r="Q1795" s="8"/>
      <c r="R1795" s="4" t="s">
        <v>6173</v>
      </c>
      <c r="S1795" s="4" t="n">
        <v>1654</v>
      </c>
    </row>
    <row r="1796" customFormat="false" ht="26.85" hidden="false" customHeight="false" outlineLevel="0" collapsed="false">
      <c r="A1796" s="4" t="s">
        <v>6175</v>
      </c>
      <c r="B1796" s="8" t="s">
        <v>6176</v>
      </c>
      <c r="C1796" s="8"/>
      <c r="D1796" s="8"/>
      <c r="E1796" s="8"/>
      <c r="F1796" s="8"/>
      <c r="G1796" s="8"/>
      <c r="H1796" s="8"/>
      <c r="I1796" s="8" t="s">
        <v>6177</v>
      </c>
      <c r="J1796" s="8" t="s">
        <v>76</v>
      </c>
      <c r="K1796" s="8" t="s">
        <v>6045</v>
      </c>
      <c r="L1796" s="8"/>
      <c r="M1796" s="8"/>
      <c r="N1796" s="8" t="s">
        <v>62</v>
      </c>
      <c r="O1796" s="8" t="s">
        <v>63</v>
      </c>
      <c r="P1796" s="4" t="n">
        <v>61</v>
      </c>
      <c r="Q1796" s="8"/>
      <c r="R1796" s="4" t="s">
        <v>6176</v>
      </c>
      <c r="S1796" s="4"/>
    </row>
    <row r="1797" customFormat="false" ht="26.85" hidden="false" customHeight="false" outlineLevel="0" collapsed="false">
      <c r="A1797" s="4" t="s">
        <v>6178</v>
      </c>
      <c r="B1797" s="8" t="s">
        <v>5912</v>
      </c>
      <c r="C1797" s="8"/>
      <c r="D1797" s="8"/>
      <c r="E1797" s="8"/>
      <c r="F1797" s="8"/>
      <c r="G1797" s="8"/>
      <c r="H1797" s="8"/>
      <c r="I1797" s="8" t="s">
        <v>5913</v>
      </c>
      <c r="J1797" s="8" t="s">
        <v>76</v>
      </c>
      <c r="K1797" s="8" t="s">
        <v>6045</v>
      </c>
      <c r="L1797" s="8"/>
      <c r="M1797" s="8"/>
      <c r="N1797" s="8" t="s">
        <v>62</v>
      </c>
      <c r="O1797" s="8" t="s">
        <v>63</v>
      </c>
      <c r="P1797" s="4" t="n">
        <v>61</v>
      </c>
      <c r="Q1797" s="8"/>
      <c r="R1797" s="4" t="s">
        <v>5912</v>
      </c>
      <c r="S1797" s="4" t="n">
        <v>121</v>
      </c>
    </row>
    <row r="1798" customFormat="false" ht="26.85" hidden="false" customHeight="false" outlineLevel="0" collapsed="false">
      <c r="A1798" s="4" t="s">
        <v>6179</v>
      </c>
      <c r="B1798" s="8" t="s">
        <v>6180</v>
      </c>
      <c r="C1798" s="8"/>
      <c r="D1798" s="8"/>
      <c r="E1798" s="8"/>
      <c r="F1798" s="8"/>
      <c r="G1798" s="8"/>
      <c r="H1798" s="8"/>
      <c r="I1798" s="8" t="s">
        <v>6181</v>
      </c>
      <c r="J1798" s="8" t="s">
        <v>76</v>
      </c>
      <c r="K1798" s="8" t="s">
        <v>6045</v>
      </c>
      <c r="L1798" s="8"/>
      <c r="M1798" s="8"/>
      <c r="N1798" s="8" t="s">
        <v>62</v>
      </c>
      <c r="O1798" s="8" t="s">
        <v>63</v>
      </c>
      <c r="P1798" s="4" t="n">
        <v>61</v>
      </c>
      <c r="Q1798" s="8"/>
      <c r="R1798" s="4" t="s">
        <v>6180</v>
      </c>
      <c r="S1798" s="4"/>
    </row>
    <row r="1799" customFormat="false" ht="26.85" hidden="false" customHeight="false" outlineLevel="0" collapsed="false">
      <c r="A1799" s="4" t="s">
        <v>6182</v>
      </c>
      <c r="B1799" s="8" t="s">
        <v>6183</v>
      </c>
      <c r="C1799" s="8" t="s">
        <v>58</v>
      </c>
      <c r="D1799" s="8"/>
      <c r="E1799" s="8" t="s">
        <v>60</v>
      </c>
      <c r="F1799" s="8"/>
      <c r="G1799" s="8"/>
      <c r="H1799" s="8"/>
      <c r="I1799" s="8" t="s">
        <v>6184</v>
      </c>
      <c r="J1799" s="8" t="s">
        <v>76</v>
      </c>
      <c r="K1799" s="8" t="s">
        <v>6045</v>
      </c>
      <c r="L1799" s="8"/>
      <c r="M1799" s="8"/>
      <c r="N1799" s="8" t="s">
        <v>62</v>
      </c>
      <c r="O1799" s="8" t="s">
        <v>63</v>
      </c>
      <c r="P1799" s="4" t="n">
        <v>61</v>
      </c>
      <c r="Q1799" s="8"/>
      <c r="R1799" s="4" t="s">
        <v>6185</v>
      </c>
      <c r="S1799" s="4"/>
    </row>
    <row r="1800" customFormat="false" ht="26.85" hidden="false" customHeight="false" outlineLevel="0" collapsed="false">
      <c r="A1800" s="4" t="s">
        <v>6186</v>
      </c>
      <c r="B1800" s="8" t="s">
        <v>6187</v>
      </c>
      <c r="C1800" s="8" t="s">
        <v>58</v>
      </c>
      <c r="D1800" s="8"/>
      <c r="E1800" s="8" t="s">
        <v>60</v>
      </c>
      <c r="F1800" s="8"/>
      <c r="G1800" s="8"/>
      <c r="H1800" s="8"/>
      <c r="I1800" s="8" t="s">
        <v>6188</v>
      </c>
      <c r="J1800" s="8" t="s">
        <v>76</v>
      </c>
      <c r="K1800" s="8" t="s">
        <v>6045</v>
      </c>
      <c r="L1800" s="8"/>
      <c r="M1800" s="8"/>
      <c r="N1800" s="8" t="s">
        <v>62</v>
      </c>
      <c r="O1800" s="8" t="s">
        <v>63</v>
      </c>
      <c r="P1800" s="4" t="n">
        <v>61</v>
      </c>
      <c r="Q1800" s="8"/>
      <c r="R1800" s="4" t="s">
        <v>6189</v>
      </c>
      <c r="S1800" s="4"/>
    </row>
    <row r="1801" customFormat="false" ht="26.85" hidden="false" customHeight="false" outlineLevel="0" collapsed="false">
      <c r="A1801" s="4" t="s">
        <v>6190</v>
      </c>
      <c r="B1801" s="8" t="s">
        <v>6191</v>
      </c>
      <c r="C1801" s="8" t="s">
        <v>58</v>
      </c>
      <c r="D1801" s="8"/>
      <c r="E1801" s="8" t="s">
        <v>60</v>
      </c>
      <c r="F1801" s="8"/>
      <c r="G1801" s="8"/>
      <c r="H1801" s="8"/>
      <c r="I1801" s="8" t="s">
        <v>6192</v>
      </c>
      <c r="J1801" s="8" t="s">
        <v>76</v>
      </c>
      <c r="K1801" s="8" t="s">
        <v>6045</v>
      </c>
      <c r="L1801" s="8"/>
      <c r="M1801" s="8"/>
      <c r="N1801" s="8" t="s">
        <v>62</v>
      </c>
      <c r="O1801" s="8" t="s">
        <v>63</v>
      </c>
      <c r="P1801" s="4" t="n">
        <v>61</v>
      </c>
      <c r="Q1801" s="8"/>
      <c r="R1801" s="4" t="s">
        <v>6193</v>
      </c>
      <c r="S1801" s="4"/>
    </row>
    <row r="1802" customFormat="false" ht="26.85" hidden="false" customHeight="false" outlineLevel="0" collapsed="false">
      <c r="A1802" s="4" t="s">
        <v>6194</v>
      </c>
      <c r="B1802" s="8" t="s">
        <v>6195</v>
      </c>
      <c r="C1802" s="8"/>
      <c r="D1802" s="8"/>
      <c r="E1802" s="8"/>
      <c r="F1802" s="8"/>
      <c r="G1802" s="8"/>
      <c r="H1802" s="8"/>
      <c r="I1802" s="8" t="s">
        <v>6196</v>
      </c>
      <c r="J1802" s="8" t="s">
        <v>76</v>
      </c>
      <c r="K1802" s="8" t="s">
        <v>6045</v>
      </c>
      <c r="L1802" s="8"/>
      <c r="M1802" s="8"/>
      <c r="N1802" s="8" t="s">
        <v>62</v>
      </c>
      <c r="O1802" s="8" t="s">
        <v>63</v>
      </c>
      <c r="P1802" s="4" t="n">
        <v>61</v>
      </c>
      <c r="Q1802" s="8"/>
      <c r="R1802" s="4" t="s">
        <v>6195</v>
      </c>
      <c r="S1802" s="4"/>
    </row>
    <row r="1803" customFormat="false" ht="26.85" hidden="false" customHeight="false" outlineLevel="0" collapsed="false">
      <c r="A1803" s="4" t="s">
        <v>6197</v>
      </c>
      <c r="B1803" s="8" t="s">
        <v>6198</v>
      </c>
      <c r="C1803" s="8"/>
      <c r="D1803" s="8"/>
      <c r="E1803" s="8"/>
      <c r="F1803" s="8"/>
      <c r="G1803" s="8"/>
      <c r="H1803" s="8"/>
      <c r="I1803" s="8" t="s">
        <v>6199</v>
      </c>
      <c r="J1803" s="8" t="s">
        <v>76</v>
      </c>
      <c r="K1803" s="8" t="s">
        <v>6045</v>
      </c>
      <c r="L1803" s="8"/>
      <c r="M1803" s="8"/>
      <c r="N1803" s="8" t="s">
        <v>62</v>
      </c>
      <c r="O1803" s="8" t="s">
        <v>63</v>
      </c>
      <c r="P1803" s="4" t="n">
        <v>61</v>
      </c>
      <c r="Q1803" s="8"/>
      <c r="R1803" s="4" t="s">
        <v>6198</v>
      </c>
      <c r="S1803" s="4"/>
    </row>
    <row r="1804" customFormat="false" ht="26.85" hidden="false" customHeight="false" outlineLevel="0" collapsed="false">
      <c r="A1804" s="4" t="s">
        <v>6200</v>
      </c>
      <c r="B1804" s="8" t="s">
        <v>6201</v>
      </c>
      <c r="C1804" s="8"/>
      <c r="D1804" s="8"/>
      <c r="E1804" s="8"/>
      <c r="F1804" s="8"/>
      <c r="G1804" s="8"/>
      <c r="H1804" s="8"/>
      <c r="I1804" s="8" t="s">
        <v>6202</v>
      </c>
      <c r="J1804" s="8" t="s">
        <v>76</v>
      </c>
      <c r="K1804" s="8" t="s">
        <v>6045</v>
      </c>
      <c r="L1804" s="8"/>
      <c r="M1804" s="8"/>
      <c r="N1804" s="8" t="s">
        <v>62</v>
      </c>
      <c r="O1804" s="8" t="s">
        <v>63</v>
      </c>
      <c r="P1804" s="4" t="n">
        <v>61</v>
      </c>
      <c r="Q1804" s="8"/>
      <c r="R1804" s="4" t="s">
        <v>6201</v>
      </c>
      <c r="S1804" s="4"/>
    </row>
    <row r="1805" customFormat="false" ht="26.85" hidden="false" customHeight="false" outlineLevel="0" collapsed="false">
      <c r="A1805" s="4" t="s">
        <v>6203</v>
      </c>
      <c r="B1805" s="8" t="s">
        <v>945</v>
      </c>
      <c r="C1805" s="8" t="s">
        <v>58</v>
      </c>
      <c r="D1805" s="8"/>
      <c r="E1805" s="8" t="s">
        <v>60</v>
      </c>
      <c r="F1805" s="8"/>
      <c r="G1805" s="8"/>
      <c r="H1805" s="8"/>
      <c r="I1805" s="8" t="s">
        <v>946</v>
      </c>
      <c r="J1805" s="8" t="s">
        <v>76</v>
      </c>
      <c r="K1805" s="8" t="s">
        <v>6045</v>
      </c>
      <c r="L1805" s="8"/>
      <c r="M1805" s="8"/>
      <c r="N1805" s="8" t="s">
        <v>62</v>
      </c>
      <c r="O1805" s="8" t="s">
        <v>63</v>
      </c>
      <c r="P1805" s="4" t="n">
        <v>61</v>
      </c>
      <c r="Q1805" s="8"/>
      <c r="R1805" s="4" t="s">
        <v>6204</v>
      </c>
      <c r="S1805" s="4"/>
    </row>
    <row r="1806" customFormat="false" ht="26.85" hidden="false" customHeight="false" outlineLevel="0" collapsed="false">
      <c r="A1806" s="4" t="s">
        <v>6205</v>
      </c>
      <c r="B1806" s="8" t="s">
        <v>6206</v>
      </c>
      <c r="C1806" s="8" t="s">
        <v>58</v>
      </c>
      <c r="D1806" s="8"/>
      <c r="E1806" s="8" t="s">
        <v>60</v>
      </c>
      <c r="F1806" s="8"/>
      <c r="G1806" s="8"/>
      <c r="H1806" s="8"/>
      <c r="I1806" s="8" t="s">
        <v>6207</v>
      </c>
      <c r="J1806" s="8" t="s">
        <v>76</v>
      </c>
      <c r="K1806" s="8" t="s">
        <v>6045</v>
      </c>
      <c r="L1806" s="8"/>
      <c r="M1806" s="8"/>
      <c r="N1806" s="8" t="s">
        <v>62</v>
      </c>
      <c r="O1806" s="8" t="s">
        <v>63</v>
      </c>
      <c r="P1806" s="4" t="n">
        <v>61</v>
      </c>
      <c r="Q1806" s="8"/>
      <c r="R1806" s="4" t="s">
        <v>6208</v>
      </c>
      <c r="S1806" s="4"/>
    </row>
    <row r="1807" customFormat="false" ht="26.85" hidden="false" customHeight="false" outlineLevel="0" collapsed="false">
      <c r="A1807" s="4" t="s">
        <v>6209</v>
      </c>
      <c r="B1807" s="8" t="s">
        <v>743</v>
      </c>
      <c r="C1807" s="8"/>
      <c r="D1807" s="8"/>
      <c r="E1807" s="8"/>
      <c r="F1807" s="8"/>
      <c r="G1807" s="8"/>
      <c r="H1807" s="8"/>
      <c r="I1807" s="8" t="s">
        <v>6210</v>
      </c>
      <c r="J1807" s="8" t="s">
        <v>76</v>
      </c>
      <c r="K1807" s="8" t="s">
        <v>6045</v>
      </c>
      <c r="L1807" s="8"/>
      <c r="M1807" s="8"/>
      <c r="N1807" s="8" t="s">
        <v>62</v>
      </c>
      <c r="O1807" s="8" t="s">
        <v>63</v>
      </c>
      <c r="P1807" s="4" t="n">
        <v>61</v>
      </c>
      <c r="Q1807" s="8"/>
      <c r="R1807" s="4" t="s">
        <v>743</v>
      </c>
      <c r="S1807" s="4"/>
    </row>
    <row r="1808" customFormat="false" ht="26.85" hidden="false" customHeight="false" outlineLevel="0" collapsed="false">
      <c r="A1808" s="4" t="s">
        <v>6211</v>
      </c>
      <c r="B1808" s="8" t="s">
        <v>6212</v>
      </c>
      <c r="C1808" s="8" t="s">
        <v>58</v>
      </c>
      <c r="D1808" s="8"/>
      <c r="E1808" s="8" t="s">
        <v>60</v>
      </c>
      <c r="F1808" s="8"/>
      <c r="G1808" s="8"/>
      <c r="H1808" s="8"/>
      <c r="I1808" s="8" t="s">
        <v>6213</v>
      </c>
      <c r="J1808" s="8" t="s">
        <v>76</v>
      </c>
      <c r="K1808" s="8" t="s">
        <v>6045</v>
      </c>
      <c r="L1808" s="8"/>
      <c r="M1808" s="8"/>
      <c r="N1808" s="8" t="s">
        <v>62</v>
      </c>
      <c r="O1808" s="8" t="s">
        <v>63</v>
      </c>
      <c r="P1808" s="4" t="n">
        <v>61</v>
      </c>
      <c r="Q1808" s="8"/>
      <c r="R1808" s="4" t="s">
        <v>6214</v>
      </c>
      <c r="S1808" s="4"/>
    </row>
    <row r="1809" customFormat="false" ht="26.85" hidden="false" customHeight="false" outlineLevel="0" collapsed="false">
      <c r="A1809" s="4" t="s">
        <v>6215</v>
      </c>
      <c r="B1809" s="8" t="s">
        <v>6216</v>
      </c>
      <c r="C1809" s="8"/>
      <c r="D1809" s="8"/>
      <c r="E1809" s="8"/>
      <c r="F1809" s="8"/>
      <c r="G1809" s="8"/>
      <c r="H1809" s="8"/>
      <c r="I1809" s="8" t="s">
        <v>6217</v>
      </c>
      <c r="J1809" s="8" t="s">
        <v>76</v>
      </c>
      <c r="K1809" s="8" t="s">
        <v>6045</v>
      </c>
      <c r="L1809" s="8"/>
      <c r="M1809" s="8"/>
      <c r="N1809" s="8" t="s">
        <v>62</v>
      </c>
      <c r="O1809" s="8" t="s">
        <v>63</v>
      </c>
      <c r="P1809" s="4" t="n">
        <v>61</v>
      </c>
      <c r="Q1809" s="8"/>
      <c r="R1809" s="4" t="s">
        <v>6216</v>
      </c>
      <c r="S1809" s="4"/>
    </row>
    <row r="1810" customFormat="false" ht="26.85" hidden="false" customHeight="false" outlineLevel="0" collapsed="false">
      <c r="A1810" s="4" t="s">
        <v>6218</v>
      </c>
      <c r="B1810" s="8" t="s">
        <v>6219</v>
      </c>
      <c r="C1810" s="8"/>
      <c r="D1810" s="8"/>
      <c r="E1810" s="8"/>
      <c r="F1810" s="8"/>
      <c r="G1810" s="8"/>
      <c r="H1810" s="8"/>
      <c r="I1810" s="8" t="s">
        <v>6220</v>
      </c>
      <c r="J1810" s="8" t="s">
        <v>76</v>
      </c>
      <c r="K1810" s="8" t="s">
        <v>6045</v>
      </c>
      <c r="L1810" s="8"/>
      <c r="M1810" s="8"/>
      <c r="N1810" s="8" t="s">
        <v>62</v>
      </c>
      <c r="O1810" s="8" t="s">
        <v>63</v>
      </c>
      <c r="P1810" s="4" t="n">
        <v>61</v>
      </c>
      <c r="Q1810" s="8"/>
      <c r="R1810" s="4" t="s">
        <v>6219</v>
      </c>
      <c r="S1810" s="4"/>
    </row>
    <row r="1811" customFormat="false" ht="26.85" hidden="false" customHeight="false" outlineLevel="0" collapsed="false">
      <c r="A1811" s="4" t="s">
        <v>6221</v>
      </c>
      <c r="B1811" s="8" t="s">
        <v>6222</v>
      </c>
      <c r="C1811" s="8"/>
      <c r="D1811" s="8"/>
      <c r="E1811" s="8"/>
      <c r="F1811" s="8"/>
      <c r="G1811" s="8"/>
      <c r="H1811" s="8"/>
      <c r="I1811" s="8" t="s">
        <v>6223</v>
      </c>
      <c r="J1811" s="8" t="s">
        <v>76</v>
      </c>
      <c r="K1811" s="8" t="s">
        <v>6045</v>
      </c>
      <c r="L1811" s="8"/>
      <c r="M1811" s="8"/>
      <c r="N1811" s="8" t="s">
        <v>62</v>
      </c>
      <c r="O1811" s="8" t="s">
        <v>63</v>
      </c>
      <c r="P1811" s="4" t="n">
        <v>61</v>
      </c>
      <c r="Q1811" s="8"/>
      <c r="R1811" s="4" t="s">
        <v>6222</v>
      </c>
      <c r="S1811" s="4"/>
    </row>
    <row r="1812" customFormat="false" ht="26.85" hidden="false" customHeight="false" outlineLevel="0" collapsed="false">
      <c r="A1812" s="4" t="s">
        <v>6224</v>
      </c>
      <c r="B1812" s="8" t="s">
        <v>6225</v>
      </c>
      <c r="C1812" s="8" t="s">
        <v>58</v>
      </c>
      <c r="D1812" s="8"/>
      <c r="E1812" s="8" t="s">
        <v>60</v>
      </c>
      <c r="F1812" s="8"/>
      <c r="G1812" s="8"/>
      <c r="H1812" s="8"/>
      <c r="I1812" s="8" t="s">
        <v>6226</v>
      </c>
      <c r="J1812" s="8" t="s">
        <v>76</v>
      </c>
      <c r="K1812" s="8" t="s">
        <v>6045</v>
      </c>
      <c r="L1812" s="8"/>
      <c r="M1812" s="8"/>
      <c r="N1812" s="8" t="s">
        <v>62</v>
      </c>
      <c r="O1812" s="8" t="s">
        <v>63</v>
      </c>
      <c r="P1812" s="4" t="n">
        <v>61</v>
      </c>
      <c r="Q1812" s="8"/>
      <c r="R1812" s="4" t="s">
        <v>6227</v>
      </c>
      <c r="S1812" s="4"/>
    </row>
    <row r="1813" customFormat="false" ht="26.85" hidden="false" customHeight="false" outlineLevel="0" collapsed="false">
      <c r="A1813" s="4" t="s">
        <v>6228</v>
      </c>
      <c r="B1813" s="8" t="s">
        <v>6229</v>
      </c>
      <c r="C1813" s="8" t="s">
        <v>58</v>
      </c>
      <c r="D1813" s="8"/>
      <c r="E1813" s="8" t="s">
        <v>60</v>
      </c>
      <c r="F1813" s="8"/>
      <c r="G1813" s="8"/>
      <c r="H1813" s="8"/>
      <c r="I1813" s="8" t="s">
        <v>6230</v>
      </c>
      <c r="J1813" s="8" t="s">
        <v>76</v>
      </c>
      <c r="K1813" s="8" t="s">
        <v>6045</v>
      </c>
      <c r="L1813" s="8"/>
      <c r="M1813" s="8"/>
      <c r="N1813" s="8" t="s">
        <v>62</v>
      </c>
      <c r="O1813" s="8" t="s">
        <v>63</v>
      </c>
      <c r="P1813" s="4" t="n">
        <v>61</v>
      </c>
      <c r="Q1813" s="8"/>
      <c r="R1813" s="4" t="s">
        <v>6231</v>
      </c>
      <c r="S1813" s="4"/>
    </row>
    <row r="1814" customFormat="false" ht="26.85" hidden="false" customHeight="false" outlineLevel="0" collapsed="false">
      <c r="A1814" s="4" t="s">
        <v>6232</v>
      </c>
      <c r="B1814" s="8" t="s">
        <v>6233</v>
      </c>
      <c r="C1814" s="8" t="s">
        <v>58</v>
      </c>
      <c r="D1814" s="8"/>
      <c r="E1814" s="8" t="s">
        <v>60</v>
      </c>
      <c r="F1814" s="8"/>
      <c r="G1814" s="8"/>
      <c r="H1814" s="8"/>
      <c r="I1814" s="8" t="s">
        <v>6234</v>
      </c>
      <c r="J1814" s="8" t="s">
        <v>76</v>
      </c>
      <c r="K1814" s="8" t="s">
        <v>6045</v>
      </c>
      <c r="L1814" s="8"/>
      <c r="M1814" s="8"/>
      <c r="N1814" s="8" t="s">
        <v>62</v>
      </c>
      <c r="O1814" s="8" t="s">
        <v>63</v>
      </c>
      <c r="P1814" s="4" t="n">
        <v>61</v>
      </c>
      <c r="Q1814" s="8"/>
      <c r="R1814" s="4" t="s">
        <v>6235</v>
      </c>
      <c r="S1814" s="4"/>
    </row>
    <row r="1815" customFormat="false" ht="26.85" hidden="false" customHeight="false" outlineLevel="0" collapsed="false">
      <c r="A1815" s="4" t="s">
        <v>6236</v>
      </c>
      <c r="B1815" s="8" t="s">
        <v>6237</v>
      </c>
      <c r="C1815" s="8" t="s">
        <v>58</v>
      </c>
      <c r="D1815" s="8"/>
      <c r="E1815" s="8" t="s">
        <v>60</v>
      </c>
      <c r="F1815" s="8"/>
      <c r="G1815" s="8"/>
      <c r="H1815" s="8"/>
      <c r="I1815" s="8" t="s">
        <v>6238</v>
      </c>
      <c r="J1815" s="8" t="s">
        <v>76</v>
      </c>
      <c r="K1815" s="8" t="s">
        <v>6045</v>
      </c>
      <c r="L1815" s="8"/>
      <c r="M1815" s="8"/>
      <c r="N1815" s="8" t="s">
        <v>62</v>
      </c>
      <c r="O1815" s="8" t="s">
        <v>63</v>
      </c>
      <c r="P1815" s="4" t="n">
        <v>61</v>
      </c>
      <c r="Q1815" s="8"/>
      <c r="R1815" s="4" t="s">
        <v>6239</v>
      </c>
      <c r="S1815" s="4"/>
    </row>
    <row r="1816" customFormat="false" ht="26.85" hidden="false" customHeight="false" outlineLevel="0" collapsed="false">
      <c r="A1816" s="4" t="s">
        <v>6240</v>
      </c>
      <c r="B1816" s="8" t="s">
        <v>3531</v>
      </c>
      <c r="C1816" s="8" t="s">
        <v>58</v>
      </c>
      <c r="D1816" s="8"/>
      <c r="E1816" s="8" t="s">
        <v>60</v>
      </c>
      <c r="F1816" s="8"/>
      <c r="G1816" s="8"/>
      <c r="H1816" s="8"/>
      <c r="I1816" s="8" t="s">
        <v>6241</v>
      </c>
      <c r="J1816" s="8" t="s">
        <v>76</v>
      </c>
      <c r="K1816" s="8" t="s">
        <v>6045</v>
      </c>
      <c r="L1816" s="8"/>
      <c r="M1816" s="8"/>
      <c r="N1816" s="8" t="s">
        <v>62</v>
      </c>
      <c r="O1816" s="8" t="s">
        <v>63</v>
      </c>
      <c r="P1816" s="4" t="n">
        <v>61</v>
      </c>
      <c r="Q1816" s="8"/>
      <c r="R1816" s="4" t="s">
        <v>6242</v>
      </c>
      <c r="S1816" s="4"/>
    </row>
    <row r="1817" customFormat="false" ht="26.85" hidden="false" customHeight="false" outlineLevel="0" collapsed="false">
      <c r="A1817" s="4" t="s">
        <v>6243</v>
      </c>
      <c r="B1817" s="8" t="s">
        <v>6244</v>
      </c>
      <c r="C1817" s="8"/>
      <c r="D1817" s="8"/>
      <c r="E1817" s="8"/>
      <c r="F1817" s="8"/>
      <c r="G1817" s="8"/>
      <c r="H1817" s="8"/>
      <c r="I1817" s="8" t="s">
        <v>6245</v>
      </c>
      <c r="J1817" s="8" t="s">
        <v>76</v>
      </c>
      <c r="K1817" s="8" t="s">
        <v>6045</v>
      </c>
      <c r="L1817" s="8"/>
      <c r="M1817" s="8"/>
      <c r="N1817" s="8" t="s">
        <v>62</v>
      </c>
      <c r="O1817" s="8" t="s">
        <v>63</v>
      </c>
      <c r="P1817" s="4" t="n">
        <v>61</v>
      </c>
      <c r="Q1817" s="8"/>
      <c r="R1817" s="4" t="s">
        <v>6244</v>
      </c>
      <c r="S1817" s="4"/>
    </row>
    <row r="1818" customFormat="false" ht="26.85" hidden="false" customHeight="false" outlineLevel="0" collapsed="false">
      <c r="A1818" s="4" t="s">
        <v>6246</v>
      </c>
      <c r="B1818" s="8" t="s">
        <v>6247</v>
      </c>
      <c r="C1818" s="8"/>
      <c r="D1818" s="8"/>
      <c r="E1818" s="8"/>
      <c r="F1818" s="8"/>
      <c r="G1818" s="8"/>
      <c r="H1818" s="8"/>
      <c r="I1818" s="8" t="s">
        <v>6248</v>
      </c>
      <c r="J1818" s="8" t="s">
        <v>76</v>
      </c>
      <c r="K1818" s="8" t="s">
        <v>6045</v>
      </c>
      <c r="L1818" s="8"/>
      <c r="M1818" s="8"/>
      <c r="N1818" s="8" t="s">
        <v>62</v>
      </c>
      <c r="O1818" s="8" t="s">
        <v>63</v>
      </c>
      <c r="P1818" s="4" t="n">
        <v>61</v>
      </c>
      <c r="Q1818" s="8"/>
      <c r="R1818" s="4" t="s">
        <v>6247</v>
      </c>
      <c r="S1818" s="4"/>
    </row>
    <row r="1819" customFormat="false" ht="26.85" hidden="false" customHeight="false" outlineLevel="0" collapsed="false">
      <c r="A1819" s="4" t="s">
        <v>6249</v>
      </c>
      <c r="B1819" s="8" t="s">
        <v>6250</v>
      </c>
      <c r="C1819" s="8" t="s">
        <v>58</v>
      </c>
      <c r="D1819" s="8"/>
      <c r="E1819" s="8" t="s">
        <v>60</v>
      </c>
      <c r="F1819" s="8"/>
      <c r="G1819" s="8"/>
      <c r="H1819" s="8"/>
      <c r="I1819" s="8" t="s">
        <v>6251</v>
      </c>
      <c r="J1819" s="8" t="s">
        <v>76</v>
      </c>
      <c r="K1819" s="8" t="s">
        <v>6045</v>
      </c>
      <c r="L1819" s="8"/>
      <c r="M1819" s="8"/>
      <c r="N1819" s="8" t="s">
        <v>62</v>
      </c>
      <c r="O1819" s="8" t="s">
        <v>63</v>
      </c>
      <c r="P1819" s="4" t="n">
        <v>61</v>
      </c>
      <c r="Q1819" s="8"/>
      <c r="R1819" s="4" t="s">
        <v>6252</v>
      </c>
      <c r="S1819" s="4"/>
    </row>
    <row r="1820" customFormat="false" ht="26.85" hidden="false" customHeight="false" outlineLevel="0" collapsed="false">
      <c r="A1820" s="4" t="s">
        <v>6253</v>
      </c>
      <c r="B1820" s="8" t="s">
        <v>6254</v>
      </c>
      <c r="C1820" s="8"/>
      <c r="D1820" s="8"/>
      <c r="E1820" s="8" t="s">
        <v>68</v>
      </c>
      <c r="F1820" s="8" t="s">
        <v>6255</v>
      </c>
      <c r="G1820" s="8" t="s">
        <v>6256</v>
      </c>
      <c r="H1820" s="8"/>
      <c r="I1820" s="8" t="s">
        <v>6257</v>
      </c>
      <c r="J1820" s="8" t="s">
        <v>76</v>
      </c>
      <c r="K1820" s="8" t="s">
        <v>6045</v>
      </c>
      <c r="L1820" s="8" t="s">
        <v>688</v>
      </c>
      <c r="M1820" s="8"/>
      <c r="N1820" s="8" t="s">
        <v>62</v>
      </c>
      <c r="O1820" s="8" t="s">
        <v>63</v>
      </c>
      <c r="P1820" s="4" t="n">
        <v>61</v>
      </c>
      <c r="Q1820" s="8"/>
      <c r="R1820" s="4" t="s">
        <v>6254</v>
      </c>
      <c r="S1820" s="4"/>
    </row>
    <row r="1821" customFormat="false" ht="26.85" hidden="false" customHeight="false" outlineLevel="0" collapsed="false">
      <c r="A1821" s="4" t="s">
        <v>6258</v>
      </c>
      <c r="B1821" s="8" t="s">
        <v>6259</v>
      </c>
      <c r="C1821" s="8"/>
      <c r="D1821" s="8"/>
      <c r="E1821" s="8" t="s">
        <v>68</v>
      </c>
      <c r="F1821" s="8" t="s">
        <v>6260</v>
      </c>
      <c r="G1821" s="8" t="s">
        <v>6261</v>
      </c>
      <c r="H1821" s="8"/>
      <c r="I1821" s="8" t="s">
        <v>6262</v>
      </c>
      <c r="J1821" s="8" t="s">
        <v>76</v>
      </c>
      <c r="K1821" s="8" t="s">
        <v>6045</v>
      </c>
      <c r="L1821" s="8" t="s">
        <v>688</v>
      </c>
      <c r="M1821" s="8"/>
      <c r="N1821" s="8" t="s">
        <v>62</v>
      </c>
      <c r="O1821" s="8" t="s">
        <v>63</v>
      </c>
      <c r="P1821" s="4" t="n">
        <v>61</v>
      </c>
      <c r="Q1821" s="8"/>
      <c r="R1821" s="4" t="s">
        <v>6259</v>
      </c>
      <c r="S1821" s="4"/>
    </row>
    <row r="1822" customFormat="false" ht="26.85" hidden="false" customHeight="false" outlineLevel="0" collapsed="false">
      <c r="A1822" s="4" t="s">
        <v>6263</v>
      </c>
      <c r="B1822" s="8" t="s">
        <v>6264</v>
      </c>
      <c r="C1822" s="8"/>
      <c r="D1822" s="8"/>
      <c r="E1822" s="8" t="s">
        <v>68</v>
      </c>
      <c r="F1822" s="8" t="s">
        <v>6265</v>
      </c>
      <c r="G1822" s="8" t="s">
        <v>6266</v>
      </c>
      <c r="H1822" s="8"/>
      <c r="I1822" s="8" t="s">
        <v>6267</v>
      </c>
      <c r="J1822" s="8" t="s">
        <v>76</v>
      </c>
      <c r="K1822" s="8" t="s">
        <v>6045</v>
      </c>
      <c r="L1822" s="8" t="s">
        <v>688</v>
      </c>
      <c r="M1822" s="8"/>
      <c r="N1822" s="8" t="s">
        <v>62</v>
      </c>
      <c r="O1822" s="8" t="s">
        <v>63</v>
      </c>
      <c r="P1822" s="4" t="n">
        <v>61</v>
      </c>
      <c r="Q1822" s="8"/>
      <c r="R1822" s="4" t="s">
        <v>6264</v>
      </c>
      <c r="S1822" s="4"/>
    </row>
    <row r="1823" customFormat="false" ht="26.85" hidden="false" customHeight="false" outlineLevel="0" collapsed="false">
      <c r="A1823" s="4" t="s">
        <v>6268</v>
      </c>
      <c r="B1823" s="8" t="s">
        <v>6269</v>
      </c>
      <c r="C1823" s="8"/>
      <c r="D1823" s="8"/>
      <c r="E1823" s="8" t="s">
        <v>68</v>
      </c>
      <c r="F1823" s="8" t="s">
        <v>6270</v>
      </c>
      <c r="G1823" s="8" t="s">
        <v>6271</v>
      </c>
      <c r="H1823" s="8"/>
      <c r="I1823" s="8" t="s">
        <v>6272</v>
      </c>
      <c r="J1823" s="8" t="s">
        <v>76</v>
      </c>
      <c r="K1823" s="8" t="s">
        <v>6045</v>
      </c>
      <c r="L1823" s="8" t="s">
        <v>688</v>
      </c>
      <c r="M1823" s="8"/>
      <c r="N1823" s="8" t="s">
        <v>62</v>
      </c>
      <c r="O1823" s="8" t="s">
        <v>63</v>
      </c>
      <c r="P1823" s="4" t="n">
        <v>61</v>
      </c>
      <c r="Q1823" s="8"/>
      <c r="R1823" s="4" t="s">
        <v>6269</v>
      </c>
      <c r="S1823" s="4"/>
    </row>
    <row r="1824" customFormat="false" ht="26.85" hidden="false" customHeight="false" outlineLevel="0" collapsed="false">
      <c r="A1824" s="4" t="s">
        <v>6273</v>
      </c>
      <c r="B1824" s="8" t="s">
        <v>6274</v>
      </c>
      <c r="C1824" s="8"/>
      <c r="D1824" s="8"/>
      <c r="E1824" s="8" t="s">
        <v>68</v>
      </c>
      <c r="F1824" s="8" t="s">
        <v>6275</v>
      </c>
      <c r="G1824" s="8" t="s">
        <v>6276</v>
      </c>
      <c r="H1824" s="8"/>
      <c r="I1824" s="8" t="s">
        <v>6277</v>
      </c>
      <c r="J1824" s="8" t="s">
        <v>76</v>
      </c>
      <c r="K1824" s="8" t="s">
        <v>6045</v>
      </c>
      <c r="L1824" s="8" t="s">
        <v>688</v>
      </c>
      <c r="M1824" s="8"/>
      <c r="N1824" s="8" t="s">
        <v>62</v>
      </c>
      <c r="O1824" s="8" t="s">
        <v>63</v>
      </c>
      <c r="P1824" s="4" t="n">
        <v>61</v>
      </c>
      <c r="Q1824" s="8"/>
      <c r="R1824" s="4" t="s">
        <v>6274</v>
      </c>
      <c r="S1824" s="4"/>
    </row>
    <row r="1825" customFormat="false" ht="26.85" hidden="false" customHeight="false" outlineLevel="0" collapsed="false">
      <c r="A1825" s="4" t="s">
        <v>6278</v>
      </c>
      <c r="B1825" s="8" t="s">
        <v>6279</v>
      </c>
      <c r="C1825" s="8"/>
      <c r="D1825" s="8"/>
      <c r="E1825" s="8" t="s">
        <v>68</v>
      </c>
      <c r="F1825" s="8" t="s">
        <v>6280</v>
      </c>
      <c r="G1825" s="8" t="s">
        <v>6281</v>
      </c>
      <c r="H1825" s="8"/>
      <c r="I1825" s="8" t="s">
        <v>6282</v>
      </c>
      <c r="J1825" s="8" t="s">
        <v>76</v>
      </c>
      <c r="K1825" s="8" t="s">
        <v>6045</v>
      </c>
      <c r="L1825" s="8" t="s">
        <v>688</v>
      </c>
      <c r="M1825" s="8"/>
      <c r="N1825" s="8" t="s">
        <v>62</v>
      </c>
      <c r="O1825" s="8" t="s">
        <v>63</v>
      </c>
      <c r="P1825" s="4" t="n">
        <v>61</v>
      </c>
      <c r="Q1825" s="8"/>
      <c r="R1825" s="4" t="s">
        <v>6279</v>
      </c>
      <c r="S1825" s="4"/>
    </row>
    <row r="1826" customFormat="false" ht="26.85" hidden="false" customHeight="false" outlineLevel="0" collapsed="false">
      <c r="A1826" s="4" t="s">
        <v>6283</v>
      </c>
      <c r="B1826" s="8" t="s">
        <v>6284</v>
      </c>
      <c r="C1826" s="8"/>
      <c r="D1826" s="8"/>
      <c r="E1826" s="8" t="s">
        <v>68</v>
      </c>
      <c r="F1826" s="8" t="s">
        <v>6285</v>
      </c>
      <c r="G1826" s="8" t="s">
        <v>6286</v>
      </c>
      <c r="H1826" s="8"/>
      <c r="I1826" s="8" t="s">
        <v>6287</v>
      </c>
      <c r="J1826" s="8" t="s">
        <v>76</v>
      </c>
      <c r="K1826" s="8" t="s">
        <v>6045</v>
      </c>
      <c r="L1826" s="8" t="s">
        <v>688</v>
      </c>
      <c r="M1826" s="8"/>
      <c r="N1826" s="8" t="s">
        <v>62</v>
      </c>
      <c r="O1826" s="8" t="s">
        <v>63</v>
      </c>
      <c r="P1826" s="4" t="n">
        <v>61</v>
      </c>
      <c r="Q1826" s="8"/>
      <c r="R1826" s="4" t="s">
        <v>6284</v>
      </c>
      <c r="S1826" s="4"/>
    </row>
    <row r="1827" customFormat="false" ht="26.85" hidden="false" customHeight="false" outlineLevel="0" collapsed="false">
      <c r="A1827" s="4" t="s">
        <v>6288</v>
      </c>
      <c r="B1827" s="8" t="s">
        <v>6289</v>
      </c>
      <c r="C1827" s="8"/>
      <c r="D1827" s="8"/>
      <c r="E1827" s="8" t="s">
        <v>68</v>
      </c>
      <c r="F1827" s="8" t="s">
        <v>6290</v>
      </c>
      <c r="G1827" s="8" t="s">
        <v>6291</v>
      </c>
      <c r="H1827" s="8"/>
      <c r="I1827" s="8" t="s">
        <v>6292</v>
      </c>
      <c r="J1827" s="8" t="s">
        <v>76</v>
      </c>
      <c r="K1827" s="8" t="s">
        <v>6045</v>
      </c>
      <c r="L1827" s="8" t="s">
        <v>688</v>
      </c>
      <c r="M1827" s="8"/>
      <c r="N1827" s="8" t="s">
        <v>62</v>
      </c>
      <c r="O1827" s="8" t="s">
        <v>63</v>
      </c>
      <c r="P1827" s="4" t="n">
        <v>61</v>
      </c>
      <c r="Q1827" s="8"/>
      <c r="R1827" s="4" t="s">
        <v>6289</v>
      </c>
      <c r="S1827" s="4"/>
    </row>
    <row r="1828" customFormat="false" ht="26.85" hidden="false" customHeight="false" outlineLevel="0" collapsed="false">
      <c r="A1828" s="4" t="s">
        <v>6293</v>
      </c>
      <c r="B1828" s="8" t="s">
        <v>2201</v>
      </c>
      <c r="C1828" s="8"/>
      <c r="D1828" s="8"/>
      <c r="E1828" s="8" t="s">
        <v>68</v>
      </c>
      <c r="F1828" s="8" t="s">
        <v>2202</v>
      </c>
      <c r="G1828" s="8" t="s">
        <v>2203</v>
      </c>
      <c r="H1828" s="8"/>
      <c r="I1828" s="8" t="s">
        <v>6294</v>
      </c>
      <c r="J1828" s="8" t="s">
        <v>76</v>
      </c>
      <c r="K1828" s="8" t="s">
        <v>6045</v>
      </c>
      <c r="L1828" s="8" t="s">
        <v>688</v>
      </c>
      <c r="M1828" s="8"/>
      <c r="N1828" s="8" t="s">
        <v>62</v>
      </c>
      <c r="O1828" s="8" t="s">
        <v>63</v>
      </c>
      <c r="P1828" s="4" t="n">
        <v>61</v>
      </c>
      <c r="Q1828" s="8"/>
      <c r="R1828" s="4" t="s">
        <v>2201</v>
      </c>
      <c r="S1828" s="4" t="n">
        <v>302</v>
      </c>
    </row>
    <row r="1829" customFormat="false" ht="26.85" hidden="false" customHeight="false" outlineLevel="0" collapsed="false">
      <c r="A1829" s="4" t="s">
        <v>6295</v>
      </c>
      <c r="B1829" s="8" t="s">
        <v>6296</v>
      </c>
      <c r="C1829" s="8"/>
      <c r="D1829" s="8"/>
      <c r="E1829" s="8" t="s">
        <v>68</v>
      </c>
      <c r="F1829" s="8" t="s">
        <v>6297</v>
      </c>
      <c r="G1829" s="8" t="s">
        <v>6298</v>
      </c>
      <c r="H1829" s="8"/>
      <c r="I1829" s="8" t="s">
        <v>6299</v>
      </c>
      <c r="J1829" s="8" t="s">
        <v>76</v>
      </c>
      <c r="K1829" s="8" t="s">
        <v>6045</v>
      </c>
      <c r="L1829" s="8" t="s">
        <v>688</v>
      </c>
      <c r="M1829" s="8"/>
      <c r="N1829" s="8" t="s">
        <v>62</v>
      </c>
      <c r="O1829" s="8" t="s">
        <v>63</v>
      </c>
      <c r="P1829" s="4" t="n">
        <v>61</v>
      </c>
      <c r="Q1829" s="8"/>
      <c r="R1829" s="4" t="s">
        <v>6296</v>
      </c>
      <c r="S1829" s="4"/>
    </row>
    <row r="1830" customFormat="false" ht="26.85" hidden="false" customHeight="false" outlineLevel="0" collapsed="false">
      <c r="A1830" s="4" t="s">
        <v>6300</v>
      </c>
      <c r="B1830" s="8" t="s">
        <v>2281</v>
      </c>
      <c r="C1830" s="8"/>
      <c r="D1830" s="8"/>
      <c r="E1830" s="8" t="s">
        <v>68</v>
      </c>
      <c r="F1830" s="8" t="s">
        <v>2282</v>
      </c>
      <c r="G1830" s="8" t="s">
        <v>2283</v>
      </c>
      <c r="H1830" s="8"/>
      <c r="I1830" s="8" t="s">
        <v>6301</v>
      </c>
      <c r="J1830" s="8" t="s">
        <v>76</v>
      </c>
      <c r="K1830" s="8" t="s">
        <v>6045</v>
      </c>
      <c r="L1830" s="8" t="s">
        <v>688</v>
      </c>
      <c r="M1830" s="8"/>
      <c r="N1830" s="8" t="s">
        <v>62</v>
      </c>
      <c r="O1830" s="8" t="s">
        <v>63</v>
      </c>
      <c r="P1830" s="4" t="n">
        <v>61</v>
      </c>
      <c r="Q1830" s="8"/>
      <c r="R1830" s="4" t="s">
        <v>2281</v>
      </c>
      <c r="S1830" s="4"/>
    </row>
    <row r="1831" customFormat="false" ht="26.85" hidden="false" customHeight="false" outlineLevel="0" collapsed="false">
      <c r="A1831" s="4" t="s">
        <v>6302</v>
      </c>
      <c r="B1831" s="8" t="s">
        <v>6303</v>
      </c>
      <c r="C1831" s="8"/>
      <c r="D1831" s="8"/>
      <c r="E1831" s="8" t="s">
        <v>68</v>
      </c>
      <c r="F1831" s="8" t="s">
        <v>6304</v>
      </c>
      <c r="G1831" s="8" t="s">
        <v>6305</v>
      </c>
      <c r="H1831" s="8"/>
      <c r="I1831" s="8" t="s">
        <v>6306</v>
      </c>
      <c r="J1831" s="8" t="s">
        <v>76</v>
      </c>
      <c r="K1831" s="8" t="s">
        <v>6045</v>
      </c>
      <c r="L1831" s="8" t="s">
        <v>688</v>
      </c>
      <c r="M1831" s="8"/>
      <c r="N1831" s="8" t="s">
        <v>62</v>
      </c>
      <c r="O1831" s="8" t="s">
        <v>63</v>
      </c>
      <c r="P1831" s="4" t="n">
        <v>61</v>
      </c>
      <c r="Q1831" s="8"/>
      <c r="R1831" s="4" t="s">
        <v>6303</v>
      </c>
      <c r="S1831" s="4"/>
    </row>
    <row r="1832" customFormat="false" ht="15" hidden="false" customHeight="false" outlineLevel="0" collapsed="false">
      <c r="A1832" s="4" t="s">
        <v>6307</v>
      </c>
      <c r="B1832" s="8" t="s">
        <v>6308</v>
      </c>
      <c r="C1832" s="8"/>
      <c r="D1832" s="8"/>
      <c r="E1832" s="8" t="s">
        <v>74</v>
      </c>
      <c r="F1832" s="8"/>
      <c r="G1832" s="8"/>
      <c r="H1832" s="8"/>
      <c r="I1832" s="8" t="s">
        <v>6309</v>
      </c>
      <c r="J1832" s="8" t="s">
        <v>78</v>
      </c>
      <c r="K1832" s="8" t="s">
        <v>6310</v>
      </c>
      <c r="L1832" s="8"/>
      <c r="M1832" s="8"/>
      <c r="N1832" s="8" t="s">
        <v>62</v>
      </c>
      <c r="O1832" s="8" t="s">
        <v>63</v>
      </c>
      <c r="P1832" s="4" t="n">
        <v>61</v>
      </c>
      <c r="Q1832" s="8"/>
      <c r="R1832" s="4" t="s">
        <v>6308</v>
      </c>
      <c r="S1832" s="4"/>
    </row>
    <row r="1833" customFormat="false" ht="15" hidden="false" customHeight="false" outlineLevel="0" collapsed="false">
      <c r="A1833" s="4" t="s">
        <v>6311</v>
      </c>
      <c r="B1833" s="8" t="s">
        <v>6312</v>
      </c>
      <c r="C1833" s="8"/>
      <c r="D1833" s="8"/>
      <c r="E1833" s="8" t="s">
        <v>74</v>
      </c>
      <c r="F1833" s="8"/>
      <c r="G1833" s="8"/>
      <c r="H1833" s="8"/>
      <c r="I1833" s="8" t="s">
        <v>6313</v>
      </c>
      <c r="J1833" s="8" t="s">
        <v>78</v>
      </c>
      <c r="K1833" s="8" t="s">
        <v>6310</v>
      </c>
      <c r="L1833" s="8"/>
      <c r="M1833" s="8"/>
      <c r="N1833" s="8" t="s">
        <v>62</v>
      </c>
      <c r="O1833" s="8" t="s">
        <v>63</v>
      </c>
      <c r="P1833" s="4" t="n">
        <v>61</v>
      </c>
      <c r="Q1833" s="8"/>
      <c r="R1833" s="4" t="s">
        <v>6312</v>
      </c>
      <c r="S1833" s="4"/>
    </row>
    <row r="1834" customFormat="false" ht="15" hidden="false" customHeight="false" outlineLevel="0" collapsed="false">
      <c r="A1834" s="4" t="s">
        <v>6314</v>
      </c>
      <c r="B1834" s="8" t="s">
        <v>1257</v>
      </c>
      <c r="C1834" s="8"/>
      <c r="D1834" s="8"/>
      <c r="E1834" s="8" t="s">
        <v>74</v>
      </c>
      <c r="F1834" s="8"/>
      <c r="G1834" s="8"/>
      <c r="H1834" s="8"/>
      <c r="I1834" s="8" t="s">
        <v>6315</v>
      </c>
      <c r="J1834" s="8" t="s">
        <v>78</v>
      </c>
      <c r="K1834" s="8" t="s">
        <v>6310</v>
      </c>
      <c r="L1834" s="8"/>
      <c r="M1834" s="8"/>
      <c r="N1834" s="8" t="s">
        <v>62</v>
      </c>
      <c r="O1834" s="8" t="s">
        <v>63</v>
      </c>
      <c r="P1834" s="4" t="n">
        <v>61</v>
      </c>
      <c r="Q1834" s="8"/>
      <c r="R1834" s="4" t="s">
        <v>1257</v>
      </c>
      <c r="S1834" s="4"/>
    </row>
    <row r="1835" customFormat="false" ht="15" hidden="false" customHeight="false" outlineLevel="0" collapsed="false">
      <c r="A1835" s="4" t="s">
        <v>6316</v>
      </c>
      <c r="B1835" s="8" t="s">
        <v>6317</v>
      </c>
      <c r="C1835" s="8"/>
      <c r="D1835" s="8"/>
      <c r="E1835" s="8" t="s">
        <v>74</v>
      </c>
      <c r="F1835" s="8"/>
      <c r="G1835" s="8"/>
      <c r="H1835" s="8"/>
      <c r="I1835" s="8" t="s">
        <v>6318</v>
      </c>
      <c r="J1835" s="8" t="s">
        <v>78</v>
      </c>
      <c r="K1835" s="8" t="s">
        <v>6310</v>
      </c>
      <c r="L1835" s="8"/>
      <c r="M1835" s="8"/>
      <c r="N1835" s="8" t="s">
        <v>62</v>
      </c>
      <c r="O1835" s="8" t="s">
        <v>63</v>
      </c>
      <c r="P1835" s="4" t="n">
        <v>61</v>
      </c>
      <c r="Q1835" s="8"/>
      <c r="R1835" s="4" t="s">
        <v>6317</v>
      </c>
      <c r="S1835" s="4" t="n">
        <v>2004</v>
      </c>
    </row>
    <row r="1836" customFormat="false" ht="15" hidden="false" customHeight="false" outlineLevel="0" collapsed="false">
      <c r="A1836" s="4" t="s">
        <v>6319</v>
      </c>
      <c r="B1836" s="8" t="s">
        <v>6320</v>
      </c>
      <c r="C1836" s="8"/>
      <c r="D1836" s="8"/>
      <c r="E1836" s="8" t="s">
        <v>74</v>
      </c>
      <c r="F1836" s="8"/>
      <c r="G1836" s="8"/>
      <c r="H1836" s="8"/>
      <c r="I1836" s="8" t="s">
        <v>6321</v>
      </c>
      <c r="J1836" s="8" t="s">
        <v>78</v>
      </c>
      <c r="K1836" s="8" t="s">
        <v>6310</v>
      </c>
      <c r="L1836" s="8"/>
      <c r="M1836" s="8"/>
      <c r="N1836" s="8" t="s">
        <v>62</v>
      </c>
      <c r="O1836" s="8" t="s">
        <v>63</v>
      </c>
      <c r="P1836" s="4" t="n">
        <v>61</v>
      </c>
      <c r="Q1836" s="8"/>
      <c r="R1836" s="4" t="s">
        <v>6320</v>
      </c>
      <c r="S1836" s="4"/>
    </row>
    <row r="1837" customFormat="false" ht="15" hidden="false" customHeight="false" outlineLevel="0" collapsed="false">
      <c r="A1837" s="4" t="s">
        <v>6322</v>
      </c>
      <c r="B1837" s="8" t="s">
        <v>6323</v>
      </c>
      <c r="C1837" s="8"/>
      <c r="D1837" s="8"/>
      <c r="E1837" s="8" t="s">
        <v>74</v>
      </c>
      <c r="F1837" s="8"/>
      <c r="G1837" s="8"/>
      <c r="H1837" s="8"/>
      <c r="I1837" s="8" t="s">
        <v>540</v>
      </c>
      <c r="J1837" s="8" t="s">
        <v>78</v>
      </c>
      <c r="K1837" s="8" t="s">
        <v>6310</v>
      </c>
      <c r="L1837" s="8"/>
      <c r="M1837" s="8"/>
      <c r="N1837" s="8" t="s">
        <v>62</v>
      </c>
      <c r="O1837" s="8" t="s">
        <v>63</v>
      </c>
      <c r="P1837" s="4" t="n">
        <v>62</v>
      </c>
      <c r="Q1837" s="8"/>
      <c r="R1837" s="4" t="s">
        <v>6323</v>
      </c>
      <c r="S1837" s="4"/>
    </row>
    <row r="1838" customFormat="false" ht="15" hidden="false" customHeight="false" outlineLevel="0" collapsed="false">
      <c r="A1838" s="4" t="s">
        <v>6324</v>
      </c>
      <c r="B1838" s="8" t="s">
        <v>6325</v>
      </c>
      <c r="C1838" s="8"/>
      <c r="D1838" s="8"/>
      <c r="E1838" s="8" t="s">
        <v>74</v>
      </c>
      <c r="F1838" s="8"/>
      <c r="G1838" s="8"/>
      <c r="H1838" s="8"/>
      <c r="I1838" s="8" t="s">
        <v>6326</v>
      </c>
      <c r="J1838" s="8" t="s">
        <v>78</v>
      </c>
      <c r="K1838" s="8" t="s">
        <v>6310</v>
      </c>
      <c r="L1838" s="8"/>
      <c r="M1838" s="8"/>
      <c r="N1838" s="8" t="s">
        <v>62</v>
      </c>
      <c r="O1838" s="8" t="s">
        <v>63</v>
      </c>
      <c r="P1838" s="4" t="n">
        <v>62</v>
      </c>
      <c r="Q1838" s="8"/>
      <c r="R1838" s="4" t="s">
        <v>6325</v>
      </c>
      <c r="S1838" s="4"/>
    </row>
    <row r="1839" customFormat="false" ht="15" hidden="false" customHeight="false" outlineLevel="0" collapsed="false">
      <c r="A1839" s="4" t="s">
        <v>6327</v>
      </c>
      <c r="B1839" s="8" t="s">
        <v>6328</v>
      </c>
      <c r="C1839" s="8"/>
      <c r="D1839" s="8"/>
      <c r="E1839" s="8" t="s">
        <v>74</v>
      </c>
      <c r="F1839" s="8"/>
      <c r="G1839" s="8"/>
      <c r="H1839" s="8"/>
      <c r="I1839" s="8" t="s">
        <v>6329</v>
      </c>
      <c r="J1839" s="8" t="s">
        <v>78</v>
      </c>
      <c r="K1839" s="8" t="s">
        <v>6310</v>
      </c>
      <c r="L1839" s="8"/>
      <c r="M1839" s="8"/>
      <c r="N1839" s="8" t="s">
        <v>62</v>
      </c>
      <c r="O1839" s="8" t="s">
        <v>63</v>
      </c>
      <c r="P1839" s="4" t="n">
        <v>62</v>
      </c>
      <c r="Q1839" s="8"/>
      <c r="R1839" s="4" t="s">
        <v>6328</v>
      </c>
      <c r="S1839" s="4"/>
    </row>
    <row r="1840" customFormat="false" ht="15" hidden="false" customHeight="false" outlineLevel="0" collapsed="false">
      <c r="A1840" s="4" t="s">
        <v>6330</v>
      </c>
      <c r="B1840" s="8" t="s">
        <v>1965</v>
      </c>
      <c r="C1840" s="8"/>
      <c r="D1840" s="8"/>
      <c r="E1840" s="8" t="s">
        <v>74</v>
      </c>
      <c r="F1840" s="8"/>
      <c r="G1840" s="8"/>
      <c r="H1840" s="8"/>
      <c r="I1840" s="8" t="s">
        <v>1114</v>
      </c>
      <c r="J1840" s="8" t="s">
        <v>78</v>
      </c>
      <c r="K1840" s="8" t="s">
        <v>6310</v>
      </c>
      <c r="L1840" s="8"/>
      <c r="M1840" s="8"/>
      <c r="N1840" s="8" t="s">
        <v>62</v>
      </c>
      <c r="O1840" s="8" t="s">
        <v>63</v>
      </c>
      <c r="P1840" s="4" t="n">
        <v>62</v>
      </c>
      <c r="Q1840" s="8"/>
      <c r="R1840" s="4" t="s">
        <v>1965</v>
      </c>
      <c r="S1840" s="4"/>
    </row>
    <row r="1841" customFormat="false" ht="15" hidden="false" customHeight="false" outlineLevel="0" collapsed="false">
      <c r="A1841" s="4" t="s">
        <v>6331</v>
      </c>
      <c r="B1841" s="8" t="s">
        <v>6332</v>
      </c>
      <c r="C1841" s="8"/>
      <c r="D1841" s="8"/>
      <c r="E1841" s="8" t="s">
        <v>74</v>
      </c>
      <c r="F1841" s="8"/>
      <c r="G1841" s="8"/>
      <c r="H1841" s="8"/>
      <c r="I1841" s="8" t="s">
        <v>6333</v>
      </c>
      <c r="J1841" s="8" t="s">
        <v>78</v>
      </c>
      <c r="K1841" s="8" t="s">
        <v>6310</v>
      </c>
      <c r="L1841" s="8"/>
      <c r="M1841" s="8"/>
      <c r="N1841" s="8" t="s">
        <v>62</v>
      </c>
      <c r="O1841" s="8" t="s">
        <v>63</v>
      </c>
      <c r="P1841" s="4" t="n">
        <v>62</v>
      </c>
      <c r="Q1841" s="8"/>
      <c r="R1841" s="4" t="s">
        <v>6332</v>
      </c>
      <c r="S1841" s="4" t="n">
        <v>662</v>
      </c>
    </row>
    <row r="1842" customFormat="false" ht="15" hidden="false" customHeight="false" outlineLevel="0" collapsed="false">
      <c r="A1842" s="4" t="s">
        <v>6334</v>
      </c>
      <c r="B1842" s="8" t="s">
        <v>6335</v>
      </c>
      <c r="C1842" s="8"/>
      <c r="D1842" s="8"/>
      <c r="E1842" s="8" t="s">
        <v>74</v>
      </c>
      <c r="F1842" s="8"/>
      <c r="G1842" s="8"/>
      <c r="H1842" s="8"/>
      <c r="I1842" s="8" t="s">
        <v>6336</v>
      </c>
      <c r="J1842" s="8" t="s">
        <v>78</v>
      </c>
      <c r="K1842" s="8" t="s">
        <v>6310</v>
      </c>
      <c r="L1842" s="8"/>
      <c r="M1842" s="8"/>
      <c r="N1842" s="8" t="s">
        <v>62</v>
      </c>
      <c r="O1842" s="8" t="s">
        <v>63</v>
      </c>
      <c r="P1842" s="4" t="n">
        <v>62</v>
      </c>
      <c r="Q1842" s="8"/>
      <c r="R1842" s="4" t="s">
        <v>6335</v>
      </c>
      <c r="S1842" s="4"/>
    </row>
    <row r="1843" customFormat="false" ht="15" hidden="false" customHeight="false" outlineLevel="0" collapsed="false">
      <c r="A1843" s="4" t="s">
        <v>6337</v>
      </c>
      <c r="B1843" s="8" t="s">
        <v>6338</v>
      </c>
      <c r="C1843" s="8"/>
      <c r="D1843" s="8"/>
      <c r="E1843" s="8" t="s">
        <v>74</v>
      </c>
      <c r="F1843" s="8"/>
      <c r="G1843" s="8"/>
      <c r="H1843" s="8"/>
      <c r="I1843" s="8" t="s">
        <v>6339</v>
      </c>
      <c r="J1843" s="8" t="s">
        <v>78</v>
      </c>
      <c r="K1843" s="8" t="s">
        <v>6310</v>
      </c>
      <c r="L1843" s="8"/>
      <c r="M1843" s="8"/>
      <c r="N1843" s="8" t="s">
        <v>62</v>
      </c>
      <c r="O1843" s="8" t="s">
        <v>63</v>
      </c>
      <c r="P1843" s="4" t="n">
        <v>62</v>
      </c>
      <c r="Q1843" s="8"/>
      <c r="R1843" s="4" t="s">
        <v>6338</v>
      </c>
      <c r="S1843" s="4"/>
    </row>
    <row r="1844" customFormat="false" ht="15" hidden="false" customHeight="false" outlineLevel="0" collapsed="false">
      <c r="A1844" s="4" t="s">
        <v>6340</v>
      </c>
      <c r="B1844" s="8" t="s">
        <v>6341</v>
      </c>
      <c r="C1844" s="8"/>
      <c r="D1844" s="8"/>
      <c r="E1844" s="8" t="s">
        <v>74</v>
      </c>
      <c r="F1844" s="8"/>
      <c r="G1844" s="8"/>
      <c r="H1844" s="8"/>
      <c r="I1844" s="8" t="s">
        <v>6342</v>
      </c>
      <c r="J1844" s="8" t="s">
        <v>78</v>
      </c>
      <c r="K1844" s="8" t="s">
        <v>6310</v>
      </c>
      <c r="L1844" s="8"/>
      <c r="M1844" s="8"/>
      <c r="N1844" s="8" t="s">
        <v>62</v>
      </c>
      <c r="O1844" s="8" t="s">
        <v>63</v>
      </c>
      <c r="P1844" s="4" t="n">
        <v>62</v>
      </c>
      <c r="Q1844" s="8"/>
      <c r="R1844" s="4" t="s">
        <v>6341</v>
      </c>
      <c r="S1844" s="4"/>
    </row>
    <row r="1845" customFormat="false" ht="15" hidden="false" customHeight="false" outlineLevel="0" collapsed="false">
      <c r="A1845" s="4" t="s">
        <v>6343</v>
      </c>
      <c r="B1845" s="8" t="s">
        <v>6344</v>
      </c>
      <c r="C1845" s="8"/>
      <c r="D1845" s="8"/>
      <c r="E1845" s="8" t="s">
        <v>74</v>
      </c>
      <c r="F1845" s="8"/>
      <c r="G1845" s="8"/>
      <c r="H1845" s="8"/>
      <c r="I1845" s="8" t="s">
        <v>6345</v>
      </c>
      <c r="J1845" s="8" t="s">
        <v>78</v>
      </c>
      <c r="K1845" s="8" t="s">
        <v>6310</v>
      </c>
      <c r="L1845" s="8"/>
      <c r="M1845" s="8"/>
      <c r="N1845" s="8" t="s">
        <v>62</v>
      </c>
      <c r="O1845" s="8" t="s">
        <v>63</v>
      </c>
      <c r="P1845" s="4" t="n">
        <v>62</v>
      </c>
      <c r="Q1845" s="8"/>
      <c r="R1845" s="4" t="s">
        <v>6344</v>
      </c>
      <c r="S1845" s="4"/>
    </row>
    <row r="1846" customFormat="false" ht="15" hidden="false" customHeight="false" outlineLevel="0" collapsed="false">
      <c r="A1846" s="4" t="s">
        <v>6346</v>
      </c>
      <c r="B1846" s="8" t="s">
        <v>549</v>
      </c>
      <c r="C1846" s="8"/>
      <c r="D1846" s="8"/>
      <c r="E1846" s="8" t="s">
        <v>74</v>
      </c>
      <c r="F1846" s="8"/>
      <c r="G1846" s="8"/>
      <c r="H1846" s="8"/>
      <c r="I1846" s="8" t="s">
        <v>550</v>
      </c>
      <c r="J1846" s="8" t="s">
        <v>78</v>
      </c>
      <c r="K1846" s="8" t="s">
        <v>6310</v>
      </c>
      <c r="L1846" s="8"/>
      <c r="M1846" s="8"/>
      <c r="N1846" s="8" t="s">
        <v>62</v>
      </c>
      <c r="O1846" s="8" t="s">
        <v>63</v>
      </c>
      <c r="P1846" s="4" t="n">
        <v>62</v>
      </c>
      <c r="Q1846" s="8"/>
      <c r="R1846" s="4" t="s">
        <v>549</v>
      </c>
      <c r="S1846" s="4"/>
    </row>
    <row r="1847" customFormat="false" ht="15" hidden="false" customHeight="false" outlineLevel="0" collapsed="false">
      <c r="A1847" s="4" t="s">
        <v>6347</v>
      </c>
      <c r="B1847" s="8" t="s">
        <v>556</v>
      </c>
      <c r="C1847" s="8"/>
      <c r="D1847" s="8"/>
      <c r="E1847" s="8" t="s">
        <v>74</v>
      </c>
      <c r="F1847" s="8"/>
      <c r="G1847" s="8"/>
      <c r="H1847" s="8"/>
      <c r="I1847" s="8" t="s">
        <v>557</v>
      </c>
      <c r="J1847" s="8" t="s">
        <v>78</v>
      </c>
      <c r="K1847" s="8" t="s">
        <v>6310</v>
      </c>
      <c r="L1847" s="8"/>
      <c r="M1847" s="8"/>
      <c r="N1847" s="8" t="s">
        <v>62</v>
      </c>
      <c r="O1847" s="8" t="s">
        <v>63</v>
      </c>
      <c r="P1847" s="4" t="n">
        <v>62</v>
      </c>
      <c r="Q1847" s="8"/>
      <c r="R1847" s="4" t="s">
        <v>556</v>
      </c>
      <c r="S1847" s="4"/>
    </row>
    <row r="1848" customFormat="false" ht="15" hidden="false" customHeight="false" outlineLevel="0" collapsed="false">
      <c r="A1848" s="4" t="s">
        <v>6348</v>
      </c>
      <c r="B1848" s="8" t="s">
        <v>6349</v>
      </c>
      <c r="C1848" s="8"/>
      <c r="D1848" s="8"/>
      <c r="E1848" s="8" t="s">
        <v>74</v>
      </c>
      <c r="F1848" s="8"/>
      <c r="G1848" s="8"/>
      <c r="H1848" s="8"/>
      <c r="I1848" s="8" t="s">
        <v>6350</v>
      </c>
      <c r="J1848" s="8" t="s">
        <v>78</v>
      </c>
      <c r="K1848" s="8" t="s">
        <v>6310</v>
      </c>
      <c r="L1848" s="8"/>
      <c r="M1848" s="8"/>
      <c r="N1848" s="8" t="s">
        <v>62</v>
      </c>
      <c r="O1848" s="8" t="s">
        <v>63</v>
      </c>
      <c r="P1848" s="4" t="n">
        <v>62</v>
      </c>
      <c r="Q1848" s="8"/>
      <c r="R1848" s="4" t="s">
        <v>6349</v>
      </c>
      <c r="S1848" s="4"/>
    </row>
    <row r="1849" customFormat="false" ht="15" hidden="false" customHeight="false" outlineLevel="0" collapsed="false">
      <c r="A1849" s="4" t="s">
        <v>6351</v>
      </c>
      <c r="B1849" s="8" t="s">
        <v>578</v>
      </c>
      <c r="C1849" s="8"/>
      <c r="D1849" s="8"/>
      <c r="E1849" s="8" t="s">
        <v>74</v>
      </c>
      <c r="F1849" s="8"/>
      <c r="G1849" s="8"/>
      <c r="H1849" s="8"/>
      <c r="I1849" s="8" t="s">
        <v>579</v>
      </c>
      <c r="J1849" s="8" t="s">
        <v>78</v>
      </c>
      <c r="K1849" s="8" t="s">
        <v>6310</v>
      </c>
      <c r="L1849" s="8"/>
      <c r="M1849" s="8"/>
      <c r="N1849" s="8" t="s">
        <v>62</v>
      </c>
      <c r="O1849" s="8" t="s">
        <v>63</v>
      </c>
      <c r="P1849" s="4" t="n">
        <v>62</v>
      </c>
      <c r="Q1849" s="8"/>
      <c r="R1849" s="4" t="s">
        <v>578</v>
      </c>
      <c r="S1849" s="4"/>
    </row>
    <row r="1850" customFormat="false" ht="15" hidden="false" customHeight="false" outlineLevel="0" collapsed="false">
      <c r="A1850" s="4" t="s">
        <v>6352</v>
      </c>
      <c r="B1850" s="8" t="s">
        <v>6353</v>
      </c>
      <c r="C1850" s="8"/>
      <c r="D1850" s="8"/>
      <c r="E1850" s="8" t="s">
        <v>74</v>
      </c>
      <c r="F1850" s="8"/>
      <c r="G1850" s="8"/>
      <c r="H1850" s="8"/>
      <c r="I1850" s="8" t="s">
        <v>6354</v>
      </c>
      <c r="J1850" s="8" t="s">
        <v>78</v>
      </c>
      <c r="K1850" s="8" t="s">
        <v>6310</v>
      </c>
      <c r="L1850" s="8"/>
      <c r="M1850" s="8"/>
      <c r="N1850" s="8" t="s">
        <v>62</v>
      </c>
      <c r="O1850" s="8" t="s">
        <v>63</v>
      </c>
      <c r="P1850" s="4" t="n">
        <v>62</v>
      </c>
      <c r="Q1850" s="8"/>
      <c r="R1850" s="4" t="s">
        <v>6353</v>
      </c>
      <c r="S1850" s="4"/>
    </row>
    <row r="1851" customFormat="false" ht="15" hidden="false" customHeight="false" outlineLevel="0" collapsed="false">
      <c r="A1851" s="4" t="s">
        <v>6355</v>
      </c>
      <c r="B1851" s="8" t="s">
        <v>6356</v>
      </c>
      <c r="C1851" s="8"/>
      <c r="D1851" s="8"/>
      <c r="E1851" s="8" t="s">
        <v>74</v>
      </c>
      <c r="F1851" s="8"/>
      <c r="G1851" s="8"/>
      <c r="H1851" s="8"/>
      <c r="I1851" s="8" t="s">
        <v>6357</v>
      </c>
      <c r="J1851" s="8" t="s">
        <v>78</v>
      </c>
      <c r="K1851" s="8" t="s">
        <v>6310</v>
      </c>
      <c r="L1851" s="8"/>
      <c r="M1851" s="8"/>
      <c r="N1851" s="8" t="s">
        <v>62</v>
      </c>
      <c r="O1851" s="8" t="s">
        <v>63</v>
      </c>
      <c r="P1851" s="4" t="n">
        <v>62</v>
      </c>
      <c r="Q1851" s="8"/>
      <c r="R1851" s="4" t="s">
        <v>6356</v>
      </c>
      <c r="S1851" s="4"/>
    </row>
    <row r="1852" customFormat="false" ht="15" hidden="false" customHeight="false" outlineLevel="0" collapsed="false">
      <c r="A1852" s="4" t="s">
        <v>6358</v>
      </c>
      <c r="B1852" s="8" t="s">
        <v>6359</v>
      </c>
      <c r="C1852" s="8"/>
      <c r="D1852" s="8"/>
      <c r="E1852" s="8" t="s">
        <v>74</v>
      </c>
      <c r="F1852" s="8"/>
      <c r="G1852" s="8"/>
      <c r="H1852" s="8"/>
      <c r="I1852" s="8" t="s">
        <v>6360</v>
      </c>
      <c r="J1852" s="8" t="s">
        <v>78</v>
      </c>
      <c r="K1852" s="8" t="s">
        <v>6310</v>
      </c>
      <c r="L1852" s="8"/>
      <c r="M1852" s="8"/>
      <c r="N1852" s="8" t="s">
        <v>62</v>
      </c>
      <c r="O1852" s="8" t="s">
        <v>63</v>
      </c>
      <c r="P1852" s="4" t="n">
        <v>62</v>
      </c>
      <c r="Q1852" s="8"/>
      <c r="R1852" s="4" t="s">
        <v>6359</v>
      </c>
      <c r="S1852" s="4"/>
    </row>
    <row r="1853" customFormat="false" ht="15" hidden="false" customHeight="false" outlineLevel="0" collapsed="false">
      <c r="A1853" s="4" t="s">
        <v>6361</v>
      </c>
      <c r="B1853" s="8" t="s">
        <v>6362</v>
      </c>
      <c r="C1853" s="8"/>
      <c r="D1853" s="8"/>
      <c r="E1853" s="8" t="s">
        <v>74</v>
      </c>
      <c r="F1853" s="8"/>
      <c r="G1853" s="8"/>
      <c r="H1853" s="8"/>
      <c r="I1853" s="8" t="s">
        <v>6363</v>
      </c>
      <c r="J1853" s="8" t="s">
        <v>78</v>
      </c>
      <c r="K1853" s="8" t="s">
        <v>6310</v>
      </c>
      <c r="L1853" s="8"/>
      <c r="M1853" s="8"/>
      <c r="N1853" s="8" t="s">
        <v>62</v>
      </c>
      <c r="O1853" s="8" t="s">
        <v>63</v>
      </c>
      <c r="P1853" s="4" t="n">
        <v>62</v>
      </c>
      <c r="Q1853" s="8"/>
      <c r="R1853" s="4" t="s">
        <v>6362</v>
      </c>
      <c r="S1853" s="4"/>
    </row>
    <row r="1854" customFormat="false" ht="15" hidden="false" customHeight="false" outlineLevel="0" collapsed="false">
      <c r="A1854" s="4" t="s">
        <v>6364</v>
      </c>
      <c r="B1854" s="8" t="s">
        <v>6365</v>
      </c>
      <c r="C1854" s="8"/>
      <c r="D1854" s="8"/>
      <c r="E1854" s="8" t="s">
        <v>74</v>
      </c>
      <c r="F1854" s="8"/>
      <c r="G1854" s="8"/>
      <c r="H1854" s="8"/>
      <c r="I1854" s="8" t="s">
        <v>6366</v>
      </c>
      <c r="J1854" s="8" t="s">
        <v>78</v>
      </c>
      <c r="K1854" s="8" t="s">
        <v>6310</v>
      </c>
      <c r="L1854" s="8"/>
      <c r="M1854" s="8"/>
      <c r="N1854" s="8" t="s">
        <v>62</v>
      </c>
      <c r="O1854" s="8" t="s">
        <v>63</v>
      </c>
      <c r="P1854" s="4" t="n">
        <v>62</v>
      </c>
      <c r="Q1854" s="8"/>
      <c r="R1854" s="4" t="s">
        <v>6365</v>
      </c>
      <c r="S1854" s="4"/>
    </row>
    <row r="1855" customFormat="false" ht="15" hidden="false" customHeight="false" outlineLevel="0" collapsed="false">
      <c r="A1855" s="4" t="s">
        <v>6367</v>
      </c>
      <c r="B1855" s="8" t="s">
        <v>6368</v>
      </c>
      <c r="C1855" s="8"/>
      <c r="D1855" s="8"/>
      <c r="E1855" s="8" t="s">
        <v>74</v>
      </c>
      <c r="F1855" s="8"/>
      <c r="G1855" s="8"/>
      <c r="H1855" s="8"/>
      <c r="I1855" s="8" t="s">
        <v>6369</v>
      </c>
      <c r="J1855" s="8" t="s">
        <v>78</v>
      </c>
      <c r="K1855" s="8" t="s">
        <v>6310</v>
      </c>
      <c r="L1855" s="8"/>
      <c r="M1855" s="8"/>
      <c r="N1855" s="8" t="s">
        <v>62</v>
      </c>
      <c r="O1855" s="8" t="s">
        <v>63</v>
      </c>
      <c r="P1855" s="4" t="n">
        <v>62</v>
      </c>
      <c r="Q1855" s="8"/>
      <c r="R1855" s="4" t="s">
        <v>6368</v>
      </c>
      <c r="S1855" s="4"/>
    </row>
    <row r="1856" customFormat="false" ht="15" hidden="false" customHeight="false" outlineLevel="0" collapsed="false">
      <c r="A1856" s="4" t="s">
        <v>6370</v>
      </c>
      <c r="B1856" s="8" t="s">
        <v>6371</v>
      </c>
      <c r="C1856" s="8"/>
      <c r="D1856" s="8"/>
      <c r="E1856" s="8" t="s">
        <v>74</v>
      </c>
      <c r="F1856" s="8"/>
      <c r="G1856" s="8"/>
      <c r="H1856" s="8"/>
      <c r="I1856" s="8" t="s">
        <v>6372</v>
      </c>
      <c r="J1856" s="8" t="s">
        <v>78</v>
      </c>
      <c r="K1856" s="8" t="s">
        <v>6310</v>
      </c>
      <c r="L1856" s="8"/>
      <c r="M1856" s="8"/>
      <c r="N1856" s="8" t="s">
        <v>62</v>
      </c>
      <c r="O1856" s="8" t="s">
        <v>63</v>
      </c>
      <c r="P1856" s="4" t="n">
        <v>62</v>
      </c>
      <c r="Q1856" s="8"/>
      <c r="R1856" s="4" t="s">
        <v>6371</v>
      </c>
      <c r="S1856" s="4"/>
    </row>
    <row r="1857" customFormat="false" ht="15" hidden="false" customHeight="false" outlineLevel="0" collapsed="false">
      <c r="A1857" s="4" t="s">
        <v>6373</v>
      </c>
      <c r="B1857" s="8" t="s">
        <v>4547</v>
      </c>
      <c r="C1857" s="8"/>
      <c r="D1857" s="8"/>
      <c r="E1857" s="8" t="s">
        <v>74</v>
      </c>
      <c r="F1857" s="8"/>
      <c r="G1857" s="8"/>
      <c r="H1857" s="8"/>
      <c r="I1857" s="8" t="s">
        <v>6374</v>
      </c>
      <c r="J1857" s="8" t="s">
        <v>78</v>
      </c>
      <c r="K1857" s="8" t="s">
        <v>6310</v>
      </c>
      <c r="L1857" s="8"/>
      <c r="M1857" s="8"/>
      <c r="N1857" s="8" t="s">
        <v>62</v>
      </c>
      <c r="O1857" s="8" t="s">
        <v>63</v>
      </c>
      <c r="P1857" s="4" t="n">
        <v>62</v>
      </c>
      <c r="Q1857" s="8"/>
      <c r="R1857" s="4" t="s">
        <v>4547</v>
      </c>
      <c r="S1857" s="4" t="n">
        <v>101</v>
      </c>
    </row>
    <row r="1858" customFormat="false" ht="15" hidden="false" customHeight="false" outlineLevel="0" collapsed="false">
      <c r="A1858" s="4" t="s">
        <v>6375</v>
      </c>
      <c r="B1858" s="8" t="s">
        <v>6376</v>
      </c>
      <c r="C1858" s="8"/>
      <c r="D1858" s="8"/>
      <c r="E1858" s="8" t="s">
        <v>74</v>
      </c>
      <c r="F1858" s="8"/>
      <c r="G1858" s="8"/>
      <c r="H1858" s="8"/>
      <c r="I1858" s="8" t="s">
        <v>6377</v>
      </c>
      <c r="J1858" s="8" t="s">
        <v>78</v>
      </c>
      <c r="K1858" s="8" t="s">
        <v>6310</v>
      </c>
      <c r="L1858" s="8"/>
      <c r="M1858" s="8"/>
      <c r="N1858" s="8" t="s">
        <v>62</v>
      </c>
      <c r="O1858" s="8" t="s">
        <v>63</v>
      </c>
      <c r="P1858" s="4" t="n">
        <v>62</v>
      </c>
      <c r="Q1858" s="8"/>
      <c r="R1858" s="4" t="s">
        <v>6376</v>
      </c>
      <c r="S1858" s="4"/>
    </row>
    <row r="1859" customFormat="false" ht="15" hidden="false" customHeight="false" outlineLevel="0" collapsed="false">
      <c r="A1859" s="4" t="s">
        <v>6378</v>
      </c>
      <c r="B1859" s="8" t="s">
        <v>6379</v>
      </c>
      <c r="C1859" s="8"/>
      <c r="D1859" s="8"/>
      <c r="E1859" s="8" t="s">
        <v>74</v>
      </c>
      <c r="F1859" s="8"/>
      <c r="G1859" s="8"/>
      <c r="H1859" s="8"/>
      <c r="I1859" s="8" t="s">
        <v>6380</v>
      </c>
      <c r="J1859" s="8" t="s">
        <v>78</v>
      </c>
      <c r="K1859" s="8" t="s">
        <v>6310</v>
      </c>
      <c r="L1859" s="8"/>
      <c r="M1859" s="8"/>
      <c r="N1859" s="8" t="s">
        <v>62</v>
      </c>
      <c r="O1859" s="8" t="s">
        <v>63</v>
      </c>
      <c r="P1859" s="4" t="n">
        <v>62</v>
      </c>
      <c r="Q1859" s="8"/>
      <c r="R1859" s="4" t="s">
        <v>6379</v>
      </c>
      <c r="S1859" s="4"/>
    </row>
    <row r="1860" customFormat="false" ht="15" hidden="false" customHeight="false" outlineLevel="0" collapsed="false">
      <c r="A1860" s="4" t="s">
        <v>6381</v>
      </c>
      <c r="B1860" s="8" t="s">
        <v>6382</v>
      </c>
      <c r="C1860" s="8"/>
      <c r="D1860" s="8"/>
      <c r="E1860" s="8" t="s">
        <v>74</v>
      </c>
      <c r="F1860" s="8"/>
      <c r="G1860" s="8"/>
      <c r="H1860" s="8"/>
      <c r="I1860" s="8" t="s">
        <v>6383</v>
      </c>
      <c r="J1860" s="8" t="s">
        <v>78</v>
      </c>
      <c r="K1860" s="8" t="s">
        <v>6310</v>
      </c>
      <c r="L1860" s="8"/>
      <c r="M1860" s="8"/>
      <c r="N1860" s="8" t="s">
        <v>62</v>
      </c>
      <c r="O1860" s="8" t="s">
        <v>63</v>
      </c>
      <c r="P1860" s="4" t="n">
        <v>62</v>
      </c>
      <c r="Q1860" s="8"/>
      <c r="R1860" s="4" t="s">
        <v>6382</v>
      </c>
      <c r="S1860" s="4"/>
    </row>
    <row r="1861" customFormat="false" ht="15" hidden="false" customHeight="false" outlineLevel="0" collapsed="false">
      <c r="A1861" s="4" t="s">
        <v>6384</v>
      </c>
      <c r="B1861" s="8" t="s">
        <v>6385</v>
      </c>
      <c r="C1861" s="8"/>
      <c r="D1861" s="8"/>
      <c r="E1861" s="8" t="s">
        <v>74</v>
      </c>
      <c r="F1861" s="8"/>
      <c r="G1861" s="8"/>
      <c r="H1861" s="8"/>
      <c r="I1861" s="8" t="s">
        <v>1753</v>
      </c>
      <c r="J1861" s="8" t="s">
        <v>78</v>
      </c>
      <c r="K1861" s="8" t="s">
        <v>6310</v>
      </c>
      <c r="L1861" s="8"/>
      <c r="M1861" s="8"/>
      <c r="N1861" s="8" t="s">
        <v>62</v>
      </c>
      <c r="O1861" s="8" t="s">
        <v>63</v>
      </c>
      <c r="P1861" s="4" t="n">
        <v>62</v>
      </c>
      <c r="Q1861" s="8"/>
      <c r="R1861" s="4" t="s">
        <v>6385</v>
      </c>
      <c r="S1861" s="4"/>
    </row>
    <row r="1862" customFormat="false" ht="15" hidden="false" customHeight="false" outlineLevel="0" collapsed="false">
      <c r="A1862" s="4" t="s">
        <v>6386</v>
      </c>
      <c r="B1862" s="8" t="s">
        <v>6387</v>
      </c>
      <c r="C1862" s="8"/>
      <c r="D1862" s="8"/>
      <c r="E1862" s="8" t="s">
        <v>74</v>
      </c>
      <c r="F1862" s="8"/>
      <c r="G1862" s="8"/>
      <c r="H1862" s="8"/>
      <c r="I1862" s="8" t="s">
        <v>6388</v>
      </c>
      <c r="J1862" s="8" t="s">
        <v>78</v>
      </c>
      <c r="K1862" s="8" t="s">
        <v>6310</v>
      </c>
      <c r="L1862" s="8"/>
      <c r="M1862" s="8"/>
      <c r="N1862" s="8" t="s">
        <v>62</v>
      </c>
      <c r="O1862" s="8" t="s">
        <v>63</v>
      </c>
      <c r="P1862" s="4" t="n">
        <v>62</v>
      </c>
      <c r="Q1862" s="8"/>
      <c r="R1862" s="4" t="s">
        <v>6387</v>
      </c>
      <c r="S1862" s="4"/>
    </row>
    <row r="1863" customFormat="false" ht="15" hidden="false" customHeight="false" outlineLevel="0" collapsed="false">
      <c r="A1863" s="4" t="s">
        <v>6389</v>
      </c>
      <c r="B1863" s="8" t="s">
        <v>6390</v>
      </c>
      <c r="C1863" s="8"/>
      <c r="D1863" s="8"/>
      <c r="E1863" s="8" t="s">
        <v>74</v>
      </c>
      <c r="F1863" s="8"/>
      <c r="G1863" s="8"/>
      <c r="H1863" s="8"/>
      <c r="I1863" s="8" t="s">
        <v>6391</v>
      </c>
      <c r="J1863" s="8" t="s">
        <v>78</v>
      </c>
      <c r="K1863" s="8" t="s">
        <v>6310</v>
      </c>
      <c r="L1863" s="8"/>
      <c r="M1863" s="8"/>
      <c r="N1863" s="8" t="s">
        <v>62</v>
      </c>
      <c r="O1863" s="8" t="s">
        <v>63</v>
      </c>
      <c r="P1863" s="4" t="n">
        <v>62</v>
      </c>
      <c r="Q1863" s="8"/>
      <c r="R1863" s="4" t="s">
        <v>6390</v>
      </c>
      <c r="S1863" s="4"/>
    </row>
    <row r="1864" customFormat="false" ht="15" hidden="false" customHeight="false" outlineLevel="0" collapsed="false">
      <c r="A1864" s="4" t="s">
        <v>6392</v>
      </c>
      <c r="B1864" s="8" t="s">
        <v>6393</v>
      </c>
      <c r="C1864" s="8"/>
      <c r="D1864" s="8"/>
      <c r="E1864" s="8" t="s">
        <v>74</v>
      </c>
      <c r="F1864" s="8"/>
      <c r="G1864" s="8"/>
      <c r="H1864" s="8"/>
      <c r="I1864" s="8" t="s">
        <v>6394</v>
      </c>
      <c r="J1864" s="8" t="s">
        <v>78</v>
      </c>
      <c r="K1864" s="8" t="s">
        <v>6310</v>
      </c>
      <c r="L1864" s="8"/>
      <c r="M1864" s="8"/>
      <c r="N1864" s="8" t="s">
        <v>62</v>
      </c>
      <c r="O1864" s="8" t="s">
        <v>63</v>
      </c>
      <c r="P1864" s="4" t="n">
        <v>62</v>
      </c>
      <c r="Q1864" s="8"/>
      <c r="R1864" s="4" t="s">
        <v>6393</v>
      </c>
      <c r="S1864" s="4"/>
    </row>
    <row r="1865" customFormat="false" ht="15" hidden="false" customHeight="false" outlineLevel="0" collapsed="false">
      <c r="A1865" s="4" t="s">
        <v>6395</v>
      </c>
      <c r="B1865" s="8" t="s">
        <v>6396</v>
      </c>
      <c r="C1865" s="8"/>
      <c r="D1865" s="8"/>
      <c r="E1865" s="8" t="s">
        <v>74</v>
      </c>
      <c r="F1865" s="8"/>
      <c r="G1865" s="8"/>
      <c r="H1865" s="8"/>
      <c r="I1865" s="8" t="s">
        <v>6397</v>
      </c>
      <c r="J1865" s="8" t="s">
        <v>78</v>
      </c>
      <c r="K1865" s="8" t="s">
        <v>6398</v>
      </c>
      <c r="L1865" s="8"/>
      <c r="M1865" s="8"/>
      <c r="N1865" s="8" t="s">
        <v>62</v>
      </c>
      <c r="O1865" s="8" t="s">
        <v>63</v>
      </c>
      <c r="P1865" s="4" t="n">
        <v>62</v>
      </c>
      <c r="Q1865" s="8"/>
      <c r="R1865" s="4" t="s">
        <v>6396</v>
      </c>
      <c r="S1865" s="4" t="n">
        <v>539</v>
      </c>
    </row>
    <row r="1866" customFormat="false" ht="15" hidden="false" customHeight="false" outlineLevel="0" collapsed="false">
      <c r="A1866" s="4" t="s">
        <v>6399</v>
      </c>
      <c r="B1866" s="8" t="s">
        <v>6400</v>
      </c>
      <c r="C1866" s="8"/>
      <c r="D1866" s="8"/>
      <c r="E1866" s="8" t="s">
        <v>74</v>
      </c>
      <c r="F1866" s="8"/>
      <c r="G1866" s="8"/>
      <c r="H1866" s="8"/>
      <c r="I1866" s="8" t="s">
        <v>6401</v>
      </c>
      <c r="J1866" s="8" t="s">
        <v>78</v>
      </c>
      <c r="K1866" s="8" t="s">
        <v>6398</v>
      </c>
      <c r="L1866" s="8"/>
      <c r="M1866" s="8"/>
      <c r="N1866" s="8" t="s">
        <v>62</v>
      </c>
      <c r="O1866" s="8" t="s">
        <v>63</v>
      </c>
      <c r="P1866" s="4" t="n">
        <v>62</v>
      </c>
      <c r="Q1866" s="8"/>
      <c r="R1866" s="4" t="s">
        <v>6400</v>
      </c>
      <c r="S1866" s="4"/>
    </row>
    <row r="1867" customFormat="false" ht="15" hidden="false" customHeight="false" outlineLevel="0" collapsed="false">
      <c r="A1867" s="4" t="s">
        <v>6402</v>
      </c>
      <c r="B1867" s="8" t="s">
        <v>6403</v>
      </c>
      <c r="C1867" s="8"/>
      <c r="D1867" s="8"/>
      <c r="E1867" s="8" t="s">
        <v>74</v>
      </c>
      <c r="F1867" s="8"/>
      <c r="G1867" s="8"/>
      <c r="H1867" s="8"/>
      <c r="I1867" s="8" t="s">
        <v>6404</v>
      </c>
      <c r="J1867" s="8" t="s">
        <v>78</v>
      </c>
      <c r="K1867" s="8" t="s">
        <v>6398</v>
      </c>
      <c r="L1867" s="8"/>
      <c r="M1867" s="8"/>
      <c r="N1867" s="8" t="s">
        <v>62</v>
      </c>
      <c r="O1867" s="8" t="s">
        <v>63</v>
      </c>
      <c r="P1867" s="4" t="n">
        <v>62</v>
      </c>
      <c r="Q1867" s="8"/>
      <c r="R1867" s="4" t="s">
        <v>6403</v>
      </c>
      <c r="S1867" s="4"/>
    </row>
    <row r="1868" customFormat="false" ht="15" hidden="false" customHeight="false" outlineLevel="0" collapsed="false">
      <c r="A1868" s="4" t="s">
        <v>6405</v>
      </c>
      <c r="B1868" s="8" t="s">
        <v>6406</v>
      </c>
      <c r="C1868" s="8"/>
      <c r="D1868" s="8"/>
      <c r="E1868" s="8" t="s">
        <v>74</v>
      </c>
      <c r="F1868" s="8"/>
      <c r="G1868" s="8"/>
      <c r="H1868" s="8"/>
      <c r="I1868" s="8" t="s">
        <v>6407</v>
      </c>
      <c r="J1868" s="8" t="s">
        <v>78</v>
      </c>
      <c r="K1868" s="8" t="s">
        <v>6398</v>
      </c>
      <c r="L1868" s="8"/>
      <c r="M1868" s="8"/>
      <c r="N1868" s="8" t="s">
        <v>62</v>
      </c>
      <c r="O1868" s="8" t="s">
        <v>63</v>
      </c>
      <c r="P1868" s="4" t="n">
        <v>62</v>
      </c>
      <c r="Q1868" s="8"/>
      <c r="R1868" s="4" t="s">
        <v>6406</v>
      </c>
      <c r="S1868" s="4"/>
    </row>
    <row r="1869" customFormat="false" ht="15" hidden="false" customHeight="false" outlineLevel="0" collapsed="false">
      <c r="A1869" s="4" t="s">
        <v>6408</v>
      </c>
      <c r="B1869" s="8" t="s">
        <v>6409</v>
      </c>
      <c r="C1869" s="8"/>
      <c r="D1869" s="8"/>
      <c r="E1869" s="8" t="s">
        <v>74</v>
      </c>
      <c r="F1869" s="8"/>
      <c r="G1869" s="8"/>
      <c r="H1869" s="8"/>
      <c r="I1869" s="8" t="s">
        <v>6410</v>
      </c>
      <c r="J1869" s="8" t="s">
        <v>78</v>
      </c>
      <c r="K1869" s="8" t="s">
        <v>6398</v>
      </c>
      <c r="L1869" s="8"/>
      <c r="M1869" s="8"/>
      <c r="N1869" s="8" t="s">
        <v>62</v>
      </c>
      <c r="O1869" s="8" t="s">
        <v>63</v>
      </c>
      <c r="P1869" s="4" t="n">
        <v>62</v>
      </c>
      <c r="Q1869" s="8"/>
      <c r="R1869" s="4" t="s">
        <v>6409</v>
      </c>
      <c r="S1869" s="4"/>
    </row>
    <row r="1870" customFormat="false" ht="15" hidden="false" customHeight="false" outlineLevel="0" collapsed="false">
      <c r="A1870" s="4" t="s">
        <v>6411</v>
      </c>
      <c r="B1870" s="8" t="s">
        <v>6412</v>
      </c>
      <c r="C1870" s="8"/>
      <c r="D1870" s="8"/>
      <c r="E1870" s="8" t="s">
        <v>74</v>
      </c>
      <c r="F1870" s="8"/>
      <c r="G1870" s="8"/>
      <c r="H1870" s="8"/>
      <c r="I1870" s="8" t="s">
        <v>6413</v>
      </c>
      <c r="J1870" s="8" t="s">
        <v>78</v>
      </c>
      <c r="K1870" s="8" t="s">
        <v>6398</v>
      </c>
      <c r="L1870" s="8"/>
      <c r="M1870" s="8"/>
      <c r="N1870" s="8" t="s">
        <v>62</v>
      </c>
      <c r="O1870" s="8" t="s">
        <v>63</v>
      </c>
      <c r="P1870" s="4" t="n">
        <v>62</v>
      </c>
      <c r="Q1870" s="8"/>
      <c r="R1870" s="4" t="s">
        <v>6412</v>
      </c>
      <c r="S1870" s="4"/>
    </row>
    <row r="1871" customFormat="false" ht="15" hidden="false" customHeight="false" outlineLevel="0" collapsed="false">
      <c r="A1871" s="4" t="s">
        <v>6414</v>
      </c>
      <c r="B1871" s="8" t="s">
        <v>6415</v>
      </c>
      <c r="C1871" s="8"/>
      <c r="D1871" s="8"/>
      <c r="E1871" s="8" t="s">
        <v>74</v>
      </c>
      <c r="F1871" s="8"/>
      <c r="G1871" s="8"/>
      <c r="H1871" s="8"/>
      <c r="I1871" s="8" t="s">
        <v>201</v>
      </c>
      <c r="J1871" s="8" t="s">
        <v>78</v>
      </c>
      <c r="K1871" s="8" t="s">
        <v>6398</v>
      </c>
      <c r="L1871" s="8"/>
      <c r="M1871" s="8"/>
      <c r="N1871" s="8" t="s">
        <v>62</v>
      </c>
      <c r="O1871" s="8" t="s">
        <v>63</v>
      </c>
      <c r="P1871" s="4" t="n">
        <v>62</v>
      </c>
      <c r="Q1871" s="8"/>
      <c r="R1871" s="4" t="s">
        <v>6415</v>
      </c>
      <c r="S1871" s="4"/>
    </row>
    <row r="1872" customFormat="false" ht="15" hidden="false" customHeight="false" outlineLevel="0" collapsed="false">
      <c r="A1872" s="4" t="s">
        <v>6416</v>
      </c>
      <c r="B1872" s="8" t="s">
        <v>6417</v>
      </c>
      <c r="C1872" s="8"/>
      <c r="D1872" s="8"/>
      <c r="E1872" s="8" t="s">
        <v>74</v>
      </c>
      <c r="F1872" s="8"/>
      <c r="G1872" s="8"/>
      <c r="H1872" s="8"/>
      <c r="I1872" s="8" t="s">
        <v>6418</v>
      </c>
      <c r="J1872" s="8" t="s">
        <v>78</v>
      </c>
      <c r="K1872" s="8" t="s">
        <v>6398</v>
      </c>
      <c r="L1872" s="8"/>
      <c r="M1872" s="8"/>
      <c r="N1872" s="8" t="s">
        <v>62</v>
      </c>
      <c r="O1872" s="8" t="s">
        <v>63</v>
      </c>
      <c r="P1872" s="4" t="n">
        <v>62</v>
      </c>
      <c r="Q1872" s="8"/>
      <c r="R1872" s="4" t="s">
        <v>6417</v>
      </c>
      <c r="S1872" s="4"/>
    </row>
    <row r="1873" customFormat="false" ht="15" hidden="false" customHeight="false" outlineLevel="0" collapsed="false">
      <c r="A1873" s="4" t="s">
        <v>6419</v>
      </c>
      <c r="B1873" s="8" t="s">
        <v>6420</v>
      </c>
      <c r="C1873" s="8"/>
      <c r="D1873" s="8"/>
      <c r="E1873" s="8" t="s">
        <v>74</v>
      </c>
      <c r="F1873" s="8"/>
      <c r="G1873" s="8"/>
      <c r="H1873" s="8"/>
      <c r="I1873" s="8" t="s">
        <v>6421</v>
      </c>
      <c r="J1873" s="8" t="s">
        <v>78</v>
      </c>
      <c r="K1873" s="8" t="s">
        <v>6398</v>
      </c>
      <c r="L1873" s="8"/>
      <c r="M1873" s="8"/>
      <c r="N1873" s="8" t="s">
        <v>62</v>
      </c>
      <c r="O1873" s="8" t="s">
        <v>63</v>
      </c>
      <c r="P1873" s="4" t="n">
        <v>62</v>
      </c>
      <c r="Q1873" s="8"/>
      <c r="R1873" s="4" t="s">
        <v>6420</v>
      </c>
      <c r="S1873" s="4"/>
    </row>
    <row r="1874" customFormat="false" ht="15" hidden="false" customHeight="false" outlineLevel="0" collapsed="false">
      <c r="A1874" s="4" t="s">
        <v>6422</v>
      </c>
      <c r="B1874" s="8" t="s">
        <v>6423</v>
      </c>
      <c r="C1874" s="8"/>
      <c r="D1874" s="8"/>
      <c r="E1874" s="8" t="s">
        <v>74</v>
      </c>
      <c r="F1874" s="8"/>
      <c r="G1874" s="8"/>
      <c r="H1874" s="8"/>
      <c r="I1874" s="8" t="s">
        <v>6424</v>
      </c>
      <c r="J1874" s="8" t="s">
        <v>78</v>
      </c>
      <c r="K1874" s="8" t="s">
        <v>6398</v>
      </c>
      <c r="L1874" s="8"/>
      <c r="M1874" s="8"/>
      <c r="N1874" s="8" t="s">
        <v>62</v>
      </c>
      <c r="O1874" s="8" t="s">
        <v>63</v>
      </c>
      <c r="P1874" s="4" t="n">
        <v>62</v>
      </c>
      <c r="Q1874" s="8"/>
      <c r="R1874" s="4" t="s">
        <v>6423</v>
      </c>
      <c r="S1874" s="4"/>
    </row>
    <row r="1875" customFormat="false" ht="15" hidden="false" customHeight="false" outlineLevel="0" collapsed="false">
      <c r="A1875" s="4" t="s">
        <v>6425</v>
      </c>
      <c r="B1875" s="8" t="s">
        <v>6426</v>
      </c>
      <c r="C1875" s="8"/>
      <c r="D1875" s="8"/>
      <c r="E1875" s="8" t="s">
        <v>74</v>
      </c>
      <c r="F1875" s="8"/>
      <c r="G1875" s="8"/>
      <c r="H1875" s="8"/>
      <c r="I1875" s="8" t="s">
        <v>6427</v>
      </c>
      <c r="J1875" s="8" t="s">
        <v>78</v>
      </c>
      <c r="K1875" s="8" t="s">
        <v>6398</v>
      </c>
      <c r="L1875" s="8"/>
      <c r="M1875" s="8"/>
      <c r="N1875" s="8" t="s">
        <v>62</v>
      </c>
      <c r="O1875" s="8" t="s">
        <v>63</v>
      </c>
      <c r="P1875" s="4" t="n">
        <v>62</v>
      </c>
      <c r="Q1875" s="8"/>
      <c r="R1875" s="4" t="s">
        <v>6426</v>
      </c>
      <c r="S1875" s="4"/>
    </row>
    <row r="1876" customFormat="false" ht="15" hidden="false" customHeight="false" outlineLevel="0" collapsed="false">
      <c r="A1876" s="4" t="s">
        <v>6428</v>
      </c>
      <c r="B1876" s="8" t="s">
        <v>6429</v>
      </c>
      <c r="C1876" s="8"/>
      <c r="D1876" s="8"/>
      <c r="E1876" s="8" t="s">
        <v>74</v>
      </c>
      <c r="F1876" s="8"/>
      <c r="G1876" s="8"/>
      <c r="H1876" s="8"/>
      <c r="I1876" s="8" t="s">
        <v>6430</v>
      </c>
      <c r="J1876" s="8" t="s">
        <v>78</v>
      </c>
      <c r="K1876" s="8" t="s">
        <v>6398</v>
      </c>
      <c r="L1876" s="8"/>
      <c r="M1876" s="8"/>
      <c r="N1876" s="8" t="s">
        <v>62</v>
      </c>
      <c r="O1876" s="8" t="s">
        <v>63</v>
      </c>
      <c r="P1876" s="4" t="n">
        <v>62</v>
      </c>
      <c r="Q1876" s="8"/>
      <c r="R1876" s="4" t="s">
        <v>6429</v>
      </c>
      <c r="S1876" s="4"/>
    </row>
    <row r="1877" customFormat="false" ht="15" hidden="false" customHeight="false" outlineLevel="0" collapsed="false">
      <c r="A1877" s="4" t="s">
        <v>6431</v>
      </c>
      <c r="B1877" s="8" t="s">
        <v>6432</v>
      </c>
      <c r="C1877" s="8"/>
      <c r="D1877" s="8"/>
      <c r="E1877" s="8" t="s">
        <v>74</v>
      </c>
      <c r="F1877" s="8"/>
      <c r="G1877" s="8"/>
      <c r="H1877" s="8"/>
      <c r="I1877" s="8" t="s">
        <v>6433</v>
      </c>
      <c r="J1877" s="8" t="s">
        <v>78</v>
      </c>
      <c r="K1877" s="8" t="s">
        <v>6398</v>
      </c>
      <c r="L1877" s="8"/>
      <c r="M1877" s="8"/>
      <c r="N1877" s="8" t="s">
        <v>62</v>
      </c>
      <c r="O1877" s="8" t="s">
        <v>63</v>
      </c>
      <c r="P1877" s="4" t="n">
        <v>62</v>
      </c>
      <c r="Q1877" s="8"/>
      <c r="R1877" s="4" t="s">
        <v>6432</v>
      </c>
      <c r="S1877" s="4"/>
    </row>
    <row r="1878" customFormat="false" ht="15" hidden="false" customHeight="false" outlineLevel="0" collapsed="false">
      <c r="A1878" s="4" t="s">
        <v>6434</v>
      </c>
      <c r="B1878" s="8" t="s">
        <v>6435</v>
      </c>
      <c r="C1878" s="8"/>
      <c r="D1878" s="8"/>
      <c r="E1878" s="8" t="s">
        <v>74</v>
      </c>
      <c r="F1878" s="8"/>
      <c r="G1878" s="8"/>
      <c r="H1878" s="8"/>
      <c r="I1878" s="8" t="s">
        <v>6436</v>
      </c>
      <c r="J1878" s="8" t="s">
        <v>78</v>
      </c>
      <c r="K1878" s="8" t="s">
        <v>6398</v>
      </c>
      <c r="L1878" s="8"/>
      <c r="M1878" s="8"/>
      <c r="N1878" s="8" t="s">
        <v>62</v>
      </c>
      <c r="O1878" s="8" t="s">
        <v>63</v>
      </c>
      <c r="P1878" s="4" t="n">
        <v>62</v>
      </c>
      <c r="Q1878" s="8"/>
      <c r="R1878" s="4" t="s">
        <v>6435</v>
      </c>
      <c r="S1878" s="4"/>
    </row>
    <row r="1879" customFormat="false" ht="15" hidden="false" customHeight="false" outlineLevel="0" collapsed="false">
      <c r="A1879" s="4" t="s">
        <v>6437</v>
      </c>
      <c r="B1879" s="8" t="s">
        <v>6438</v>
      </c>
      <c r="C1879" s="8"/>
      <c r="D1879" s="8"/>
      <c r="E1879" s="8" t="s">
        <v>74</v>
      </c>
      <c r="F1879" s="8"/>
      <c r="G1879" s="8"/>
      <c r="H1879" s="8"/>
      <c r="I1879" s="8" t="s">
        <v>6439</v>
      </c>
      <c r="J1879" s="8" t="s">
        <v>78</v>
      </c>
      <c r="K1879" s="8" t="s">
        <v>6398</v>
      </c>
      <c r="L1879" s="8"/>
      <c r="M1879" s="8"/>
      <c r="N1879" s="8" t="s">
        <v>62</v>
      </c>
      <c r="O1879" s="8" t="s">
        <v>63</v>
      </c>
      <c r="P1879" s="4" t="n">
        <v>62</v>
      </c>
      <c r="Q1879" s="8"/>
      <c r="R1879" s="4" t="s">
        <v>6438</v>
      </c>
      <c r="S1879" s="4"/>
    </row>
    <row r="1880" customFormat="false" ht="15" hidden="false" customHeight="false" outlineLevel="0" collapsed="false">
      <c r="A1880" s="4" t="s">
        <v>6440</v>
      </c>
      <c r="B1880" s="8" t="s">
        <v>104</v>
      </c>
      <c r="C1880" s="8"/>
      <c r="D1880" s="8"/>
      <c r="E1880" s="8" t="s">
        <v>86</v>
      </c>
      <c r="F1880" s="8"/>
      <c r="G1880" s="8"/>
      <c r="H1880" s="8"/>
      <c r="I1880" s="8" t="s">
        <v>105</v>
      </c>
      <c r="J1880" s="8" t="s">
        <v>78</v>
      </c>
      <c r="K1880" s="8" t="s">
        <v>6441</v>
      </c>
      <c r="L1880" s="8"/>
      <c r="M1880" s="8"/>
      <c r="N1880" s="8" t="s">
        <v>62</v>
      </c>
      <c r="O1880" s="8" t="s">
        <v>63</v>
      </c>
      <c r="P1880" s="4" t="n">
        <v>63</v>
      </c>
      <c r="Q1880" s="8"/>
      <c r="R1880" s="4" t="s">
        <v>104</v>
      </c>
      <c r="S1880" s="4" t="n">
        <v>23</v>
      </c>
    </row>
    <row r="1881" customFormat="false" ht="15" hidden="false" customHeight="false" outlineLevel="0" collapsed="false">
      <c r="A1881" s="4" t="s">
        <v>6442</v>
      </c>
      <c r="B1881" s="8" t="s">
        <v>111</v>
      </c>
      <c r="C1881" s="8"/>
      <c r="D1881" s="8"/>
      <c r="E1881" s="8" t="s">
        <v>86</v>
      </c>
      <c r="F1881" s="8"/>
      <c r="G1881" s="8"/>
      <c r="H1881" s="8"/>
      <c r="I1881" s="8" t="s">
        <v>112</v>
      </c>
      <c r="J1881" s="8" t="s">
        <v>78</v>
      </c>
      <c r="K1881" s="8" t="s">
        <v>6441</v>
      </c>
      <c r="L1881" s="8"/>
      <c r="M1881" s="8"/>
      <c r="N1881" s="8" t="s">
        <v>62</v>
      </c>
      <c r="O1881" s="8" t="s">
        <v>63</v>
      </c>
      <c r="P1881" s="4" t="n">
        <v>63</v>
      </c>
      <c r="Q1881" s="8"/>
      <c r="R1881" s="4" t="s">
        <v>111</v>
      </c>
      <c r="S1881" s="4" t="n">
        <v>325</v>
      </c>
    </row>
    <row r="1882" customFormat="false" ht="15" hidden="false" customHeight="false" outlineLevel="0" collapsed="false">
      <c r="A1882" s="4" t="s">
        <v>6443</v>
      </c>
      <c r="B1882" s="8" t="s">
        <v>117</v>
      </c>
      <c r="C1882" s="8"/>
      <c r="D1882" s="8"/>
      <c r="E1882" s="8" t="s">
        <v>86</v>
      </c>
      <c r="F1882" s="8"/>
      <c r="G1882" s="8"/>
      <c r="H1882" s="8"/>
      <c r="I1882" s="8" t="s">
        <v>118</v>
      </c>
      <c r="J1882" s="8" t="s">
        <v>78</v>
      </c>
      <c r="K1882" s="8" t="s">
        <v>6441</v>
      </c>
      <c r="L1882" s="8"/>
      <c r="M1882" s="8"/>
      <c r="N1882" s="8" t="s">
        <v>62</v>
      </c>
      <c r="O1882" s="8" t="s">
        <v>63</v>
      </c>
      <c r="P1882" s="4" t="n">
        <v>63</v>
      </c>
      <c r="Q1882" s="8"/>
      <c r="R1882" s="4" t="s">
        <v>117</v>
      </c>
      <c r="S1882" s="4" t="n">
        <v>2</v>
      </c>
    </row>
    <row r="1883" customFormat="false" ht="15" hidden="false" customHeight="false" outlineLevel="0" collapsed="false">
      <c r="A1883" s="4" t="s">
        <v>6444</v>
      </c>
      <c r="B1883" s="8" t="s">
        <v>6445</v>
      </c>
      <c r="C1883" s="8"/>
      <c r="D1883" s="8"/>
      <c r="E1883" s="8" t="s">
        <v>86</v>
      </c>
      <c r="F1883" s="8"/>
      <c r="G1883" s="8"/>
      <c r="H1883" s="8"/>
      <c r="I1883" s="8" t="s">
        <v>6446</v>
      </c>
      <c r="J1883" s="8" t="s">
        <v>78</v>
      </c>
      <c r="K1883" s="8" t="s">
        <v>6441</v>
      </c>
      <c r="L1883" s="8"/>
      <c r="M1883" s="8"/>
      <c r="N1883" s="8" t="s">
        <v>62</v>
      </c>
      <c r="O1883" s="8" t="s">
        <v>63</v>
      </c>
      <c r="P1883" s="4" t="n">
        <v>63</v>
      </c>
      <c r="Q1883" s="8"/>
      <c r="R1883" s="4" t="s">
        <v>6445</v>
      </c>
      <c r="S1883" s="4"/>
    </row>
    <row r="1884" customFormat="false" ht="15" hidden="false" customHeight="false" outlineLevel="0" collapsed="false">
      <c r="A1884" s="4" t="s">
        <v>6447</v>
      </c>
      <c r="B1884" s="8" t="s">
        <v>1245</v>
      </c>
      <c r="C1884" s="8"/>
      <c r="D1884" s="8"/>
      <c r="E1884" s="8" t="s">
        <v>86</v>
      </c>
      <c r="F1884" s="8"/>
      <c r="G1884" s="8"/>
      <c r="H1884" s="8"/>
      <c r="I1884" s="8" t="s">
        <v>6448</v>
      </c>
      <c r="J1884" s="8" t="s">
        <v>78</v>
      </c>
      <c r="K1884" s="8" t="s">
        <v>6441</v>
      </c>
      <c r="L1884" s="8"/>
      <c r="M1884" s="8"/>
      <c r="N1884" s="8" t="s">
        <v>62</v>
      </c>
      <c r="O1884" s="8" t="s">
        <v>63</v>
      </c>
      <c r="P1884" s="4" t="n">
        <v>63</v>
      </c>
      <c r="Q1884" s="8"/>
      <c r="R1884" s="4" t="s">
        <v>1245</v>
      </c>
      <c r="S1884" s="4" t="n">
        <v>139</v>
      </c>
    </row>
    <row r="1885" customFormat="false" ht="15" hidden="false" customHeight="false" outlineLevel="0" collapsed="false">
      <c r="A1885" s="4" t="s">
        <v>6449</v>
      </c>
      <c r="B1885" s="8" t="s">
        <v>6450</v>
      </c>
      <c r="C1885" s="8"/>
      <c r="D1885" s="8"/>
      <c r="E1885" s="8" t="s">
        <v>86</v>
      </c>
      <c r="F1885" s="8"/>
      <c r="G1885" s="8"/>
      <c r="H1885" s="8"/>
      <c r="I1885" s="8" t="s">
        <v>6451</v>
      </c>
      <c r="J1885" s="8" t="s">
        <v>78</v>
      </c>
      <c r="K1885" s="8" t="s">
        <v>6441</v>
      </c>
      <c r="L1885" s="8"/>
      <c r="M1885" s="8"/>
      <c r="N1885" s="8" t="s">
        <v>62</v>
      </c>
      <c r="O1885" s="8" t="s">
        <v>63</v>
      </c>
      <c r="P1885" s="4" t="n">
        <v>63</v>
      </c>
      <c r="Q1885" s="8"/>
      <c r="R1885" s="4" t="s">
        <v>6450</v>
      </c>
      <c r="S1885" s="4"/>
    </row>
    <row r="1886" customFormat="false" ht="15" hidden="false" customHeight="false" outlineLevel="0" collapsed="false">
      <c r="A1886" s="4" t="s">
        <v>6452</v>
      </c>
      <c r="B1886" s="8" t="s">
        <v>6453</v>
      </c>
      <c r="C1886" s="8"/>
      <c r="D1886" s="8"/>
      <c r="E1886" s="8" t="s">
        <v>86</v>
      </c>
      <c r="F1886" s="8"/>
      <c r="G1886" s="8"/>
      <c r="H1886" s="8"/>
      <c r="I1886" s="8" t="s">
        <v>6454</v>
      </c>
      <c r="J1886" s="8" t="s">
        <v>78</v>
      </c>
      <c r="K1886" s="8" t="s">
        <v>6441</v>
      </c>
      <c r="L1886" s="8"/>
      <c r="M1886" s="8"/>
      <c r="N1886" s="8" t="s">
        <v>62</v>
      </c>
      <c r="O1886" s="8" t="s">
        <v>63</v>
      </c>
      <c r="P1886" s="4" t="n">
        <v>63</v>
      </c>
      <c r="Q1886" s="8"/>
      <c r="R1886" s="4" t="s">
        <v>6453</v>
      </c>
      <c r="S1886" s="4"/>
    </row>
    <row r="1887" customFormat="false" ht="15" hidden="false" customHeight="false" outlineLevel="0" collapsed="false">
      <c r="A1887" s="4" t="s">
        <v>6455</v>
      </c>
      <c r="B1887" s="8" t="s">
        <v>6456</v>
      </c>
      <c r="C1887" s="8"/>
      <c r="D1887" s="8"/>
      <c r="E1887" s="8" t="s">
        <v>86</v>
      </c>
      <c r="F1887" s="8"/>
      <c r="G1887" s="8"/>
      <c r="H1887" s="8"/>
      <c r="I1887" s="8" t="s">
        <v>112</v>
      </c>
      <c r="J1887" s="8" t="s">
        <v>78</v>
      </c>
      <c r="K1887" s="8" t="s">
        <v>6441</v>
      </c>
      <c r="L1887" s="8"/>
      <c r="M1887" s="8"/>
      <c r="N1887" s="8" t="s">
        <v>62</v>
      </c>
      <c r="O1887" s="8" t="s">
        <v>63</v>
      </c>
      <c r="P1887" s="4" t="n">
        <v>63</v>
      </c>
      <c r="Q1887" s="8"/>
      <c r="R1887" s="4" t="s">
        <v>6456</v>
      </c>
      <c r="S1887" s="4"/>
    </row>
    <row r="1888" customFormat="false" ht="15" hidden="false" customHeight="false" outlineLevel="0" collapsed="false">
      <c r="A1888" s="4" t="s">
        <v>6457</v>
      </c>
      <c r="B1888" s="8" t="s">
        <v>6458</v>
      </c>
      <c r="C1888" s="8"/>
      <c r="D1888" s="8"/>
      <c r="E1888" s="8" t="s">
        <v>86</v>
      </c>
      <c r="F1888" s="8"/>
      <c r="G1888" s="8"/>
      <c r="H1888" s="8"/>
      <c r="I1888" s="8" t="s">
        <v>6459</v>
      </c>
      <c r="J1888" s="8" t="s">
        <v>78</v>
      </c>
      <c r="K1888" s="8" t="s">
        <v>6441</v>
      </c>
      <c r="L1888" s="8"/>
      <c r="M1888" s="8"/>
      <c r="N1888" s="8" t="s">
        <v>62</v>
      </c>
      <c r="O1888" s="8" t="s">
        <v>63</v>
      </c>
      <c r="P1888" s="4" t="n">
        <v>63</v>
      </c>
      <c r="Q1888" s="8"/>
      <c r="R1888" s="4" t="s">
        <v>6458</v>
      </c>
      <c r="S1888" s="4"/>
    </row>
    <row r="1889" customFormat="false" ht="15" hidden="false" customHeight="false" outlineLevel="0" collapsed="false">
      <c r="A1889" s="4" t="s">
        <v>6460</v>
      </c>
      <c r="B1889" s="8" t="s">
        <v>6461</v>
      </c>
      <c r="C1889" s="8"/>
      <c r="D1889" s="8"/>
      <c r="E1889" s="8" t="s">
        <v>86</v>
      </c>
      <c r="F1889" s="8"/>
      <c r="G1889" s="8"/>
      <c r="H1889" s="8"/>
      <c r="I1889" s="8" t="s">
        <v>6462</v>
      </c>
      <c r="J1889" s="8" t="s">
        <v>78</v>
      </c>
      <c r="K1889" s="8" t="s">
        <v>6441</v>
      </c>
      <c r="L1889" s="8"/>
      <c r="M1889" s="8"/>
      <c r="N1889" s="8" t="s">
        <v>62</v>
      </c>
      <c r="O1889" s="8" t="s">
        <v>63</v>
      </c>
      <c r="P1889" s="4" t="n">
        <v>63</v>
      </c>
      <c r="Q1889" s="8"/>
      <c r="R1889" s="4" t="s">
        <v>6461</v>
      </c>
      <c r="S1889" s="4"/>
    </row>
    <row r="1890" customFormat="false" ht="15" hidden="false" customHeight="false" outlineLevel="0" collapsed="false">
      <c r="A1890" s="4" t="s">
        <v>6463</v>
      </c>
      <c r="B1890" s="8" t="s">
        <v>6464</v>
      </c>
      <c r="C1890" s="8"/>
      <c r="D1890" s="8"/>
      <c r="E1890" s="8" t="s">
        <v>86</v>
      </c>
      <c r="F1890" s="8"/>
      <c r="G1890" s="8"/>
      <c r="H1890" s="8"/>
      <c r="I1890" s="8" t="s">
        <v>6465</v>
      </c>
      <c r="J1890" s="8" t="s">
        <v>78</v>
      </c>
      <c r="K1890" s="8" t="s">
        <v>6441</v>
      </c>
      <c r="L1890" s="8"/>
      <c r="M1890" s="8"/>
      <c r="N1890" s="8" t="s">
        <v>62</v>
      </c>
      <c r="O1890" s="8" t="s">
        <v>63</v>
      </c>
      <c r="P1890" s="4" t="n">
        <v>63</v>
      </c>
      <c r="Q1890" s="8"/>
      <c r="R1890" s="4" t="s">
        <v>6464</v>
      </c>
      <c r="S1890" s="4"/>
    </row>
    <row r="1891" customFormat="false" ht="15" hidden="false" customHeight="false" outlineLevel="0" collapsed="false">
      <c r="A1891" s="4" t="s">
        <v>6466</v>
      </c>
      <c r="B1891" s="8" t="s">
        <v>6467</v>
      </c>
      <c r="C1891" s="8"/>
      <c r="D1891" s="8"/>
      <c r="E1891" s="8" t="s">
        <v>86</v>
      </c>
      <c r="F1891" s="8"/>
      <c r="G1891" s="8"/>
      <c r="H1891" s="8"/>
      <c r="I1891" s="8" t="s">
        <v>6468</v>
      </c>
      <c r="J1891" s="8" t="s">
        <v>78</v>
      </c>
      <c r="K1891" s="8" t="s">
        <v>6441</v>
      </c>
      <c r="L1891" s="8"/>
      <c r="M1891" s="8"/>
      <c r="N1891" s="8" t="s">
        <v>62</v>
      </c>
      <c r="O1891" s="8" t="s">
        <v>63</v>
      </c>
      <c r="P1891" s="4" t="n">
        <v>63</v>
      </c>
      <c r="Q1891" s="8"/>
      <c r="R1891" s="4" t="s">
        <v>6467</v>
      </c>
      <c r="S1891" s="4" t="n">
        <v>29</v>
      </c>
    </row>
    <row r="1892" customFormat="false" ht="15" hidden="false" customHeight="false" outlineLevel="0" collapsed="false">
      <c r="A1892" s="4" t="s">
        <v>6469</v>
      </c>
      <c r="B1892" s="8" t="s">
        <v>6470</v>
      </c>
      <c r="C1892" s="8"/>
      <c r="D1892" s="8"/>
      <c r="E1892" s="8" t="s">
        <v>86</v>
      </c>
      <c r="F1892" s="8"/>
      <c r="G1892" s="8"/>
      <c r="H1892" s="8"/>
      <c r="I1892" s="8" t="s">
        <v>6471</v>
      </c>
      <c r="J1892" s="8" t="s">
        <v>78</v>
      </c>
      <c r="K1892" s="8" t="s">
        <v>6441</v>
      </c>
      <c r="L1892" s="8"/>
      <c r="M1892" s="8"/>
      <c r="N1892" s="8" t="s">
        <v>62</v>
      </c>
      <c r="O1892" s="8" t="s">
        <v>63</v>
      </c>
      <c r="P1892" s="4" t="n">
        <v>63</v>
      </c>
      <c r="Q1892" s="8"/>
      <c r="R1892" s="4" t="s">
        <v>6470</v>
      </c>
      <c r="S1892" s="4"/>
    </row>
    <row r="1893" customFormat="false" ht="15" hidden="false" customHeight="false" outlineLevel="0" collapsed="false">
      <c r="A1893" s="4" t="s">
        <v>6472</v>
      </c>
      <c r="B1893" s="8" t="s">
        <v>6473</v>
      </c>
      <c r="C1893" s="8"/>
      <c r="D1893" s="8"/>
      <c r="E1893" s="8" t="s">
        <v>86</v>
      </c>
      <c r="F1893" s="8"/>
      <c r="G1893" s="8"/>
      <c r="H1893" s="8"/>
      <c r="I1893" s="8" t="s">
        <v>6474</v>
      </c>
      <c r="J1893" s="8" t="s">
        <v>78</v>
      </c>
      <c r="K1893" s="8" t="s">
        <v>6441</v>
      </c>
      <c r="L1893" s="8"/>
      <c r="M1893" s="8"/>
      <c r="N1893" s="8" t="s">
        <v>62</v>
      </c>
      <c r="O1893" s="8" t="s">
        <v>63</v>
      </c>
      <c r="P1893" s="4" t="n">
        <v>63</v>
      </c>
      <c r="Q1893" s="8"/>
      <c r="R1893" s="4" t="s">
        <v>6473</v>
      </c>
      <c r="S1893" s="4"/>
    </row>
    <row r="1894" customFormat="false" ht="15" hidden="false" customHeight="false" outlineLevel="0" collapsed="false">
      <c r="A1894" s="4" t="s">
        <v>6475</v>
      </c>
      <c r="B1894" s="8" t="s">
        <v>6476</v>
      </c>
      <c r="C1894" s="8"/>
      <c r="D1894" s="8"/>
      <c r="E1894" s="8" t="s">
        <v>86</v>
      </c>
      <c r="F1894" s="8"/>
      <c r="G1894" s="8"/>
      <c r="H1894" s="8"/>
      <c r="I1894" s="8" t="s">
        <v>6477</v>
      </c>
      <c r="J1894" s="8" t="s">
        <v>78</v>
      </c>
      <c r="K1894" s="8" t="s">
        <v>6441</v>
      </c>
      <c r="L1894" s="8"/>
      <c r="M1894" s="8"/>
      <c r="N1894" s="8" t="s">
        <v>62</v>
      </c>
      <c r="O1894" s="8" t="s">
        <v>63</v>
      </c>
      <c r="P1894" s="4" t="n">
        <v>63</v>
      </c>
      <c r="Q1894" s="8"/>
      <c r="R1894" s="4" t="s">
        <v>6476</v>
      </c>
      <c r="S1894" s="4" t="n">
        <v>570</v>
      </c>
    </row>
    <row r="1895" customFormat="false" ht="15" hidden="false" customHeight="false" outlineLevel="0" collapsed="false">
      <c r="A1895" s="4" t="s">
        <v>6478</v>
      </c>
      <c r="B1895" s="8" t="s">
        <v>6479</v>
      </c>
      <c r="C1895" s="8"/>
      <c r="D1895" s="8"/>
      <c r="E1895" s="8" t="s">
        <v>86</v>
      </c>
      <c r="F1895" s="8"/>
      <c r="G1895" s="8"/>
      <c r="H1895" s="8"/>
      <c r="I1895" s="8" t="s">
        <v>6480</v>
      </c>
      <c r="J1895" s="8" t="s">
        <v>78</v>
      </c>
      <c r="K1895" s="8" t="s">
        <v>6441</v>
      </c>
      <c r="L1895" s="8"/>
      <c r="M1895" s="8"/>
      <c r="N1895" s="8" t="s">
        <v>62</v>
      </c>
      <c r="O1895" s="8" t="s">
        <v>63</v>
      </c>
      <c r="P1895" s="4" t="n">
        <v>63</v>
      </c>
      <c r="Q1895" s="8"/>
      <c r="R1895" s="4" t="s">
        <v>6479</v>
      </c>
      <c r="S1895" s="4"/>
    </row>
    <row r="1896" customFormat="false" ht="15" hidden="false" customHeight="false" outlineLevel="0" collapsed="false">
      <c r="A1896" s="4" t="s">
        <v>6481</v>
      </c>
      <c r="B1896" s="8" t="s">
        <v>6482</v>
      </c>
      <c r="C1896" s="8"/>
      <c r="D1896" s="8"/>
      <c r="E1896" s="8" t="s">
        <v>86</v>
      </c>
      <c r="F1896" s="8"/>
      <c r="G1896" s="8"/>
      <c r="H1896" s="8"/>
      <c r="I1896" s="8" t="s">
        <v>1707</v>
      </c>
      <c r="J1896" s="8" t="s">
        <v>78</v>
      </c>
      <c r="K1896" s="8" t="s">
        <v>6441</v>
      </c>
      <c r="L1896" s="8"/>
      <c r="M1896" s="8"/>
      <c r="N1896" s="8" t="s">
        <v>62</v>
      </c>
      <c r="O1896" s="8" t="s">
        <v>63</v>
      </c>
      <c r="P1896" s="4" t="n">
        <v>63</v>
      </c>
      <c r="Q1896" s="8"/>
      <c r="R1896" s="4" t="s">
        <v>6482</v>
      </c>
      <c r="S1896" s="4"/>
    </row>
    <row r="1897" customFormat="false" ht="15" hidden="false" customHeight="false" outlineLevel="0" collapsed="false">
      <c r="A1897" s="4" t="s">
        <v>6483</v>
      </c>
      <c r="B1897" s="8" t="s">
        <v>6484</v>
      </c>
      <c r="C1897" s="8"/>
      <c r="D1897" s="8"/>
      <c r="E1897" s="8" t="s">
        <v>86</v>
      </c>
      <c r="F1897" s="8"/>
      <c r="G1897" s="8"/>
      <c r="H1897" s="8"/>
      <c r="I1897" s="8" t="s">
        <v>6485</v>
      </c>
      <c r="J1897" s="8" t="s">
        <v>78</v>
      </c>
      <c r="K1897" s="8" t="s">
        <v>6441</v>
      </c>
      <c r="L1897" s="8"/>
      <c r="M1897" s="8"/>
      <c r="N1897" s="8" t="s">
        <v>62</v>
      </c>
      <c r="O1897" s="8" t="s">
        <v>63</v>
      </c>
      <c r="P1897" s="4" t="n">
        <v>63</v>
      </c>
      <c r="Q1897" s="8"/>
      <c r="R1897" s="4" t="s">
        <v>6484</v>
      </c>
      <c r="S1897" s="4"/>
    </row>
    <row r="1898" customFormat="false" ht="15" hidden="false" customHeight="false" outlineLevel="0" collapsed="false">
      <c r="A1898" s="4" t="s">
        <v>6486</v>
      </c>
      <c r="B1898" s="8" t="s">
        <v>6487</v>
      </c>
      <c r="C1898" s="8"/>
      <c r="D1898" s="8"/>
      <c r="E1898" s="8" t="s">
        <v>86</v>
      </c>
      <c r="F1898" s="8"/>
      <c r="G1898" s="8"/>
      <c r="H1898" s="8"/>
      <c r="I1898" s="8" t="s">
        <v>6488</v>
      </c>
      <c r="J1898" s="8" t="s">
        <v>78</v>
      </c>
      <c r="K1898" s="8" t="s">
        <v>6441</v>
      </c>
      <c r="L1898" s="8"/>
      <c r="M1898" s="8"/>
      <c r="N1898" s="8" t="s">
        <v>62</v>
      </c>
      <c r="O1898" s="8" t="s">
        <v>63</v>
      </c>
      <c r="P1898" s="4" t="n">
        <v>63</v>
      </c>
      <c r="Q1898" s="8"/>
      <c r="R1898" s="4" t="s">
        <v>6487</v>
      </c>
      <c r="S1898" s="4" t="n">
        <v>182</v>
      </c>
    </row>
    <row r="1899" customFormat="false" ht="15" hidden="false" customHeight="false" outlineLevel="0" collapsed="false">
      <c r="A1899" s="4" t="s">
        <v>6489</v>
      </c>
      <c r="B1899" s="8" t="s">
        <v>6490</v>
      </c>
      <c r="C1899" s="8"/>
      <c r="D1899" s="8"/>
      <c r="E1899" s="8" t="s">
        <v>86</v>
      </c>
      <c r="F1899" s="8"/>
      <c r="G1899" s="8"/>
      <c r="H1899" s="8"/>
      <c r="I1899" s="8" t="s">
        <v>6491</v>
      </c>
      <c r="J1899" s="8" t="s">
        <v>78</v>
      </c>
      <c r="K1899" s="8" t="s">
        <v>6441</v>
      </c>
      <c r="L1899" s="8"/>
      <c r="M1899" s="8"/>
      <c r="N1899" s="8" t="s">
        <v>62</v>
      </c>
      <c r="O1899" s="8" t="s">
        <v>63</v>
      </c>
      <c r="P1899" s="4" t="n">
        <v>63</v>
      </c>
      <c r="Q1899" s="8"/>
      <c r="R1899" s="4" t="s">
        <v>6490</v>
      </c>
      <c r="S1899" s="4" t="n">
        <v>30</v>
      </c>
    </row>
    <row r="1900" customFormat="false" ht="15" hidden="false" customHeight="false" outlineLevel="0" collapsed="false">
      <c r="A1900" s="4" t="s">
        <v>6492</v>
      </c>
      <c r="B1900" s="8" t="s">
        <v>6493</v>
      </c>
      <c r="C1900" s="8"/>
      <c r="D1900" s="8"/>
      <c r="E1900" s="8" t="s">
        <v>86</v>
      </c>
      <c r="F1900" s="8"/>
      <c r="G1900" s="8"/>
      <c r="H1900" s="8"/>
      <c r="I1900" s="8" t="s">
        <v>6494</v>
      </c>
      <c r="J1900" s="8" t="s">
        <v>78</v>
      </c>
      <c r="K1900" s="8" t="s">
        <v>6441</v>
      </c>
      <c r="L1900" s="8"/>
      <c r="M1900" s="8"/>
      <c r="N1900" s="8" t="s">
        <v>62</v>
      </c>
      <c r="O1900" s="8" t="s">
        <v>63</v>
      </c>
      <c r="P1900" s="4" t="n">
        <v>63</v>
      </c>
      <c r="Q1900" s="8"/>
      <c r="R1900" s="4" t="s">
        <v>6493</v>
      </c>
      <c r="S1900" s="4" t="n">
        <v>304</v>
      </c>
    </row>
    <row r="1901" customFormat="false" ht="15" hidden="false" customHeight="false" outlineLevel="0" collapsed="false">
      <c r="A1901" s="4" t="s">
        <v>6495</v>
      </c>
      <c r="B1901" s="8" t="s">
        <v>6496</v>
      </c>
      <c r="C1901" s="8"/>
      <c r="D1901" s="8"/>
      <c r="E1901" s="8" t="s">
        <v>86</v>
      </c>
      <c r="F1901" s="8"/>
      <c r="G1901" s="8"/>
      <c r="H1901" s="8"/>
      <c r="I1901" s="8" t="s">
        <v>6497</v>
      </c>
      <c r="J1901" s="8" t="s">
        <v>78</v>
      </c>
      <c r="K1901" s="8" t="s">
        <v>6441</v>
      </c>
      <c r="L1901" s="8"/>
      <c r="M1901" s="8"/>
      <c r="N1901" s="8" t="s">
        <v>62</v>
      </c>
      <c r="O1901" s="8" t="s">
        <v>63</v>
      </c>
      <c r="P1901" s="4" t="n">
        <v>63</v>
      </c>
      <c r="Q1901" s="8"/>
      <c r="R1901" s="4" t="s">
        <v>6496</v>
      </c>
      <c r="S1901" s="4" t="n">
        <v>395</v>
      </c>
    </row>
    <row r="1902" customFormat="false" ht="15" hidden="false" customHeight="false" outlineLevel="0" collapsed="false">
      <c r="A1902" s="4" t="s">
        <v>6498</v>
      </c>
      <c r="B1902" s="8" t="s">
        <v>6499</v>
      </c>
      <c r="C1902" s="8"/>
      <c r="D1902" s="8"/>
      <c r="E1902" s="8" t="s">
        <v>86</v>
      </c>
      <c r="F1902" s="8"/>
      <c r="G1902" s="8"/>
      <c r="H1902" s="8"/>
      <c r="I1902" s="8" t="s">
        <v>6500</v>
      </c>
      <c r="J1902" s="8" t="s">
        <v>78</v>
      </c>
      <c r="K1902" s="8" t="s">
        <v>6441</v>
      </c>
      <c r="L1902" s="8"/>
      <c r="M1902" s="8"/>
      <c r="N1902" s="8" t="s">
        <v>62</v>
      </c>
      <c r="O1902" s="8" t="s">
        <v>63</v>
      </c>
      <c r="P1902" s="4" t="n">
        <v>63</v>
      </c>
      <c r="Q1902" s="8"/>
      <c r="R1902" s="4" t="s">
        <v>6499</v>
      </c>
      <c r="S1902" s="4"/>
    </row>
    <row r="1903" customFormat="false" ht="15" hidden="false" customHeight="false" outlineLevel="0" collapsed="false">
      <c r="A1903" s="4" t="s">
        <v>6501</v>
      </c>
      <c r="B1903" s="8" t="s">
        <v>6502</v>
      </c>
      <c r="C1903" s="8"/>
      <c r="D1903" s="8"/>
      <c r="E1903" s="8" t="s">
        <v>86</v>
      </c>
      <c r="F1903" s="8"/>
      <c r="G1903" s="8"/>
      <c r="H1903" s="8"/>
      <c r="I1903" s="8" t="s">
        <v>6503</v>
      </c>
      <c r="J1903" s="8" t="s">
        <v>78</v>
      </c>
      <c r="K1903" s="8" t="s">
        <v>6441</v>
      </c>
      <c r="L1903" s="8"/>
      <c r="M1903" s="8"/>
      <c r="N1903" s="8" t="s">
        <v>62</v>
      </c>
      <c r="O1903" s="8" t="s">
        <v>63</v>
      </c>
      <c r="P1903" s="4" t="n">
        <v>63</v>
      </c>
      <c r="Q1903" s="8"/>
      <c r="R1903" s="4" t="s">
        <v>6502</v>
      </c>
      <c r="S1903" s="4" t="n">
        <v>26</v>
      </c>
    </row>
    <row r="1904" customFormat="false" ht="15" hidden="false" customHeight="false" outlineLevel="0" collapsed="false">
      <c r="A1904" s="4" t="s">
        <v>6504</v>
      </c>
      <c r="B1904" s="8" t="s">
        <v>6505</v>
      </c>
      <c r="C1904" s="8"/>
      <c r="D1904" s="8"/>
      <c r="E1904" s="8" t="s">
        <v>86</v>
      </c>
      <c r="F1904" s="8"/>
      <c r="G1904" s="8"/>
      <c r="H1904" s="8"/>
      <c r="I1904" s="8" t="s">
        <v>6506</v>
      </c>
      <c r="J1904" s="8" t="s">
        <v>78</v>
      </c>
      <c r="K1904" s="8" t="s">
        <v>6441</v>
      </c>
      <c r="L1904" s="8"/>
      <c r="M1904" s="8"/>
      <c r="N1904" s="8" t="s">
        <v>62</v>
      </c>
      <c r="O1904" s="8" t="s">
        <v>63</v>
      </c>
      <c r="P1904" s="4" t="n">
        <v>63</v>
      </c>
      <c r="Q1904" s="8"/>
      <c r="R1904" s="4" t="s">
        <v>6505</v>
      </c>
      <c r="S1904" s="4"/>
    </row>
    <row r="1905" customFormat="false" ht="15" hidden="false" customHeight="false" outlineLevel="0" collapsed="false">
      <c r="A1905" s="4" t="s">
        <v>6507</v>
      </c>
      <c r="B1905" s="8" t="s">
        <v>6508</v>
      </c>
      <c r="C1905" s="8"/>
      <c r="D1905" s="8"/>
      <c r="E1905" s="8" t="s">
        <v>86</v>
      </c>
      <c r="F1905" s="8"/>
      <c r="G1905" s="8"/>
      <c r="H1905" s="8"/>
      <c r="I1905" s="8" t="s">
        <v>6509</v>
      </c>
      <c r="J1905" s="8" t="s">
        <v>78</v>
      </c>
      <c r="K1905" s="8" t="s">
        <v>6441</v>
      </c>
      <c r="L1905" s="8"/>
      <c r="M1905" s="8"/>
      <c r="N1905" s="8" t="s">
        <v>62</v>
      </c>
      <c r="O1905" s="8" t="s">
        <v>63</v>
      </c>
      <c r="P1905" s="4" t="n">
        <v>63</v>
      </c>
      <c r="Q1905" s="8"/>
      <c r="R1905" s="4" t="s">
        <v>6508</v>
      </c>
      <c r="S1905" s="4"/>
    </row>
    <row r="1906" customFormat="false" ht="15" hidden="false" customHeight="false" outlineLevel="0" collapsed="false">
      <c r="A1906" s="4" t="s">
        <v>6510</v>
      </c>
      <c r="B1906" s="8" t="s">
        <v>6511</v>
      </c>
      <c r="C1906" s="8"/>
      <c r="D1906" s="8"/>
      <c r="E1906" s="8" t="s">
        <v>86</v>
      </c>
      <c r="F1906" s="8"/>
      <c r="G1906" s="8"/>
      <c r="H1906" s="8"/>
      <c r="I1906" s="8" t="s">
        <v>6512</v>
      </c>
      <c r="J1906" s="8" t="s">
        <v>78</v>
      </c>
      <c r="K1906" s="8" t="s">
        <v>6441</v>
      </c>
      <c r="L1906" s="8"/>
      <c r="M1906" s="8"/>
      <c r="N1906" s="8" t="s">
        <v>62</v>
      </c>
      <c r="O1906" s="8" t="s">
        <v>63</v>
      </c>
      <c r="P1906" s="4" t="n">
        <v>63</v>
      </c>
      <c r="Q1906" s="8"/>
      <c r="R1906" s="4" t="s">
        <v>6511</v>
      </c>
      <c r="S1906" s="4" t="n">
        <v>32</v>
      </c>
    </row>
    <row r="1907" customFormat="false" ht="15" hidden="false" customHeight="false" outlineLevel="0" collapsed="false">
      <c r="A1907" s="4" t="s">
        <v>6513</v>
      </c>
      <c r="B1907" s="8" t="s">
        <v>6514</v>
      </c>
      <c r="C1907" s="8"/>
      <c r="D1907" s="8"/>
      <c r="E1907" s="8" t="s">
        <v>86</v>
      </c>
      <c r="F1907" s="8"/>
      <c r="G1907" s="8"/>
      <c r="H1907" s="8"/>
      <c r="I1907" s="8" t="s">
        <v>6515</v>
      </c>
      <c r="J1907" s="8" t="s">
        <v>78</v>
      </c>
      <c r="K1907" s="8" t="s">
        <v>6441</v>
      </c>
      <c r="L1907" s="8"/>
      <c r="M1907" s="8"/>
      <c r="N1907" s="8" t="s">
        <v>62</v>
      </c>
      <c r="O1907" s="8" t="s">
        <v>63</v>
      </c>
      <c r="P1907" s="4" t="n">
        <v>63</v>
      </c>
      <c r="Q1907" s="8"/>
      <c r="R1907" s="4" t="s">
        <v>6514</v>
      </c>
      <c r="S1907" s="4"/>
    </row>
    <row r="1908" customFormat="false" ht="15" hidden="false" customHeight="false" outlineLevel="0" collapsed="false">
      <c r="A1908" s="4" t="s">
        <v>6516</v>
      </c>
      <c r="B1908" s="8" t="s">
        <v>6517</v>
      </c>
      <c r="C1908" s="8"/>
      <c r="D1908" s="8"/>
      <c r="E1908" s="8" t="s">
        <v>86</v>
      </c>
      <c r="F1908" s="8"/>
      <c r="G1908" s="8"/>
      <c r="H1908" s="8"/>
      <c r="I1908" s="8" t="s">
        <v>6518</v>
      </c>
      <c r="J1908" s="8" t="s">
        <v>78</v>
      </c>
      <c r="K1908" s="8" t="s">
        <v>6441</v>
      </c>
      <c r="L1908" s="8"/>
      <c r="M1908" s="8"/>
      <c r="N1908" s="8" t="s">
        <v>62</v>
      </c>
      <c r="O1908" s="8" t="s">
        <v>63</v>
      </c>
      <c r="P1908" s="4" t="n">
        <v>63</v>
      </c>
      <c r="Q1908" s="8"/>
      <c r="R1908" s="4" t="s">
        <v>6517</v>
      </c>
      <c r="S1908" s="4" t="n">
        <v>24</v>
      </c>
    </row>
    <row r="1909" customFormat="false" ht="15" hidden="false" customHeight="false" outlineLevel="0" collapsed="false">
      <c r="A1909" s="4" t="s">
        <v>6519</v>
      </c>
      <c r="B1909" s="8" t="s">
        <v>6520</v>
      </c>
      <c r="C1909" s="8"/>
      <c r="D1909" s="8"/>
      <c r="E1909" s="8" t="s">
        <v>86</v>
      </c>
      <c r="F1909" s="8"/>
      <c r="G1909" s="8"/>
      <c r="H1909" s="8"/>
      <c r="I1909" s="8" t="s">
        <v>6521</v>
      </c>
      <c r="J1909" s="8" t="s">
        <v>78</v>
      </c>
      <c r="K1909" s="8" t="s">
        <v>6441</v>
      </c>
      <c r="L1909" s="8"/>
      <c r="M1909" s="8"/>
      <c r="N1909" s="8" t="s">
        <v>62</v>
      </c>
      <c r="O1909" s="8" t="s">
        <v>63</v>
      </c>
      <c r="P1909" s="4" t="n">
        <v>63</v>
      </c>
      <c r="Q1909" s="8"/>
      <c r="R1909" s="4" t="s">
        <v>6520</v>
      </c>
      <c r="S1909" s="4"/>
    </row>
    <row r="1910" customFormat="false" ht="15" hidden="false" customHeight="false" outlineLevel="0" collapsed="false">
      <c r="A1910" s="4" t="s">
        <v>6522</v>
      </c>
      <c r="B1910" s="8" t="s">
        <v>150</v>
      </c>
      <c r="C1910" s="8" t="s">
        <v>58</v>
      </c>
      <c r="D1910" s="8"/>
      <c r="E1910" s="8" t="s">
        <v>60</v>
      </c>
      <c r="F1910" s="8"/>
      <c r="G1910" s="8"/>
      <c r="H1910" s="8"/>
      <c r="I1910" s="8" t="s">
        <v>151</v>
      </c>
      <c r="J1910" s="8" t="s">
        <v>78</v>
      </c>
      <c r="K1910" s="8" t="s">
        <v>6523</v>
      </c>
      <c r="L1910" s="8" t="s">
        <v>6524</v>
      </c>
      <c r="M1910" s="8"/>
      <c r="N1910" s="8" t="s">
        <v>62</v>
      </c>
      <c r="O1910" s="8" t="s">
        <v>63</v>
      </c>
      <c r="P1910" s="4" t="n">
        <v>63</v>
      </c>
      <c r="Q1910" s="8"/>
      <c r="R1910" s="4" t="s">
        <v>152</v>
      </c>
      <c r="S1910" s="4"/>
    </row>
    <row r="1911" customFormat="false" ht="15" hidden="false" customHeight="false" outlineLevel="0" collapsed="false">
      <c r="A1911" s="4" t="s">
        <v>6525</v>
      </c>
      <c r="B1911" s="8" t="s">
        <v>306</v>
      </c>
      <c r="C1911" s="8"/>
      <c r="D1911" s="8"/>
      <c r="E1911" s="8"/>
      <c r="F1911" s="8"/>
      <c r="G1911" s="8"/>
      <c r="H1911" s="8"/>
      <c r="I1911" s="8" t="s">
        <v>307</v>
      </c>
      <c r="J1911" s="8" t="s">
        <v>78</v>
      </c>
      <c r="K1911" s="8" t="s">
        <v>6523</v>
      </c>
      <c r="L1911" s="8" t="s">
        <v>6524</v>
      </c>
      <c r="M1911" s="8"/>
      <c r="N1911" s="8" t="s">
        <v>62</v>
      </c>
      <c r="O1911" s="8" t="s">
        <v>63</v>
      </c>
      <c r="P1911" s="4" t="n">
        <v>63</v>
      </c>
      <c r="Q1911" s="8"/>
      <c r="R1911" s="4" t="s">
        <v>306</v>
      </c>
      <c r="S1911" s="4"/>
    </row>
    <row r="1912" customFormat="false" ht="15" hidden="false" customHeight="false" outlineLevel="0" collapsed="false">
      <c r="A1912" s="4" t="s">
        <v>6526</v>
      </c>
      <c r="B1912" s="8" t="s">
        <v>154</v>
      </c>
      <c r="C1912" s="8" t="s">
        <v>58</v>
      </c>
      <c r="D1912" s="8"/>
      <c r="E1912" s="8" t="s">
        <v>60</v>
      </c>
      <c r="F1912" s="8"/>
      <c r="G1912" s="8"/>
      <c r="H1912" s="8"/>
      <c r="I1912" s="8" t="s">
        <v>155</v>
      </c>
      <c r="J1912" s="8" t="s">
        <v>78</v>
      </c>
      <c r="K1912" s="8" t="s">
        <v>6523</v>
      </c>
      <c r="L1912" s="8" t="s">
        <v>6524</v>
      </c>
      <c r="M1912" s="8"/>
      <c r="N1912" s="8" t="s">
        <v>62</v>
      </c>
      <c r="O1912" s="8" t="s">
        <v>63</v>
      </c>
      <c r="P1912" s="4" t="n">
        <v>63</v>
      </c>
      <c r="Q1912" s="8"/>
      <c r="R1912" s="4" t="s">
        <v>156</v>
      </c>
      <c r="S1912" s="4"/>
    </row>
    <row r="1913" customFormat="false" ht="15" hidden="false" customHeight="false" outlineLevel="0" collapsed="false">
      <c r="A1913" s="4" t="s">
        <v>6527</v>
      </c>
      <c r="B1913" s="8" t="s">
        <v>319</v>
      </c>
      <c r="C1913" s="8"/>
      <c r="D1913" s="8"/>
      <c r="E1913" s="8"/>
      <c r="F1913" s="8"/>
      <c r="G1913" s="8"/>
      <c r="H1913" s="8"/>
      <c r="I1913" s="8" t="s">
        <v>320</v>
      </c>
      <c r="J1913" s="8" t="s">
        <v>78</v>
      </c>
      <c r="K1913" s="8" t="s">
        <v>6523</v>
      </c>
      <c r="L1913" s="8" t="s">
        <v>6524</v>
      </c>
      <c r="M1913" s="8"/>
      <c r="N1913" s="8" t="s">
        <v>62</v>
      </c>
      <c r="O1913" s="8" t="s">
        <v>63</v>
      </c>
      <c r="P1913" s="4" t="n">
        <v>63</v>
      </c>
      <c r="Q1913" s="8"/>
      <c r="R1913" s="4" t="s">
        <v>319</v>
      </c>
      <c r="S1913" s="4"/>
    </row>
    <row r="1914" customFormat="false" ht="15" hidden="false" customHeight="false" outlineLevel="0" collapsed="false">
      <c r="A1914" s="4" t="s">
        <v>6528</v>
      </c>
      <c r="B1914" s="8" t="s">
        <v>158</v>
      </c>
      <c r="C1914" s="8"/>
      <c r="D1914" s="8"/>
      <c r="E1914" s="8"/>
      <c r="F1914" s="8"/>
      <c r="G1914" s="8"/>
      <c r="H1914" s="8"/>
      <c r="I1914" s="8" t="s">
        <v>159</v>
      </c>
      <c r="J1914" s="8" t="s">
        <v>78</v>
      </c>
      <c r="K1914" s="8" t="s">
        <v>6523</v>
      </c>
      <c r="L1914" s="8" t="s">
        <v>6524</v>
      </c>
      <c r="M1914" s="8"/>
      <c r="N1914" s="8" t="s">
        <v>62</v>
      </c>
      <c r="O1914" s="8" t="s">
        <v>63</v>
      </c>
      <c r="P1914" s="4" t="n">
        <v>63</v>
      </c>
      <c r="Q1914" s="8"/>
      <c r="R1914" s="4" t="s">
        <v>158</v>
      </c>
      <c r="S1914" s="4"/>
    </row>
    <row r="1915" customFormat="false" ht="15" hidden="false" customHeight="false" outlineLevel="0" collapsed="false">
      <c r="A1915" s="4" t="s">
        <v>6529</v>
      </c>
      <c r="B1915" s="8" t="s">
        <v>322</v>
      </c>
      <c r="C1915" s="8"/>
      <c r="D1915" s="8"/>
      <c r="E1915" s="8"/>
      <c r="F1915" s="8"/>
      <c r="G1915" s="8"/>
      <c r="H1915" s="8"/>
      <c r="I1915" s="8" t="s">
        <v>323</v>
      </c>
      <c r="J1915" s="8" t="s">
        <v>78</v>
      </c>
      <c r="K1915" s="8" t="s">
        <v>6523</v>
      </c>
      <c r="L1915" s="8" t="s">
        <v>6524</v>
      </c>
      <c r="M1915" s="8"/>
      <c r="N1915" s="8" t="s">
        <v>62</v>
      </c>
      <c r="O1915" s="8" t="s">
        <v>63</v>
      </c>
      <c r="P1915" s="4" t="n">
        <v>63</v>
      </c>
      <c r="Q1915" s="8"/>
      <c r="R1915" s="4" t="s">
        <v>322</v>
      </c>
      <c r="S1915" s="4"/>
    </row>
    <row r="1916" customFormat="false" ht="15" hidden="false" customHeight="false" outlineLevel="0" collapsed="false">
      <c r="A1916" s="4" t="s">
        <v>6530</v>
      </c>
      <c r="B1916" s="8" t="s">
        <v>147</v>
      </c>
      <c r="C1916" s="8"/>
      <c r="D1916" s="8"/>
      <c r="E1916" s="8"/>
      <c r="F1916" s="8"/>
      <c r="G1916" s="8"/>
      <c r="H1916" s="8"/>
      <c r="I1916" s="8" t="s">
        <v>148</v>
      </c>
      <c r="J1916" s="8" t="s">
        <v>78</v>
      </c>
      <c r="K1916" s="8" t="s">
        <v>6523</v>
      </c>
      <c r="L1916" s="8" t="s">
        <v>6524</v>
      </c>
      <c r="M1916" s="8"/>
      <c r="N1916" s="8" t="s">
        <v>62</v>
      </c>
      <c r="O1916" s="8" t="s">
        <v>63</v>
      </c>
      <c r="P1916" s="4" t="n">
        <v>63</v>
      </c>
      <c r="Q1916" s="8"/>
      <c r="R1916" s="4" t="s">
        <v>147</v>
      </c>
      <c r="S1916" s="4"/>
    </row>
    <row r="1917" customFormat="false" ht="15" hidden="false" customHeight="false" outlineLevel="0" collapsed="false">
      <c r="A1917" s="4" t="s">
        <v>6531</v>
      </c>
      <c r="B1917" s="8" t="s">
        <v>303</v>
      </c>
      <c r="C1917" s="8"/>
      <c r="D1917" s="8"/>
      <c r="E1917" s="8"/>
      <c r="F1917" s="8"/>
      <c r="G1917" s="8"/>
      <c r="H1917" s="8"/>
      <c r="I1917" s="8" t="s">
        <v>304</v>
      </c>
      <c r="J1917" s="8" t="s">
        <v>78</v>
      </c>
      <c r="K1917" s="8" t="s">
        <v>6523</v>
      </c>
      <c r="L1917" s="8" t="s">
        <v>6524</v>
      </c>
      <c r="M1917" s="8"/>
      <c r="N1917" s="8" t="s">
        <v>62</v>
      </c>
      <c r="O1917" s="8" t="s">
        <v>63</v>
      </c>
      <c r="P1917" s="4" t="n">
        <v>63</v>
      </c>
      <c r="Q1917" s="8"/>
      <c r="R1917" s="4" t="s">
        <v>303</v>
      </c>
      <c r="S1917" s="4"/>
    </row>
    <row r="1918" customFormat="false" ht="15" hidden="false" customHeight="false" outlineLevel="0" collapsed="false">
      <c r="A1918" s="4" t="s">
        <v>6532</v>
      </c>
      <c r="B1918" s="8" t="s">
        <v>6533</v>
      </c>
      <c r="C1918" s="8"/>
      <c r="D1918" s="8"/>
      <c r="E1918" s="8"/>
      <c r="F1918" s="8"/>
      <c r="G1918" s="8"/>
      <c r="H1918" s="8"/>
      <c r="I1918" s="8" t="s">
        <v>294</v>
      </c>
      <c r="J1918" s="8" t="s">
        <v>78</v>
      </c>
      <c r="K1918" s="8" t="s">
        <v>6523</v>
      </c>
      <c r="L1918" s="8" t="s">
        <v>6524</v>
      </c>
      <c r="M1918" s="8"/>
      <c r="N1918" s="8" t="s">
        <v>62</v>
      </c>
      <c r="O1918" s="8" t="s">
        <v>63</v>
      </c>
      <c r="P1918" s="4" t="n">
        <v>63</v>
      </c>
      <c r="Q1918" s="8"/>
      <c r="R1918" s="4" t="s">
        <v>6533</v>
      </c>
      <c r="S1918" s="4"/>
    </row>
    <row r="1919" customFormat="false" ht="15" hidden="false" customHeight="false" outlineLevel="0" collapsed="false">
      <c r="A1919" s="4" t="s">
        <v>6534</v>
      </c>
      <c r="B1919" s="8" t="s">
        <v>293</v>
      </c>
      <c r="C1919" s="8"/>
      <c r="D1919" s="8"/>
      <c r="E1919" s="8"/>
      <c r="F1919" s="8"/>
      <c r="G1919" s="8"/>
      <c r="H1919" s="8"/>
      <c r="I1919" s="8" t="s">
        <v>6535</v>
      </c>
      <c r="J1919" s="8" t="s">
        <v>78</v>
      </c>
      <c r="K1919" s="8" t="s">
        <v>6523</v>
      </c>
      <c r="L1919" s="8" t="s">
        <v>6524</v>
      </c>
      <c r="M1919" s="8"/>
      <c r="N1919" s="8" t="s">
        <v>62</v>
      </c>
      <c r="O1919" s="8" t="s">
        <v>63</v>
      </c>
      <c r="P1919" s="4" t="n">
        <v>63</v>
      </c>
      <c r="Q1919" s="8"/>
      <c r="R1919" s="4" t="s">
        <v>293</v>
      </c>
      <c r="S1919" s="4" t="n">
        <v>1538</v>
      </c>
    </row>
    <row r="1920" customFormat="false" ht="15" hidden="false" customHeight="false" outlineLevel="0" collapsed="false">
      <c r="A1920" s="4" t="s">
        <v>6536</v>
      </c>
      <c r="B1920" s="8" t="s">
        <v>144</v>
      </c>
      <c r="C1920" s="8"/>
      <c r="D1920" s="8"/>
      <c r="E1920" s="8"/>
      <c r="F1920" s="8"/>
      <c r="G1920" s="8"/>
      <c r="H1920" s="8"/>
      <c r="I1920" s="8" t="s">
        <v>145</v>
      </c>
      <c r="J1920" s="8" t="s">
        <v>78</v>
      </c>
      <c r="K1920" s="8" t="s">
        <v>6523</v>
      </c>
      <c r="L1920" s="8" t="s">
        <v>6524</v>
      </c>
      <c r="M1920" s="8"/>
      <c r="N1920" s="8" t="s">
        <v>62</v>
      </c>
      <c r="O1920" s="8" t="s">
        <v>63</v>
      </c>
      <c r="P1920" s="4" t="n">
        <v>63</v>
      </c>
      <c r="Q1920" s="8"/>
      <c r="R1920" s="4" t="s">
        <v>144</v>
      </c>
      <c r="S1920" s="4"/>
    </row>
    <row r="1921" customFormat="false" ht="15" hidden="false" customHeight="false" outlineLevel="0" collapsed="false">
      <c r="A1921" s="4" t="s">
        <v>6537</v>
      </c>
      <c r="B1921" s="8" t="s">
        <v>309</v>
      </c>
      <c r="C1921" s="8"/>
      <c r="D1921" s="8"/>
      <c r="E1921" s="8"/>
      <c r="F1921" s="8"/>
      <c r="G1921" s="8"/>
      <c r="H1921" s="8"/>
      <c r="I1921" s="8" t="s">
        <v>310</v>
      </c>
      <c r="J1921" s="8" t="s">
        <v>78</v>
      </c>
      <c r="K1921" s="8" t="s">
        <v>6523</v>
      </c>
      <c r="L1921" s="8" t="s">
        <v>6524</v>
      </c>
      <c r="M1921" s="8"/>
      <c r="N1921" s="8" t="s">
        <v>62</v>
      </c>
      <c r="O1921" s="8" t="s">
        <v>63</v>
      </c>
      <c r="P1921" s="4" t="n">
        <v>63</v>
      </c>
      <c r="Q1921" s="8"/>
      <c r="R1921" s="4" t="s">
        <v>309</v>
      </c>
      <c r="S1921" s="4"/>
    </row>
    <row r="1922" customFormat="false" ht="15" hidden="false" customHeight="false" outlineLevel="0" collapsed="false">
      <c r="A1922" s="4" t="s">
        <v>6538</v>
      </c>
      <c r="B1922" s="8" t="s">
        <v>161</v>
      </c>
      <c r="C1922" s="8" t="s">
        <v>58</v>
      </c>
      <c r="D1922" s="8"/>
      <c r="E1922" s="8" t="s">
        <v>60</v>
      </c>
      <c r="F1922" s="8"/>
      <c r="G1922" s="8"/>
      <c r="H1922" s="8"/>
      <c r="I1922" s="8" t="s">
        <v>162</v>
      </c>
      <c r="J1922" s="8" t="s">
        <v>78</v>
      </c>
      <c r="K1922" s="8" t="s">
        <v>6523</v>
      </c>
      <c r="L1922" s="8" t="s">
        <v>6524</v>
      </c>
      <c r="M1922" s="8"/>
      <c r="N1922" s="8" t="s">
        <v>62</v>
      </c>
      <c r="O1922" s="8" t="s">
        <v>63</v>
      </c>
      <c r="P1922" s="4" t="n">
        <v>64</v>
      </c>
      <c r="Q1922" s="8"/>
      <c r="R1922" s="4" t="s">
        <v>163</v>
      </c>
      <c r="S1922" s="4"/>
    </row>
    <row r="1923" customFormat="false" ht="15" hidden="false" customHeight="false" outlineLevel="0" collapsed="false">
      <c r="A1923" s="4" t="s">
        <v>6539</v>
      </c>
      <c r="B1923" s="8" t="s">
        <v>325</v>
      </c>
      <c r="C1923" s="8"/>
      <c r="D1923" s="8"/>
      <c r="E1923" s="8"/>
      <c r="F1923" s="8"/>
      <c r="G1923" s="8"/>
      <c r="H1923" s="8"/>
      <c r="I1923" s="8" t="s">
        <v>326</v>
      </c>
      <c r="J1923" s="8" t="s">
        <v>78</v>
      </c>
      <c r="K1923" s="8" t="s">
        <v>6523</v>
      </c>
      <c r="L1923" s="8" t="s">
        <v>6524</v>
      </c>
      <c r="M1923" s="8"/>
      <c r="N1923" s="8" t="s">
        <v>62</v>
      </c>
      <c r="O1923" s="8" t="s">
        <v>63</v>
      </c>
      <c r="P1923" s="4" t="n">
        <v>64</v>
      </c>
      <c r="Q1923" s="8"/>
      <c r="R1923" s="4" t="s">
        <v>325</v>
      </c>
      <c r="S1923" s="4"/>
    </row>
    <row r="1924" customFormat="false" ht="15" hidden="false" customHeight="false" outlineLevel="0" collapsed="false">
      <c r="A1924" s="4" t="s">
        <v>6540</v>
      </c>
      <c r="B1924" s="8" t="s">
        <v>6541</v>
      </c>
      <c r="C1924" s="8" t="s">
        <v>58</v>
      </c>
      <c r="D1924" s="8"/>
      <c r="E1924" s="8" t="s">
        <v>60</v>
      </c>
      <c r="F1924" s="8"/>
      <c r="G1924" s="8"/>
      <c r="H1924" s="8"/>
      <c r="I1924" s="8" t="s">
        <v>343</v>
      </c>
      <c r="J1924" s="8" t="s">
        <v>78</v>
      </c>
      <c r="K1924" s="8" t="s">
        <v>6523</v>
      </c>
      <c r="L1924" s="8" t="s">
        <v>6542</v>
      </c>
      <c r="M1924" s="8"/>
      <c r="N1924" s="8" t="s">
        <v>62</v>
      </c>
      <c r="O1924" s="8" t="s">
        <v>63</v>
      </c>
      <c r="P1924" s="4" t="n">
        <v>64</v>
      </c>
      <c r="Q1924" s="8"/>
      <c r="R1924" s="4" t="s">
        <v>6543</v>
      </c>
      <c r="S1924" s="4" t="n">
        <v>699</v>
      </c>
    </row>
    <row r="1925" customFormat="false" ht="15" hidden="false" customHeight="false" outlineLevel="0" collapsed="false">
      <c r="A1925" s="4" t="s">
        <v>6544</v>
      </c>
      <c r="B1925" s="8" t="s">
        <v>6545</v>
      </c>
      <c r="C1925" s="8"/>
      <c r="D1925" s="8"/>
      <c r="E1925" s="8"/>
      <c r="F1925" s="8"/>
      <c r="G1925" s="8"/>
      <c r="H1925" s="8"/>
      <c r="I1925" s="8" t="s">
        <v>6546</v>
      </c>
      <c r="J1925" s="8" t="s">
        <v>78</v>
      </c>
      <c r="K1925" s="8" t="s">
        <v>6523</v>
      </c>
      <c r="L1925" s="8" t="s">
        <v>6542</v>
      </c>
      <c r="M1925" s="8"/>
      <c r="N1925" s="8" t="s">
        <v>62</v>
      </c>
      <c r="O1925" s="8" t="s">
        <v>63</v>
      </c>
      <c r="P1925" s="4" t="n">
        <v>64</v>
      </c>
      <c r="Q1925" s="8"/>
      <c r="R1925" s="4" t="s">
        <v>6545</v>
      </c>
      <c r="S1925" s="4"/>
    </row>
    <row r="1926" customFormat="false" ht="15" hidden="false" customHeight="false" outlineLevel="0" collapsed="false">
      <c r="A1926" s="4" t="s">
        <v>6547</v>
      </c>
      <c r="B1926" s="8" t="s">
        <v>6548</v>
      </c>
      <c r="C1926" s="8"/>
      <c r="D1926" s="8"/>
      <c r="E1926" s="8"/>
      <c r="F1926" s="8"/>
      <c r="G1926" s="8"/>
      <c r="H1926" s="8"/>
      <c r="I1926" s="8" t="s">
        <v>354</v>
      </c>
      <c r="J1926" s="8" t="s">
        <v>78</v>
      </c>
      <c r="K1926" s="8" t="s">
        <v>6523</v>
      </c>
      <c r="L1926" s="8" t="s">
        <v>6542</v>
      </c>
      <c r="M1926" s="8"/>
      <c r="N1926" s="8" t="s">
        <v>62</v>
      </c>
      <c r="O1926" s="8" t="s">
        <v>63</v>
      </c>
      <c r="P1926" s="4" t="n">
        <v>64</v>
      </c>
      <c r="Q1926" s="8"/>
      <c r="R1926" s="4" t="s">
        <v>6548</v>
      </c>
      <c r="S1926" s="4" t="n">
        <v>909</v>
      </c>
    </row>
    <row r="1927" customFormat="false" ht="15" hidden="false" customHeight="false" outlineLevel="0" collapsed="false">
      <c r="A1927" s="4" t="s">
        <v>6549</v>
      </c>
      <c r="B1927" s="8" t="s">
        <v>6550</v>
      </c>
      <c r="C1927" s="8"/>
      <c r="D1927" s="8"/>
      <c r="E1927" s="8"/>
      <c r="F1927" s="8"/>
      <c r="G1927" s="8"/>
      <c r="H1927" s="8"/>
      <c r="I1927" s="8" t="s">
        <v>6551</v>
      </c>
      <c r="J1927" s="8" t="s">
        <v>78</v>
      </c>
      <c r="K1927" s="8" t="s">
        <v>6523</v>
      </c>
      <c r="L1927" s="8" t="s">
        <v>6542</v>
      </c>
      <c r="M1927" s="8"/>
      <c r="N1927" s="8" t="s">
        <v>62</v>
      </c>
      <c r="O1927" s="8" t="s">
        <v>63</v>
      </c>
      <c r="P1927" s="4" t="n">
        <v>64</v>
      </c>
      <c r="Q1927" s="8"/>
      <c r="R1927" s="4" t="s">
        <v>6550</v>
      </c>
      <c r="S1927" s="4"/>
    </row>
    <row r="1928" customFormat="false" ht="15" hidden="false" customHeight="false" outlineLevel="0" collapsed="false">
      <c r="A1928" s="4" t="s">
        <v>6552</v>
      </c>
      <c r="B1928" s="8" t="s">
        <v>431</v>
      </c>
      <c r="C1928" s="8" t="s">
        <v>58</v>
      </c>
      <c r="D1928" s="8"/>
      <c r="E1928" s="8" t="s">
        <v>60</v>
      </c>
      <c r="F1928" s="8"/>
      <c r="G1928" s="8"/>
      <c r="H1928" s="8"/>
      <c r="I1928" s="8" t="s">
        <v>432</v>
      </c>
      <c r="J1928" s="8" t="s">
        <v>78</v>
      </c>
      <c r="K1928" s="8" t="s">
        <v>6523</v>
      </c>
      <c r="L1928" s="8" t="s">
        <v>6542</v>
      </c>
      <c r="M1928" s="8"/>
      <c r="N1928" s="8" t="s">
        <v>62</v>
      </c>
      <c r="O1928" s="8" t="s">
        <v>63</v>
      </c>
      <c r="P1928" s="4" t="n">
        <v>64</v>
      </c>
      <c r="Q1928" s="8"/>
      <c r="R1928" s="4" t="s">
        <v>433</v>
      </c>
      <c r="S1928" s="4" t="n">
        <v>888</v>
      </c>
    </row>
    <row r="1929" customFormat="false" ht="15" hidden="false" customHeight="false" outlineLevel="0" collapsed="false">
      <c r="A1929" s="4" t="s">
        <v>6553</v>
      </c>
      <c r="B1929" s="8" t="s">
        <v>6554</v>
      </c>
      <c r="C1929" s="8"/>
      <c r="D1929" s="8"/>
      <c r="E1929" s="8"/>
      <c r="F1929" s="8"/>
      <c r="G1929" s="8"/>
      <c r="H1929" s="8"/>
      <c r="I1929" s="8" t="s">
        <v>6555</v>
      </c>
      <c r="J1929" s="8" t="s">
        <v>78</v>
      </c>
      <c r="K1929" s="8" t="s">
        <v>6523</v>
      </c>
      <c r="L1929" s="8" t="s">
        <v>6542</v>
      </c>
      <c r="M1929" s="8"/>
      <c r="N1929" s="8" t="s">
        <v>62</v>
      </c>
      <c r="O1929" s="8" t="s">
        <v>63</v>
      </c>
      <c r="P1929" s="4" t="n">
        <v>64</v>
      </c>
      <c r="Q1929" s="8"/>
      <c r="R1929" s="4" t="s">
        <v>6554</v>
      </c>
      <c r="S1929" s="4"/>
    </row>
    <row r="1930" customFormat="false" ht="15" hidden="false" customHeight="false" outlineLevel="0" collapsed="false">
      <c r="A1930" s="4" t="s">
        <v>6556</v>
      </c>
      <c r="B1930" s="8" t="s">
        <v>6557</v>
      </c>
      <c r="C1930" s="8" t="s">
        <v>58</v>
      </c>
      <c r="D1930" s="8"/>
      <c r="E1930" s="8" t="s">
        <v>60</v>
      </c>
      <c r="F1930" s="8"/>
      <c r="G1930" s="8"/>
      <c r="H1930" s="8"/>
      <c r="I1930" s="8" t="s">
        <v>121</v>
      </c>
      <c r="J1930" s="8" t="s">
        <v>78</v>
      </c>
      <c r="K1930" s="8" t="s">
        <v>6523</v>
      </c>
      <c r="L1930" s="8" t="s">
        <v>6542</v>
      </c>
      <c r="M1930" s="8"/>
      <c r="N1930" s="8" t="s">
        <v>62</v>
      </c>
      <c r="O1930" s="8" t="s">
        <v>63</v>
      </c>
      <c r="P1930" s="4" t="n">
        <v>64</v>
      </c>
      <c r="Q1930" s="8"/>
      <c r="R1930" s="4" t="s">
        <v>6558</v>
      </c>
      <c r="S1930" s="4" t="n">
        <v>1080</v>
      </c>
    </row>
    <row r="1931" customFormat="false" ht="15" hidden="false" customHeight="false" outlineLevel="0" collapsed="false">
      <c r="A1931" s="4" t="s">
        <v>6559</v>
      </c>
      <c r="B1931" s="8" t="s">
        <v>6560</v>
      </c>
      <c r="C1931" s="8"/>
      <c r="D1931" s="8"/>
      <c r="E1931" s="8"/>
      <c r="F1931" s="8"/>
      <c r="G1931" s="8"/>
      <c r="H1931" s="8"/>
      <c r="I1931" s="8" t="s">
        <v>6561</v>
      </c>
      <c r="J1931" s="8" t="s">
        <v>78</v>
      </c>
      <c r="K1931" s="8" t="s">
        <v>6523</v>
      </c>
      <c r="L1931" s="8" t="s">
        <v>6542</v>
      </c>
      <c r="M1931" s="8"/>
      <c r="N1931" s="8" t="s">
        <v>62</v>
      </c>
      <c r="O1931" s="8" t="s">
        <v>63</v>
      </c>
      <c r="P1931" s="4" t="n">
        <v>64</v>
      </c>
      <c r="Q1931" s="8"/>
      <c r="R1931" s="4" t="s">
        <v>6560</v>
      </c>
      <c r="S1931" s="4"/>
    </row>
    <row r="1932" customFormat="false" ht="15" hidden="false" customHeight="false" outlineLevel="0" collapsed="false">
      <c r="A1932" s="4" t="s">
        <v>6562</v>
      </c>
      <c r="B1932" s="8" t="s">
        <v>6563</v>
      </c>
      <c r="C1932" s="8"/>
      <c r="D1932" s="8"/>
      <c r="E1932" s="8"/>
      <c r="F1932" s="8"/>
      <c r="G1932" s="8"/>
      <c r="H1932" s="8"/>
      <c r="I1932" s="8" t="s">
        <v>179</v>
      </c>
      <c r="J1932" s="8" t="s">
        <v>78</v>
      </c>
      <c r="K1932" s="8" t="s">
        <v>6523</v>
      </c>
      <c r="L1932" s="8" t="s">
        <v>6542</v>
      </c>
      <c r="M1932" s="8"/>
      <c r="N1932" s="8" t="s">
        <v>62</v>
      </c>
      <c r="O1932" s="8" t="s">
        <v>63</v>
      </c>
      <c r="P1932" s="4" t="n">
        <v>64</v>
      </c>
      <c r="Q1932" s="8"/>
      <c r="R1932" s="4" t="s">
        <v>6563</v>
      </c>
      <c r="S1932" s="4" t="n">
        <v>741</v>
      </c>
    </row>
    <row r="1933" customFormat="false" ht="15" hidden="false" customHeight="false" outlineLevel="0" collapsed="false">
      <c r="A1933" s="4" t="s">
        <v>6564</v>
      </c>
      <c r="B1933" s="8" t="s">
        <v>6565</v>
      </c>
      <c r="C1933" s="8"/>
      <c r="D1933" s="8"/>
      <c r="E1933" s="8"/>
      <c r="F1933" s="8"/>
      <c r="G1933" s="8"/>
      <c r="H1933" s="8"/>
      <c r="I1933" s="8" t="s">
        <v>6566</v>
      </c>
      <c r="J1933" s="8" t="s">
        <v>78</v>
      </c>
      <c r="K1933" s="8" t="s">
        <v>6523</v>
      </c>
      <c r="L1933" s="8" t="s">
        <v>6542</v>
      </c>
      <c r="M1933" s="8"/>
      <c r="N1933" s="8" t="s">
        <v>62</v>
      </c>
      <c r="O1933" s="8" t="s">
        <v>63</v>
      </c>
      <c r="P1933" s="4" t="n">
        <v>64</v>
      </c>
      <c r="Q1933" s="8"/>
      <c r="R1933" s="4" t="s">
        <v>6565</v>
      </c>
      <c r="S1933" s="4"/>
    </row>
    <row r="1934" customFormat="false" ht="15" hidden="false" customHeight="false" outlineLevel="0" collapsed="false">
      <c r="A1934" s="4" t="s">
        <v>6567</v>
      </c>
      <c r="B1934" s="8" t="s">
        <v>6568</v>
      </c>
      <c r="C1934" s="8" t="s">
        <v>58</v>
      </c>
      <c r="D1934" s="8"/>
      <c r="E1934" s="8" t="s">
        <v>60</v>
      </c>
      <c r="F1934" s="8"/>
      <c r="G1934" s="8"/>
      <c r="H1934" s="8"/>
      <c r="I1934" s="8" t="s">
        <v>443</v>
      </c>
      <c r="J1934" s="8" t="s">
        <v>78</v>
      </c>
      <c r="K1934" s="8" t="s">
        <v>6523</v>
      </c>
      <c r="L1934" s="8" t="s">
        <v>6542</v>
      </c>
      <c r="M1934" s="8"/>
      <c r="N1934" s="8" t="s">
        <v>62</v>
      </c>
      <c r="O1934" s="8" t="s">
        <v>63</v>
      </c>
      <c r="P1934" s="4" t="n">
        <v>64</v>
      </c>
      <c r="Q1934" s="8"/>
      <c r="R1934" s="4" t="s">
        <v>6569</v>
      </c>
      <c r="S1934" s="4" t="n">
        <v>967</v>
      </c>
    </row>
    <row r="1935" customFormat="false" ht="15" hidden="false" customHeight="false" outlineLevel="0" collapsed="false">
      <c r="A1935" s="4" t="s">
        <v>6570</v>
      </c>
      <c r="B1935" s="8" t="s">
        <v>6571</v>
      </c>
      <c r="C1935" s="8"/>
      <c r="D1935" s="8"/>
      <c r="E1935" s="8"/>
      <c r="F1935" s="8"/>
      <c r="G1935" s="8"/>
      <c r="H1935" s="8"/>
      <c r="I1935" s="8" t="s">
        <v>6572</v>
      </c>
      <c r="J1935" s="8" t="s">
        <v>78</v>
      </c>
      <c r="K1935" s="8" t="s">
        <v>6523</v>
      </c>
      <c r="L1935" s="8" t="s">
        <v>6542</v>
      </c>
      <c r="M1935" s="8"/>
      <c r="N1935" s="8" t="s">
        <v>62</v>
      </c>
      <c r="O1935" s="8" t="s">
        <v>63</v>
      </c>
      <c r="P1935" s="4" t="n">
        <v>64</v>
      </c>
      <c r="Q1935" s="8"/>
      <c r="R1935" s="4" t="s">
        <v>6571</v>
      </c>
      <c r="S1935" s="4"/>
    </row>
    <row r="1936" customFormat="false" ht="15" hidden="false" customHeight="false" outlineLevel="0" collapsed="false">
      <c r="A1936" s="4" t="s">
        <v>6573</v>
      </c>
      <c r="B1936" s="8" t="s">
        <v>6574</v>
      </c>
      <c r="C1936" s="8" t="s">
        <v>58</v>
      </c>
      <c r="D1936" s="8"/>
      <c r="E1936" s="8" t="s">
        <v>60</v>
      </c>
      <c r="F1936" s="8"/>
      <c r="G1936" s="8"/>
      <c r="H1936" s="8"/>
      <c r="I1936" s="8" t="s">
        <v>402</v>
      </c>
      <c r="J1936" s="8" t="s">
        <v>78</v>
      </c>
      <c r="K1936" s="8" t="s">
        <v>6523</v>
      </c>
      <c r="L1936" s="8" t="s">
        <v>6542</v>
      </c>
      <c r="M1936" s="8"/>
      <c r="N1936" s="8" t="s">
        <v>62</v>
      </c>
      <c r="O1936" s="8" t="s">
        <v>63</v>
      </c>
      <c r="P1936" s="4" t="n">
        <v>64</v>
      </c>
      <c r="Q1936" s="8"/>
      <c r="R1936" s="4" t="s">
        <v>6575</v>
      </c>
      <c r="S1936" s="4" t="n">
        <v>755</v>
      </c>
    </row>
    <row r="1937" customFormat="false" ht="15" hidden="false" customHeight="false" outlineLevel="0" collapsed="false">
      <c r="A1937" s="4" t="s">
        <v>6576</v>
      </c>
      <c r="B1937" s="8" t="s">
        <v>6577</v>
      </c>
      <c r="C1937" s="8"/>
      <c r="D1937" s="8"/>
      <c r="E1937" s="8"/>
      <c r="F1937" s="8"/>
      <c r="G1937" s="8"/>
      <c r="H1937" s="8"/>
      <c r="I1937" s="8" t="s">
        <v>6578</v>
      </c>
      <c r="J1937" s="8" t="s">
        <v>78</v>
      </c>
      <c r="K1937" s="8" t="s">
        <v>6523</v>
      </c>
      <c r="L1937" s="8" t="s">
        <v>6542</v>
      </c>
      <c r="M1937" s="8"/>
      <c r="N1937" s="8" t="s">
        <v>62</v>
      </c>
      <c r="O1937" s="8" t="s">
        <v>63</v>
      </c>
      <c r="P1937" s="4" t="n">
        <v>64</v>
      </c>
      <c r="Q1937" s="8"/>
      <c r="R1937" s="4" t="s">
        <v>6577</v>
      </c>
      <c r="S1937" s="4"/>
    </row>
    <row r="1938" customFormat="false" ht="15" hidden="false" customHeight="false" outlineLevel="0" collapsed="false">
      <c r="A1938" s="4" t="s">
        <v>6579</v>
      </c>
      <c r="B1938" s="8" t="s">
        <v>6580</v>
      </c>
      <c r="C1938" s="8" t="s">
        <v>58</v>
      </c>
      <c r="D1938" s="8"/>
      <c r="E1938" s="8" t="s">
        <v>60</v>
      </c>
      <c r="F1938" s="8"/>
      <c r="G1938" s="8"/>
      <c r="H1938" s="8"/>
      <c r="I1938" s="8" t="s">
        <v>419</v>
      </c>
      <c r="J1938" s="8" t="s">
        <v>78</v>
      </c>
      <c r="K1938" s="8" t="s">
        <v>6523</v>
      </c>
      <c r="L1938" s="8" t="s">
        <v>6542</v>
      </c>
      <c r="M1938" s="8"/>
      <c r="N1938" s="8" t="s">
        <v>62</v>
      </c>
      <c r="O1938" s="8" t="s">
        <v>63</v>
      </c>
      <c r="P1938" s="4" t="n">
        <v>64</v>
      </c>
      <c r="Q1938" s="8"/>
      <c r="R1938" s="4" t="s">
        <v>6581</v>
      </c>
      <c r="S1938" s="4" t="n">
        <v>964</v>
      </c>
    </row>
    <row r="1939" customFormat="false" ht="15" hidden="false" customHeight="false" outlineLevel="0" collapsed="false">
      <c r="A1939" s="4" t="s">
        <v>6582</v>
      </c>
      <c r="B1939" s="8" t="s">
        <v>6583</v>
      </c>
      <c r="C1939" s="8"/>
      <c r="D1939" s="8"/>
      <c r="E1939" s="8"/>
      <c r="F1939" s="8"/>
      <c r="G1939" s="8"/>
      <c r="H1939" s="8"/>
      <c r="I1939" s="8" t="s">
        <v>6584</v>
      </c>
      <c r="J1939" s="8" t="s">
        <v>78</v>
      </c>
      <c r="K1939" s="8" t="s">
        <v>6523</v>
      </c>
      <c r="L1939" s="8" t="s">
        <v>6542</v>
      </c>
      <c r="M1939" s="8"/>
      <c r="N1939" s="8" t="s">
        <v>62</v>
      </c>
      <c r="O1939" s="8" t="s">
        <v>63</v>
      </c>
      <c r="P1939" s="4" t="n">
        <v>64</v>
      </c>
      <c r="Q1939" s="8"/>
      <c r="R1939" s="4" t="s">
        <v>6583</v>
      </c>
      <c r="S1939" s="4"/>
    </row>
    <row r="1940" customFormat="false" ht="15" hidden="false" customHeight="false" outlineLevel="0" collapsed="false">
      <c r="A1940" s="4" t="s">
        <v>6585</v>
      </c>
      <c r="B1940" s="8" t="s">
        <v>6586</v>
      </c>
      <c r="C1940" s="8" t="s">
        <v>58</v>
      </c>
      <c r="D1940" s="8"/>
      <c r="E1940" s="8" t="s">
        <v>60</v>
      </c>
      <c r="F1940" s="8"/>
      <c r="G1940" s="8"/>
      <c r="H1940" s="8"/>
      <c r="I1940" s="8" t="s">
        <v>439</v>
      </c>
      <c r="J1940" s="8" t="s">
        <v>78</v>
      </c>
      <c r="K1940" s="8" t="s">
        <v>6523</v>
      </c>
      <c r="L1940" s="8" t="s">
        <v>6542</v>
      </c>
      <c r="M1940" s="8"/>
      <c r="N1940" s="8" t="s">
        <v>62</v>
      </c>
      <c r="O1940" s="8" t="s">
        <v>63</v>
      </c>
      <c r="P1940" s="4" t="n">
        <v>64</v>
      </c>
      <c r="Q1940" s="8"/>
      <c r="R1940" s="4" t="s">
        <v>6587</v>
      </c>
      <c r="S1940" s="4" t="n">
        <v>970</v>
      </c>
    </row>
    <row r="1941" customFormat="false" ht="15" hidden="false" customHeight="false" outlineLevel="0" collapsed="false">
      <c r="A1941" s="4" t="s">
        <v>6588</v>
      </c>
      <c r="B1941" s="8" t="s">
        <v>6589</v>
      </c>
      <c r="C1941" s="8"/>
      <c r="D1941" s="8"/>
      <c r="E1941" s="8"/>
      <c r="F1941" s="8"/>
      <c r="G1941" s="8"/>
      <c r="H1941" s="8"/>
      <c r="I1941" s="8" t="s">
        <v>6590</v>
      </c>
      <c r="J1941" s="8" t="s">
        <v>78</v>
      </c>
      <c r="K1941" s="8" t="s">
        <v>6523</v>
      </c>
      <c r="L1941" s="8" t="s">
        <v>6542</v>
      </c>
      <c r="M1941" s="8"/>
      <c r="N1941" s="8" t="s">
        <v>62</v>
      </c>
      <c r="O1941" s="8" t="s">
        <v>63</v>
      </c>
      <c r="P1941" s="4" t="n">
        <v>64</v>
      </c>
      <c r="Q1941" s="8"/>
      <c r="R1941" s="4" t="s">
        <v>6589</v>
      </c>
      <c r="S1941" s="4"/>
    </row>
    <row r="1942" customFormat="false" ht="15" hidden="false" customHeight="false" outlineLevel="0" collapsed="false">
      <c r="A1942" s="4" t="s">
        <v>6591</v>
      </c>
      <c r="B1942" s="8" t="s">
        <v>6592</v>
      </c>
      <c r="C1942" s="8" t="s">
        <v>58</v>
      </c>
      <c r="D1942" s="8"/>
      <c r="E1942" s="8" t="s">
        <v>60</v>
      </c>
      <c r="F1942" s="8"/>
      <c r="G1942" s="8"/>
      <c r="H1942" s="8"/>
      <c r="I1942" s="8" t="s">
        <v>313</v>
      </c>
      <c r="J1942" s="8" t="s">
        <v>78</v>
      </c>
      <c r="K1942" s="8" t="s">
        <v>6523</v>
      </c>
      <c r="L1942" s="8" t="s">
        <v>6542</v>
      </c>
      <c r="M1942" s="8"/>
      <c r="N1942" s="8" t="s">
        <v>62</v>
      </c>
      <c r="O1942" s="8" t="s">
        <v>63</v>
      </c>
      <c r="P1942" s="4" t="n">
        <v>64</v>
      </c>
      <c r="Q1942" s="8"/>
      <c r="R1942" s="4" t="s">
        <v>6593</v>
      </c>
      <c r="S1942" s="4" t="n">
        <v>928</v>
      </c>
    </row>
    <row r="1943" customFormat="false" ht="15" hidden="false" customHeight="false" outlineLevel="0" collapsed="false">
      <c r="A1943" s="4" t="s">
        <v>6594</v>
      </c>
      <c r="B1943" s="8" t="s">
        <v>6595</v>
      </c>
      <c r="C1943" s="8"/>
      <c r="D1943" s="8"/>
      <c r="E1943" s="8"/>
      <c r="F1943" s="8"/>
      <c r="G1943" s="8"/>
      <c r="H1943" s="8"/>
      <c r="I1943" s="8" t="s">
        <v>6596</v>
      </c>
      <c r="J1943" s="8" t="s">
        <v>78</v>
      </c>
      <c r="K1943" s="8" t="s">
        <v>6523</v>
      </c>
      <c r="L1943" s="8" t="s">
        <v>6542</v>
      </c>
      <c r="M1943" s="8"/>
      <c r="N1943" s="8" t="s">
        <v>62</v>
      </c>
      <c r="O1943" s="8" t="s">
        <v>63</v>
      </c>
      <c r="P1943" s="4" t="n">
        <v>64</v>
      </c>
      <c r="Q1943" s="8"/>
      <c r="R1943" s="4" t="s">
        <v>6595</v>
      </c>
      <c r="S1943" s="4"/>
    </row>
    <row r="1944" customFormat="false" ht="15" hidden="false" customHeight="false" outlineLevel="0" collapsed="false">
      <c r="A1944" s="4" t="s">
        <v>6597</v>
      </c>
      <c r="B1944" s="8" t="s">
        <v>2740</v>
      </c>
      <c r="C1944" s="8"/>
      <c r="D1944" s="8"/>
      <c r="E1944" s="8"/>
      <c r="F1944" s="8"/>
      <c r="G1944" s="8"/>
      <c r="H1944" s="8"/>
      <c r="I1944" s="8" t="s">
        <v>470</v>
      </c>
      <c r="J1944" s="8" t="s">
        <v>78</v>
      </c>
      <c r="K1944" s="8" t="s">
        <v>6523</v>
      </c>
      <c r="L1944" s="8" t="s">
        <v>6542</v>
      </c>
      <c r="M1944" s="8"/>
      <c r="N1944" s="8" t="s">
        <v>62</v>
      </c>
      <c r="O1944" s="8" t="s">
        <v>63</v>
      </c>
      <c r="P1944" s="4" t="n">
        <v>64</v>
      </c>
      <c r="Q1944" s="8"/>
      <c r="R1944" s="4" t="s">
        <v>2740</v>
      </c>
      <c r="S1944" s="4" t="n">
        <v>1156</v>
      </c>
    </row>
    <row r="1945" customFormat="false" ht="15" hidden="false" customHeight="false" outlineLevel="0" collapsed="false">
      <c r="A1945" s="4" t="s">
        <v>6598</v>
      </c>
      <c r="B1945" s="8" t="s">
        <v>6599</v>
      </c>
      <c r="C1945" s="8"/>
      <c r="D1945" s="8"/>
      <c r="E1945" s="8"/>
      <c r="F1945" s="8"/>
      <c r="G1945" s="8"/>
      <c r="H1945" s="8"/>
      <c r="I1945" s="8" t="s">
        <v>6600</v>
      </c>
      <c r="J1945" s="8" t="s">
        <v>78</v>
      </c>
      <c r="K1945" s="8" t="s">
        <v>6523</v>
      </c>
      <c r="L1945" s="8" t="s">
        <v>6542</v>
      </c>
      <c r="M1945" s="8"/>
      <c r="N1945" s="8" t="s">
        <v>62</v>
      </c>
      <c r="O1945" s="8" t="s">
        <v>63</v>
      </c>
      <c r="P1945" s="4" t="n">
        <v>64</v>
      </c>
      <c r="Q1945" s="8"/>
      <c r="R1945" s="4" t="s">
        <v>6599</v>
      </c>
      <c r="S1945" s="4"/>
    </row>
    <row r="1946" customFormat="false" ht="15" hidden="false" customHeight="false" outlineLevel="0" collapsed="false">
      <c r="A1946" s="4" t="s">
        <v>6601</v>
      </c>
      <c r="B1946" s="8" t="s">
        <v>6602</v>
      </c>
      <c r="C1946" s="8"/>
      <c r="D1946" s="8"/>
      <c r="E1946" s="8"/>
      <c r="F1946" s="8"/>
      <c r="G1946" s="8"/>
      <c r="H1946" s="8"/>
      <c r="I1946" s="8" t="s">
        <v>6603</v>
      </c>
      <c r="J1946" s="8" t="s">
        <v>78</v>
      </c>
      <c r="K1946" s="8" t="s">
        <v>6523</v>
      </c>
      <c r="L1946" s="8" t="s">
        <v>6542</v>
      </c>
      <c r="M1946" s="8"/>
      <c r="N1946" s="8" t="s">
        <v>62</v>
      </c>
      <c r="O1946" s="8" t="s">
        <v>63</v>
      </c>
      <c r="P1946" s="4" t="n">
        <v>64</v>
      </c>
      <c r="Q1946" s="8"/>
      <c r="R1946" s="4" t="s">
        <v>6602</v>
      </c>
      <c r="S1946" s="4" t="n">
        <v>431</v>
      </c>
    </row>
    <row r="1947" customFormat="false" ht="15" hidden="false" customHeight="false" outlineLevel="0" collapsed="false">
      <c r="A1947" s="4" t="s">
        <v>6604</v>
      </c>
      <c r="B1947" s="8" t="s">
        <v>6605</v>
      </c>
      <c r="C1947" s="8"/>
      <c r="D1947" s="8"/>
      <c r="E1947" s="8"/>
      <c r="F1947" s="8"/>
      <c r="G1947" s="8"/>
      <c r="H1947" s="8"/>
      <c r="I1947" s="8" t="s">
        <v>6606</v>
      </c>
      <c r="J1947" s="8" t="s">
        <v>78</v>
      </c>
      <c r="K1947" s="8" t="s">
        <v>6523</v>
      </c>
      <c r="L1947" s="8" t="s">
        <v>6542</v>
      </c>
      <c r="M1947" s="8"/>
      <c r="N1947" s="8" t="s">
        <v>62</v>
      </c>
      <c r="O1947" s="8" t="s">
        <v>63</v>
      </c>
      <c r="P1947" s="4" t="n">
        <v>64</v>
      </c>
      <c r="Q1947" s="8"/>
      <c r="R1947" s="4" t="s">
        <v>6605</v>
      </c>
      <c r="S1947" s="4"/>
    </row>
    <row r="1948" customFormat="false" ht="15" hidden="false" customHeight="false" outlineLevel="0" collapsed="false">
      <c r="A1948" s="4" t="s">
        <v>6607</v>
      </c>
      <c r="B1948" s="8" t="s">
        <v>346</v>
      </c>
      <c r="C1948" s="8" t="s">
        <v>58</v>
      </c>
      <c r="D1948" s="8"/>
      <c r="E1948" s="8" t="s">
        <v>60</v>
      </c>
      <c r="F1948" s="8"/>
      <c r="G1948" s="8"/>
      <c r="H1948" s="8"/>
      <c r="I1948" s="8" t="s">
        <v>347</v>
      </c>
      <c r="J1948" s="8" t="s">
        <v>78</v>
      </c>
      <c r="K1948" s="8" t="s">
        <v>6523</v>
      </c>
      <c r="L1948" s="8" t="s">
        <v>6608</v>
      </c>
      <c r="M1948" s="8"/>
      <c r="N1948" s="8" t="s">
        <v>62</v>
      </c>
      <c r="O1948" s="8" t="s">
        <v>63</v>
      </c>
      <c r="P1948" s="4" t="n">
        <v>64</v>
      </c>
      <c r="Q1948" s="8"/>
      <c r="R1948" s="4" t="s">
        <v>348</v>
      </c>
      <c r="S1948" s="4" t="n">
        <v>6828</v>
      </c>
    </row>
    <row r="1949" customFormat="false" ht="15" hidden="false" customHeight="false" outlineLevel="0" collapsed="false">
      <c r="A1949" s="4" t="s">
        <v>6609</v>
      </c>
      <c r="B1949" s="8" t="s">
        <v>374</v>
      </c>
      <c r="C1949" s="8" t="s">
        <v>58</v>
      </c>
      <c r="D1949" s="8"/>
      <c r="E1949" s="8" t="s">
        <v>60</v>
      </c>
      <c r="F1949" s="8"/>
      <c r="G1949" s="8"/>
      <c r="H1949" s="8"/>
      <c r="I1949" s="8" t="s">
        <v>375</v>
      </c>
      <c r="J1949" s="8" t="s">
        <v>78</v>
      </c>
      <c r="K1949" s="8" t="s">
        <v>6523</v>
      </c>
      <c r="L1949" s="8" t="s">
        <v>6608</v>
      </c>
      <c r="M1949" s="8"/>
      <c r="N1949" s="8" t="s">
        <v>62</v>
      </c>
      <c r="O1949" s="8" t="s">
        <v>63</v>
      </c>
      <c r="P1949" s="4" t="n">
        <v>64</v>
      </c>
      <c r="Q1949" s="8"/>
      <c r="R1949" s="4" t="s">
        <v>376</v>
      </c>
      <c r="S1949" s="4" t="n">
        <v>381</v>
      </c>
    </row>
    <row r="1950" customFormat="false" ht="15" hidden="false" customHeight="false" outlineLevel="0" collapsed="false">
      <c r="A1950" s="4" t="s">
        <v>6610</v>
      </c>
      <c r="B1950" s="8" t="s">
        <v>391</v>
      </c>
      <c r="C1950" s="8" t="s">
        <v>58</v>
      </c>
      <c r="D1950" s="8"/>
      <c r="E1950" s="8" t="s">
        <v>60</v>
      </c>
      <c r="F1950" s="8"/>
      <c r="G1950" s="8"/>
      <c r="H1950" s="8"/>
      <c r="I1950" s="8" t="s">
        <v>392</v>
      </c>
      <c r="J1950" s="8" t="s">
        <v>78</v>
      </c>
      <c r="K1950" s="8" t="s">
        <v>6523</v>
      </c>
      <c r="L1950" s="8" t="s">
        <v>6608</v>
      </c>
      <c r="M1950" s="8"/>
      <c r="N1950" s="8" t="s">
        <v>62</v>
      </c>
      <c r="O1950" s="8" t="s">
        <v>63</v>
      </c>
      <c r="P1950" s="4" t="n">
        <v>64</v>
      </c>
      <c r="Q1950" s="8"/>
      <c r="R1950" s="4" t="s">
        <v>393</v>
      </c>
      <c r="S1950" s="4" t="n">
        <v>7988</v>
      </c>
    </row>
    <row r="1951" customFormat="false" ht="15" hidden="false" customHeight="false" outlineLevel="0" collapsed="false">
      <c r="A1951" s="4" t="s">
        <v>6611</v>
      </c>
      <c r="B1951" s="8" t="s">
        <v>472</v>
      </c>
      <c r="C1951" s="8" t="s">
        <v>58</v>
      </c>
      <c r="D1951" s="8"/>
      <c r="E1951" s="8" t="s">
        <v>60</v>
      </c>
      <c r="F1951" s="8"/>
      <c r="G1951" s="8"/>
      <c r="H1951" s="8"/>
      <c r="I1951" s="8" t="s">
        <v>473</v>
      </c>
      <c r="J1951" s="8" t="s">
        <v>78</v>
      </c>
      <c r="K1951" s="8" t="s">
        <v>6523</v>
      </c>
      <c r="L1951" s="8" t="s">
        <v>6608</v>
      </c>
      <c r="M1951" s="8"/>
      <c r="N1951" s="8" t="s">
        <v>62</v>
      </c>
      <c r="O1951" s="8" t="s">
        <v>63</v>
      </c>
      <c r="P1951" s="4" t="n">
        <v>64</v>
      </c>
      <c r="Q1951" s="8"/>
      <c r="R1951" s="4" t="s">
        <v>474</v>
      </c>
      <c r="S1951" s="4" t="n">
        <v>1752</v>
      </c>
    </row>
    <row r="1952" customFormat="false" ht="15" hidden="false" customHeight="false" outlineLevel="0" collapsed="false">
      <c r="A1952" s="4" t="s">
        <v>6612</v>
      </c>
      <c r="B1952" s="8" t="s">
        <v>6613</v>
      </c>
      <c r="C1952" s="8"/>
      <c r="D1952" s="8"/>
      <c r="E1952" s="8"/>
      <c r="F1952" s="8"/>
      <c r="G1952" s="8"/>
      <c r="H1952" s="8"/>
      <c r="I1952" s="8" t="s">
        <v>6614</v>
      </c>
      <c r="J1952" s="8" t="s">
        <v>78</v>
      </c>
      <c r="K1952" s="8" t="s">
        <v>6615</v>
      </c>
      <c r="L1952" s="8"/>
      <c r="M1952" s="8"/>
      <c r="N1952" s="8" t="s">
        <v>62</v>
      </c>
      <c r="O1952" s="8" t="s">
        <v>63</v>
      </c>
      <c r="P1952" s="4" t="n">
        <v>64</v>
      </c>
      <c r="Q1952" s="8"/>
      <c r="R1952" s="4" t="s">
        <v>6613</v>
      </c>
      <c r="S1952" s="4" t="n">
        <v>1853</v>
      </c>
    </row>
    <row r="1953" customFormat="false" ht="15" hidden="false" customHeight="false" outlineLevel="0" collapsed="false">
      <c r="A1953" s="4" t="s">
        <v>6616</v>
      </c>
      <c r="B1953" s="8" t="s">
        <v>6617</v>
      </c>
      <c r="C1953" s="8"/>
      <c r="D1953" s="8"/>
      <c r="E1953" s="8"/>
      <c r="F1953" s="8"/>
      <c r="G1953" s="8"/>
      <c r="H1953" s="8"/>
      <c r="I1953" s="8" t="s">
        <v>6618</v>
      </c>
      <c r="J1953" s="8" t="s">
        <v>78</v>
      </c>
      <c r="K1953" s="8" t="s">
        <v>6615</v>
      </c>
      <c r="L1953" s="8"/>
      <c r="M1953" s="8"/>
      <c r="N1953" s="8" t="s">
        <v>62</v>
      </c>
      <c r="O1953" s="8" t="s">
        <v>63</v>
      </c>
      <c r="P1953" s="4" t="n">
        <v>64</v>
      </c>
      <c r="Q1953" s="8"/>
      <c r="R1953" s="4" t="s">
        <v>6617</v>
      </c>
      <c r="S1953" s="4"/>
    </row>
    <row r="1954" customFormat="false" ht="15" hidden="false" customHeight="false" outlineLevel="0" collapsed="false">
      <c r="A1954" s="4" t="s">
        <v>6619</v>
      </c>
      <c r="B1954" s="8" t="s">
        <v>6620</v>
      </c>
      <c r="C1954" s="8"/>
      <c r="D1954" s="8"/>
      <c r="E1954" s="8"/>
      <c r="F1954" s="8"/>
      <c r="G1954" s="8"/>
      <c r="H1954" s="8"/>
      <c r="I1954" s="8" t="s">
        <v>6621</v>
      </c>
      <c r="J1954" s="8" t="s">
        <v>78</v>
      </c>
      <c r="K1954" s="8" t="s">
        <v>6615</v>
      </c>
      <c r="L1954" s="8"/>
      <c r="M1954" s="8"/>
      <c r="N1954" s="8" t="s">
        <v>62</v>
      </c>
      <c r="O1954" s="8" t="s">
        <v>63</v>
      </c>
      <c r="P1954" s="4" t="n">
        <v>64</v>
      </c>
      <c r="Q1954" s="8"/>
      <c r="R1954" s="4" t="s">
        <v>6620</v>
      </c>
      <c r="S1954" s="4"/>
    </row>
    <row r="1955" customFormat="false" ht="15" hidden="false" customHeight="false" outlineLevel="0" collapsed="false">
      <c r="A1955" s="4" t="s">
        <v>6622</v>
      </c>
      <c r="B1955" s="8" t="s">
        <v>3214</v>
      </c>
      <c r="C1955" s="8"/>
      <c r="D1955" s="8"/>
      <c r="E1955" s="8"/>
      <c r="F1955" s="8"/>
      <c r="G1955" s="8"/>
      <c r="H1955" s="8"/>
      <c r="I1955" s="8" t="s">
        <v>3215</v>
      </c>
      <c r="J1955" s="8" t="s">
        <v>78</v>
      </c>
      <c r="K1955" s="8" t="s">
        <v>6615</v>
      </c>
      <c r="L1955" s="8"/>
      <c r="M1955" s="8"/>
      <c r="N1955" s="8" t="s">
        <v>62</v>
      </c>
      <c r="O1955" s="8" t="s">
        <v>63</v>
      </c>
      <c r="P1955" s="4" t="n">
        <v>64</v>
      </c>
      <c r="Q1955" s="8"/>
      <c r="R1955" s="4" t="s">
        <v>3214</v>
      </c>
      <c r="S1955" s="4"/>
    </row>
    <row r="1956" customFormat="false" ht="15" hidden="false" customHeight="false" outlineLevel="0" collapsed="false">
      <c r="A1956" s="4" t="s">
        <v>6623</v>
      </c>
      <c r="B1956" s="8" t="s">
        <v>6624</v>
      </c>
      <c r="C1956" s="8" t="s">
        <v>58</v>
      </c>
      <c r="D1956" s="8"/>
      <c r="E1956" s="8" t="s">
        <v>60</v>
      </c>
      <c r="F1956" s="8"/>
      <c r="G1956" s="8"/>
      <c r="H1956" s="8"/>
      <c r="I1956" s="8" t="s">
        <v>6625</v>
      </c>
      <c r="J1956" s="8" t="s">
        <v>78</v>
      </c>
      <c r="K1956" s="8" t="s">
        <v>6615</v>
      </c>
      <c r="L1956" s="8"/>
      <c r="M1956" s="8"/>
      <c r="N1956" s="8" t="s">
        <v>62</v>
      </c>
      <c r="O1956" s="8" t="s">
        <v>63</v>
      </c>
      <c r="P1956" s="4" t="n">
        <v>64</v>
      </c>
      <c r="Q1956" s="8"/>
      <c r="R1956" s="4" t="s">
        <v>6626</v>
      </c>
      <c r="S1956" s="4"/>
    </row>
    <row r="1957" customFormat="false" ht="15" hidden="false" customHeight="false" outlineLevel="0" collapsed="false">
      <c r="A1957" s="4" t="s">
        <v>6627</v>
      </c>
      <c r="B1957" s="8" t="s">
        <v>6628</v>
      </c>
      <c r="C1957" s="8"/>
      <c r="D1957" s="8"/>
      <c r="E1957" s="8"/>
      <c r="F1957" s="8"/>
      <c r="G1957" s="8"/>
      <c r="H1957" s="8"/>
      <c r="I1957" s="8" t="s">
        <v>6629</v>
      </c>
      <c r="J1957" s="8" t="s">
        <v>78</v>
      </c>
      <c r="K1957" s="8" t="s">
        <v>6615</v>
      </c>
      <c r="L1957" s="8"/>
      <c r="M1957" s="8"/>
      <c r="N1957" s="8" t="s">
        <v>62</v>
      </c>
      <c r="O1957" s="8" t="s">
        <v>63</v>
      </c>
      <c r="P1957" s="4" t="n">
        <v>64</v>
      </c>
      <c r="Q1957" s="8"/>
      <c r="R1957" s="4" t="s">
        <v>6628</v>
      </c>
      <c r="S1957" s="4"/>
    </row>
    <row r="1958" customFormat="false" ht="15" hidden="false" customHeight="false" outlineLevel="0" collapsed="false">
      <c r="A1958" s="4" t="s">
        <v>6630</v>
      </c>
      <c r="B1958" s="8" t="s">
        <v>6631</v>
      </c>
      <c r="C1958" s="8"/>
      <c r="D1958" s="8"/>
      <c r="E1958" s="8"/>
      <c r="F1958" s="8"/>
      <c r="G1958" s="8"/>
      <c r="H1958" s="8"/>
      <c r="I1958" s="8" t="s">
        <v>6632</v>
      </c>
      <c r="J1958" s="8" t="s">
        <v>78</v>
      </c>
      <c r="K1958" s="8" t="s">
        <v>6615</v>
      </c>
      <c r="L1958" s="8"/>
      <c r="M1958" s="8"/>
      <c r="N1958" s="8" t="s">
        <v>62</v>
      </c>
      <c r="O1958" s="8" t="s">
        <v>63</v>
      </c>
      <c r="P1958" s="4" t="n">
        <v>64</v>
      </c>
      <c r="Q1958" s="8"/>
      <c r="R1958" s="4" t="s">
        <v>6631</v>
      </c>
      <c r="S1958" s="4"/>
    </row>
    <row r="1959" customFormat="false" ht="15" hidden="false" customHeight="false" outlineLevel="0" collapsed="false">
      <c r="A1959" s="4" t="s">
        <v>6633</v>
      </c>
      <c r="B1959" s="8" t="s">
        <v>6634</v>
      </c>
      <c r="C1959" s="8"/>
      <c r="D1959" s="8"/>
      <c r="E1959" s="8"/>
      <c r="F1959" s="8"/>
      <c r="G1959" s="8"/>
      <c r="H1959" s="8"/>
      <c r="I1959" s="8" t="s">
        <v>6635</v>
      </c>
      <c r="J1959" s="8" t="s">
        <v>78</v>
      </c>
      <c r="K1959" s="8" t="s">
        <v>6615</v>
      </c>
      <c r="L1959" s="8"/>
      <c r="M1959" s="8"/>
      <c r="N1959" s="8" t="s">
        <v>62</v>
      </c>
      <c r="O1959" s="8" t="s">
        <v>63</v>
      </c>
      <c r="P1959" s="4" t="n">
        <v>64</v>
      </c>
      <c r="Q1959" s="8"/>
      <c r="R1959" s="4" t="s">
        <v>6634</v>
      </c>
      <c r="S1959" s="4"/>
    </row>
    <row r="1960" customFormat="false" ht="15" hidden="false" customHeight="false" outlineLevel="0" collapsed="false">
      <c r="A1960" s="4" t="s">
        <v>6636</v>
      </c>
      <c r="B1960" s="8" t="s">
        <v>6637</v>
      </c>
      <c r="C1960" s="8"/>
      <c r="D1960" s="8"/>
      <c r="E1960" s="8"/>
      <c r="F1960" s="8"/>
      <c r="G1960" s="8"/>
      <c r="H1960" s="8"/>
      <c r="I1960" s="8" t="s">
        <v>6638</v>
      </c>
      <c r="J1960" s="8" t="s">
        <v>78</v>
      </c>
      <c r="K1960" s="8" t="s">
        <v>6615</v>
      </c>
      <c r="L1960" s="8"/>
      <c r="M1960" s="8"/>
      <c r="N1960" s="8" t="s">
        <v>62</v>
      </c>
      <c r="O1960" s="8" t="s">
        <v>63</v>
      </c>
      <c r="P1960" s="4" t="n">
        <v>64</v>
      </c>
      <c r="Q1960" s="8"/>
      <c r="R1960" s="4" t="s">
        <v>6637</v>
      </c>
      <c r="S1960" s="4"/>
    </row>
    <row r="1961" customFormat="false" ht="15" hidden="false" customHeight="false" outlineLevel="0" collapsed="false">
      <c r="A1961" s="4" t="s">
        <v>6639</v>
      </c>
      <c r="B1961" s="8" t="s">
        <v>6640</v>
      </c>
      <c r="C1961" s="8"/>
      <c r="D1961" s="8"/>
      <c r="E1961" s="8"/>
      <c r="F1961" s="8"/>
      <c r="G1961" s="8"/>
      <c r="H1961" s="8"/>
      <c r="I1961" s="8" t="s">
        <v>6641</v>
      </c>
      <c r="J1961" s="8" t="s">
        <v>78</v>
      </c>
      <c r="K1961" s="8" t="s">
        <v>6615</v>
      </c>
      <c r="L1961" s="8"/>
      <c r="M1961" s="8"/>
      <c r="N1961" s="8" t="s">
        <v>62</v>
      </c>
      <c r="O1961" s="8" t="s">
        <v>63</v>
      </c>
      <c r="P1961" s="4" t="n">
        <v>64</v>
      </c>
      <c r="Q1961" s="8"/>
      <c r="R1961" s="4" t="s">
        <v>6640</v>
      </c>
      <c r="S1961" s="4"/>
    </row>
    <row r="1962" customFormat="false" ht="15" hidden="false" customHeight="false" outlineLevel="0" collapsed="false">
      <c r="A1962" s="4" t="s">
        <v>6642</v>
      </c>
      <c r="B1962" s="8" t="s">
        <v>6643</v>
      </c>
      <c r="C1962" s="8"/>
      <c r="D1962" s="8"/>
      <c r="E1962" s="8"/>
      <c r="F1962" s="8"/>
      <c r="G1962" s="8"/>
      <c r="H1962" s="8"/>
      <c r="I1962" s="8" t="s">
        <v>6644</v>
      </c>
      <c r="J1962" s="8" t="s">
        <v>78</v>
      </c>
      <c r="K1962" s="8" t="s">
        <v>6615</v>
      </c>
      <c r="L1962" s="8"/>
      <c r="M1962" s="8"/>
      <c r="N1962" s="8" t="s">
        <v>62</v>
      </c>
      <c r="O1962" s="8" t="s">
        <v>63</v>
      </c>
      <c r="P1962" s="4" t="n">
        <v>64</v>
      </c>
      <c r="Q1962" s="8"/>
      <c r="R1962" s="4" t="s">
        <v>6643</v>
      </c>
      <c r="S1962" s="4" t="n">
        <v>1744</v>
      </c>
    </row>
    <row r="1963" customFormat="false" ht="15" hidden="false" customHeight="false" outlineLevel="0" collapsed="false">
      <c r="A1963" s="4" t="s">
        <v>6645</v>
      </c>
      <c r="B1963" s="8" t="s">
        <v>6646</v>
      </c>
      <c r="C1963" s="8"/>
      <c r="D1963" s="8"/>
      <c r="E1963" s="8"/>
      <c r="F1963" s="8"/>
      <c r="G1963" s="8"/>
      <c r="H1963" s="8"/>
      <c r="I1963" s="8" t="s">
        <v>6647</v>
      </c>
      <c r="J1963" s="8" t="s">
        <v>78</v>
      </c>
      <c r="K1963" s="8" t="s">
        <v>6615</v>
      </c>
      <c r="L1963" s="8"/>
      <c r="M1963" s="8"/>
      <c r="N1963" s="8" t="s">
        <v>62</v>
      </c>
      <c r="O1963" s="8" t="s">
        <v>63</v>
      </c>
      <c r="P1963" s="4" t="n">
        <v>65</v>
      </c>
      <c r="Q1963" s="8"/>
      <c r="R1963" s="4" t="s">
        <v>6646</v>
      </c>
      <c r="S1963" s="4"/>
    </row>
    <row r="1964" customFormat="false" ht="15" hidden="false" customHeight="false" outlineLevel="0" collapsed="false">
      <c r="A1964" s="4" t="s">
        <v>6648</v>
      </c>
      <c r="B1964" s="8" t="s">
        <v>6649</v>
      </c>
      <c r="C1964" s="8"/>
      <c r="D1964" s="8"/>
      <c r="E1964" s="8"/>
      <c r="F1964" s="8"/>
      <c r="G1964" s="8"/>
      <c r="H1964" s="8"/>
      <c r="I1964" s="8" t="s">
        <v>6650</v>
      </c>
      <c r="J1964" s="8" t="s">
        <v>78</v>
      </c>
      <c r="K1964" s="8" t="s">
        <v>6615</v>
      </c>
      <c r="L1964" s="8"/>
      <c r="M1964" s="8"/>
      <c r="N1964" s="8" t="s">
        <v>62</v>
      </c>
      <c r="O1964" s="8" t="s">
        <v>63</v>
      </c>
      <c r="P1964" s="4" t="n">
        <v>65</v>
      </c>
      <c r="Q1964" s="8"/>
      <c r="R1964" s="4" t="s">
        <v>6649</v>
      </c>
      <c r="S1964" s="4"/>
    </row>
    <row r="1965" customFormat="false" ht="15" hidden="false" customHeight="false" outlineLevel="0" collapsed="false">
      <c r="A1965" s="4" t="s">
        <v>6651</v>
      </c>
      <c r="B1965" s="8" t="s">
        <v>3740</v>
      </c>
      <c r="C1965" s="8"/>
      <c r="D1965" s="8"/>
      <c r="E1965" s="8"/>
      <c r="F1965" s="8"/>
      <c r="G1965" s="8"/>
      <c r="H1965" s="8"/>
      <c r="I1965" s="8" t="s">
        <v>6652</v>
      </c>
      <c r="J1965" s="8" t="s">
        <v>78</v>
      </c>
      <c r="K1965" s="8" t="s">
        <v>6615</v>
      </c>
      <c r="L1965" s="8"/>
      <c r="M1965" s="8"/>
      <c r="N1965" s="8" t="s">
        <v>62</v>
      </c>
      <c r="O1965" s="8" t="s">
        <v>63</v>
      </c>
      <c r="P1965" s="4" t="n">
        <v>65</v>
      </c>
      <c r="Q1965" s="8"/>
      <c r="R1965" s="4" t="s">
        <v>3740</v>
      </c>
      <c r="S1965" s="4"/>
    </row>
    <row r="1966" customFormat="false" ht="15" hidden="false" customHeight="false" outlineLevel="0" collapsed="false">
      <c r="A1966" s="4" t="s">
        <v>6653</v>
      </c>
      <c r="B1966" s="8" t="s">
        <v>6654</v>
      </c>
      <c r="C1966" s="8"/>
      <c r="D1966" s="8"/>
      <c r="E1966" s="8"/>
      <c r="F1966" s="8"/>
      <c r="G1966" s="8"/>
      <c r="H1966" s="8"/>
      <c r="I1966" s="8" t="s">
        <v>6655</v>
      </c>
      <c r="J1966" s="8" t="s">
        <v>78</v>
      </c>
      <c r="K1966" s="8" t="s">
        <v>6615</v>
      </c>
      <c r="L1966" s="8"/>
      <c r="M1966" s="8"/>
      <c r="N1966" s="8" t="s">
        <v>62</v>
      </c>
      <c r="O1966" s="8" t="s">
        <v>63</v>
      </c>
      <c r="P1966" s="4" t="n">
        <v>65</v>
      </c>
      <c r="Q1966" s="8"/>
      <c r="R1966" s="4" t="s">
        <v>6654</v>
      </c>
      <c r="S1966" s="4" t="n">
        <v>1469</v>
      </c>
    </row>
    <row r="1967" customFormat="false" ht="15" hidden="false" customHeight="false" outlineLevel="0" collapsed="false">
      <c r="A1967" s="4" t="s">
        <v>6656</v>
      </c>
      <c r="B1967" s="8" t="s">
        <v>510</v>
      </c>
      <c r="C1967" s="8"/>
      <c r="D1967" s="8"/>
      <c r="E1967" s="8"/>
      <c r="F1967" s="8"/>
      <c r="G1967" s="8"/>
      <c r="H1967" s="8"/>
      <c r="I1967" s="8" t="s">
        <v>6657</v>
      </c>
      <c r="J1967" s="8" t="s">
        <v>78</v>
      </c>
      <c r="K1967" s="8" t="s">
        <v>6615</v>
      </c>
      <c r="L1967" s="8"/>
      <c r="M1967" s="8"/>
      <c r="N1967" s="8" t="s">
        <v>62</v>
      </c>
      <c r="O1967" s="8" t="s">
        <v>63</v>
      </c>
      <c r="P1967" s="4" t="n">
        <v>65</v>
      </c>
      <c r="Q1967" s="8"/>
      <c r="R1967" s="4" t="s">
        <v>510</v>
      </c>
      <c r="S1967" s="4"/>
    </row>
    <row r="1968" customFormat="false" ht="15" hidden="false" customHeight="false" outlineLevel="0" collapsed="false">
      <c r="A1968" s="4" t="s">
        <v>6658</v>
      </c>
      <c r="B1968" s="8" t="s">
        <v>536</v>
      </c>
      <c r="C1968" s="8"/>
      <c r="D1968" s="8"/>
      <c r="E1968" s="8"/>
      <c r="F1968" s="8"/>
      <c r="G1968" s="8"/>
      <c r="H1968" s="8"/>
      <c r="I1968" s="8" t="s">
        <v>537</v>
      </c>
      <c r="J1968" s="8" t="s">
        <v>78</v>
      </c>
      <c r="K1968" s="8" t="s">
        <v>6615</v>
      </c>
      <c r="L1968" s="8"/>
      <c r="M1968" s="8"/>
      <c r="N1968" s="8" t="s">
        <v>62</v>
      </c>
      <c r="O1968" s="8" t="s">
        <v>63</v>
      </c>
      <c r="P1968" s="4" t="n">
        <v>65</v>
      </c>
      <c r="Q1968" s="8"/>
      <c r="R1968" s="4" t="s">
        <v>536</v>
      </c>
      <c r="S1968" s="4"/>
    </row>
    <row r="1969" customFormat="false" ht="15" hidden="false" customHeight="false" outlineLevel="0" collapsed="false">
      <c r="A1969" s="4" t="s">
        <v>6659</v>
      </c>
      <c r="B1969" s="8" t="s">
        <v>542</v>
      </c>
      <c r="C1969" s="8"/>
      <c r="D1969" s="8"/>
      <c r="E1969" s="8"/>
      <c r="F1969" s="8"/>
      <c r="G1969" s="8"/>
      <c r="H1969" s="8"/>
      <c r="I1969" s="8" t="s">
        <v>543</v>
      </c>
      <c r="J1969" s="8" t="s">
        <v>78</v>
      </c>
      <c r="K1969" s="8" t="s">
        <v>6615</v>
      </c>
      <c r="L1969" s="8"/>
      <c r="M1969" s="8"/>
      <c r="N1969" s="8" t="s">
        <v>62</v>
      </c>
      <c r="O1969" s="8" t="s">
        <v>63</v>
      </c>
      <c r="P1969" s="4" t="n">
        <v>65</v>
      </c>
      <c r="Q1969" s="8"/>
      <c r="R1969" s="4" t="s">
        <v>542</v>
      </c>
      <c r="S1969" s="4"/>
    </row>
    <row r="1970" customFormat="false" ht="15" hidden="false" customHeight="false" outlineLevel="0" collapsed="false">
      <c r="A1970" s="4" t="s">
        <v>6660</v>
      </c>
      <c r="B1970" s="8" t="s">
        <v>6661</v>
      </c>
      <c r="C1970" s="8"/>
      <c r="D1970" s="8"/>
      <c r="E1970" s="8"/>
      <c r="F1970" s="8"/>
      <c r="G1970" s="8"/>
      <c r="H1970" s="8"/>
      <c r="I1970" s="8" t="s">
        <v>6662</v>
      </c>
      <c r="J1970" s="8" t="s">
        <v>78</v>
      </c>
      <c r="K1970" s="8" t="s">
        <v>6615</v>
      </c>
      <c r="L1970" s="8"/>
      <c r="M1970" s="8"/>
      <c r="N1970" s="8" t="s">
        <v>62</v>
      </c>
      <c r="O1970" s="8" t="s">
        <v>63</v>
      </c>
      <c r="P1970" s="4" t="n">
        <v>65</v>
      </c>
      <c r="Q1970" s="8"/>
      <c r="R1970" s="4" t="s">
        <v>6661</v>
      </c>
      <c r="S1970" s="4"/>
    </row>
    <row r="1971" customFormat="false" ht="15" hidden="false" customHeight="false" outlineLevel="0" collapsed="false">
      <c r="A1971" s="4" t="s">
        <v>6663</v>
      </c>
      <c r="B1971" s="8" t="s">
        <v>584</v>
      </c>
      <c r="C1971" s="8"/>
      <c r="D1971" s="8"/>
      <c r="E1971" s="8"/>
      <c r="F1971" s="8"/>
      <c r="G1971" s="8"/>
      <c r="H1971" s="8"/>
      <c r="I1971" s="8" t="s">
        <v>585</v>
      </c>
      <c r="J1971" s="8" t="s">
        <v>78</v>
      </c>
      <c r="K1971" s="8" t="s">
        <v>6615</v>
      </c>
      <c r="L1971" s="8"/>
      <c r="M1971" s="8"/>
      <c r="N1971" s="8" t="s">
        <v>62</v>
      </c>
      <c r="O1971" s="8" t="s">
        <v>63</v>
      </c>
      <c r="P1971" s="4" t="n">
        <v>65</v>
      </c>
      <c r="Q1971" s="8"/>
      <c r="R1971" s="4" t="s">
        <v>584</v>
      </c>
      <c r="S1971" s="4"/>
    </row>
    <row r="1972" customFormat="false" ht="15" hidden="false" customHeight="false" outlineLevel="0" collapsed="false">
      <c r="A1972" s="4" t="s">
        <v>6664</v>
      </c>
      <c r="B1972" s="8" t="s">
        <v>620</v>
      </c>
      <c r="C1972" s="8"/>
      <c r="D1972" s="8"/>
      <c r="E1972" s="8"/>
      <c r="F1972" s="8"/>
      <c r="G1972" s="8"/>
      <c r="H1972" s="8"/>
      <c r="I1972" s="8" t="s">
        <v>621</v>
      </c>
      <c r="J1972" s="8" t="s">
        <v>78</v>
      </c>
      <c r="K1972" s="8" t="s">
        <v>6615</v>
      </c>
      <c r="L1972" s="8"/>
      <c r="M1972" s="8"/>
      <c r="N1972" s="8" t="s">
        <v>62</v>
      </c>
      <c r="O1972" s="8" t="s">
        <v>63</v>
      </c>
      <c r="P1972" s="4" t="n">
        <v>65</v>
      </c>
      <c r="Q1972" s="8"/>
      <c r="R1972" s="4" t="s">
        <v>620</v>
      </c>
      <c r="S1972" s="4"/>
    </row>
    <row r="1973" customFormat="false" ht="15" hidden="false" customHeight="false" outlineLevel="0" collapsed="false">
      <c r="A1973" s="4" t="s">
        <v>6665</v>
      </c>
      <c r="B1973" s="8" t="s">
        <v>630</v>
      </c>
      <c r="C1973" s="8"/>
      <c r="D1973" s="8"/>
      <c r="E1973" s="8"/>
      <c r="F1973" s="8"/>
      <c r="G1973" s="8"/>
      <c r="H1973" s="8"/>
      <c r="I1973" s="8" t="s">
        <v>6666</v>
      </c>
      <c r="J1973" s="8" t="s">
        <v>78</v>
      </c>
      <c r="K1973" s="8" t="s">
        <v>6615</v>
      </c>
      <c r="L1973" s="8"/>
      <c r="M1973" s="8"/>
      <c r="N1973" s="8" t="s">
        <v>62</v>
      </c>
      <c r="O1973" s="8" t="s">
        <v>63</v>
      </c>
      <c r="P1973" s="4" t="n">
        <v>65</v>
      </c>
      <c r="Q1973" s="8"/>
      <c r="R1973" s="4" t="s">
        <v>630</v>
      </c>
      <c r="S1973" s="4" t="n">
        <v>1477</v>
      </c>
    </row>
    <row r="1974" customFormat="false" ht="15" hidden="false" customHeight="false" outlineLevel="0" collapsed="false">
      <c r="A1974" s="4" t="s">
        <v>6667</v>
      </c>
      <c r="B1974" s="8" t="s">
        <v>6668</v>
      </c>
      <c r="C1974" s="8"/>
      <c r="D1974" s="8"/>
      <c r="E1974" s="8"/>
      <c r="F1974" s="8"/>
      <c r="G1974" s="8"/>
      <c r="H1974" s="8"/>
      <c r="I1974" s="8" t="s">
        <v>6669</v>
      </c>
      <c r="J1974" s="8" t="s">
        <v>78</v>
      </c>
      <c r="K1974" s="8" t="s">
        <v>6670</v>
      </c>
      <c r="L1974" s="8"/>
      <c r="M1974" s="8"/>
      <c r="N1974" s="8" t="s">
        <v>62</v>
      </c>
      <c r="O1974" s="8" t="s">
        <v>63</v>
      </c>
      <c r="P1974" s="4" t="n">
        <v>65</v>
      </c>
      <c r="Q1974" s="8"/>
      <c r="R1974" s="4" t="s">
        <v>6668</v>
      </c>
      <c r="S1974" s="4" t="n">
        <v>331</v>
      </c>
    </row>
    <row r="1975" customFormat="false" ht="15" hidden="false" customHeight="false" outlineLevel="0" collapsed="false">
      <c r="A1975" s="4" t="s">
        <v>6671</v>
      </c>
      <c r="B1975" s="8" t="s">
        <v>6672</v>
      </c>
      <c r="C1975" s="8"/>
      <c r="D1975" s="8"/>
      <c r="E1975" s="8"/>
      <c r="F1975" s="8"/>
      <c r="G1975" s="8"/>
      <c r="H1975" s="8"/>
      <c r="I1975" s="8" t="s">
        <v>6673</v>
      </c>
      <c r="J1975" s="8" t="s">
        <v>78</v>
      </c>
      <c r="K1975" s="8" t="s">
        <v>6670</v>
      </c>
      <c r="L1975" s="8"/>
      <c r="M1975" s="8"/>
      <c r="N1975" s="8" t="s">
        <v>62</v>
      </c>
      <c r="O1975" s="8" t="s">
        <v>63</v>
      </c>
      <c r="P1975" s="4" t="n">
        <v>65</v>
      </c>
      <c r="Q1975" s="8"/>
      <c r="R1975" s="4" t="s">
        <v>6672</v>
      </c>
      <c r="S1975" s="4"/>
    </row>
    <row r="1976" customFormat="false" ht="15" hidden="false" customHeight="false" outlineLevel="0" collapsed="false">
      <c r="A1976" s="4" t="s">
        <v>6674</v>
      </c>
      <c r="B1976" s="8" t="s">
        <v>6675</v>
      </c>
      <c r="C1976" s="8"/>
      <c r="D1976" s="8"/>
      <c r="E1976" s="8"/>
      <c r="F1976" s="8"/>
      <c r="G1976" s="8"/>
      <c r="H1976" s="8"/>
      <c r="I1976" s="8" t="s">
        <v>2534</v>
      </c>
      <c r="J1976" s="8" t="s">
        <v>78</v>
      </c>
      <c r="K1976" s="8" t="s">
        <v>6670</v>
      </c>
      <c r="L1976" s="8"/>
      <c r="M1976" s="8"/>
      <c r="N1976" s="8" t="s">
        <v>62</v>
      </c>
      <c r="O1976" s="8" t="s">
        <v>63</v>
      </c>
      <c r="P1976" s="4" t="n">
        <v>65</v>
      </c>
      <c r="Q1976" s="8"/>
      <c r="R1976" s="4" t="s">
        <v>6675</v>
      </c>
      <c r="S1976" s="4"/>
    </row>
    <row r="1977" customFormat="false" ht="15" hidden="false" customHeight="false" outlineLevel="0" collapsed="false">
      <c r="A1977" s="4" t="s">
        <v>6676</v>
      </c>
      <c r="B1977" s="8" t="s">
        <v>6677</v>
      </c>
      <c r="C1977" s="8"/>
      <c r="D1977" s="8"/>
      <c r="E1977" s="8"/>
      <c r="F1977" s="8"/>
      <c r="G1977" s="8"/>
      <c r="H1977" s="8"/>
      <c r="I1977" s="8" t="s">
        <v>6678</v>
      </c>
      <c r="J1977" s="8" t="s">
        <v>78</v>
      </c>
      <c r="K1977" s="8" t="s">
        <v>6670</v>
      </c>
      <c r="L1977" s="8"/>
      <c r="M1977" s="8"/>
      <c r="N1977" s="8" t="s">
        <v>62</v>
      </c>
      <c r="O1977" s="8" t="s">
        <v>63</v>
      </c>
      <c r="P1977" s="4" t="n">
        <v>65</v>
      </c>
      <c r="Q1977" s="8"/>
      <c r="R1977" s="4" t="s">
        <v>6677</v>
      </c>
      <c r="S1977" s="4"/>
    </row>
    <row r="1978" customFormat="false" ht="15" hidden="false" customHeight="false" outlineLevel="0" collapsed="false">
      <c r="A1978" s="4" t="s">
        <v>6679</v>
      </c>
      <c r="B1978" s="8" t="s">
        <v>6084</v>
      </c>
      <c r="C1978" s="8"/>
      <c r="D1978" s="8"/>
      <c r="E1978" s="8"/>
      <c r="F1978" s="8"/>
      <c r="G1978" s="8"/>
      <c r="H1978" s="8"/>
      <c r="I1978" s="8" t="s">
        <v>6680</v>
      </c>
      <c r="J1978" s="8" t="s">
        <v>78</v>
      </c>
      <c r="K1978" s="8" t="s">
        <v>6670</v>
      </c>
      <c r="L1978" s="8"/>
      <c r="M1978" s="8"/>
      <c r="N1978" s="8" t="s">
        <v>62</v>
      </c>
      <c r="O1978" s="8" t="s">
        <v>63</v>
      </c>
      <c r="P1978" s="4" t="n">
        <v>65</v>
      </c>
      <c r="Q1978" s="8"/>
      <c r="R1978" s="4" t="s">
        <v>6084</v>
      </c>
      <c r="S1978" s="4" t="n">
        <v>275</v>
      </c>
    </row>
    <row r="1979" customFormat="false" ht="15" hidden="false" customHeight="false" outlineLevel="0" collapsed="false">
      <c r="A1979" s="4" t="s">
        <v>6681</v>
      </c>
      <c r="B1979" s="8" t="s">
        <v>6682</v>
      </c>
      <c r="C1979" s="8"/>
      <c r="D1979" s="8"/>
      <c r="E1979" s="8"/>
      <c r="F1979" s="8"/>
      <c r="G1979" s="8"/>
      <c r="H1979" s="8"/>
      <c r="I1979" s="8" t="s">
        <v>6683</v>
      </c>
      <c r="J1979" s="8" t="s">
        <v>78</v>
      </c>
      <c r="K1979" s="8" t="s">
        <v>6670</v>
      </c>
      <c r="L1979" s="8"/>
      <c r="M1979" s="8"/>
      <c r="N1979" s="8" t="s">
        <v>62</v>
      </c>
      <c r="O1979" s="8" t="s">
        <v>63</v>
      </c>
      <c r="P1979" s="4" t="n">
        <v>65</v>
      </c>
      <c r="Q1979" s="8"/>
      <c r="R1979" s="4" t="s">
        <v>6682</v>
      </c>
      <c r="S1979" s="4"/>
    </row>
    <row r="1980" customFormat="false" ht="15" hidden="false" customHeight="false" outlineLevel="0" collapsed="false">
      <c r="A1980" s="4" t="s">
        <v>6684</v>
      </c>
      <c r="B1980" s="8" t="s">
        <v>6685</v>
      </c>
      <c r="C1980" s="8"/>
      <c r="D1980" s="8"/>
      <c r="E1980" s="8"/>
      <c r="F1980" s="8"/>
      <c r="G1980" s="8"/>
      <c r="H1980" s="8"/>
      <c r="I1980" s="8" t="s">
        <v>6686</v>
      </c>
      <c r="J1980" s="8" t="s">
        <v>78</v>
      </c>
      <c r="K1980" s="8" t="s">
        <v>6670</v>
      </c>
      <c r="L1980" s="8"/>
      <c r="M1980" s="8"/>
      <c r="N1980" s="8" t="s">
        <v>62</v>
      </c>
      <c r="O1980" s="8" t="s">
        <v>63</v>
      </c>
      <c r="P1980" s="4" t="n">
        <v>65</v>
      </c>
      <c r="Q1980" s="8"/>
      <c r="R1980" s="4" t="s">
        <v>6685</v>
      </c>
      <c r="S1980" s="4"/>
    </row>
    <row r="1981" customFormat="false" ht="15" hidden="false" customHeight="false" outlineLevel="0" collapsed="false">
      <c r="A1981" s="4" t="s">
        <v>6687</v>
      </c>
      <c r="B1981" s="8" t="s">
        <v>6688</v>
      </c>
      <c r="C1981" s="8"/>
      <c r="D1981" s="8"/>
      <c r="E1981" s="8"/>
      <c r="F1981" s="8"/>
      <c r="G1981" s="8"/>
      <c r="H1981" s="8"/>
      <c r="I1981" s="8" t="s">
        <v>6689</v>
      </c>
      <c r="J1981" s="8" t="s">
        <v>78</v>
      </c>
      <c r="K1981" s="8" t="s">
        <v>6670</v>
      </c>
      <c r="L1981" s="8"/>
      <c r="M1981" s="8"/>
      <c r="N1981" s="8" t="s">
        <v>62</v>
      </c>
      <c r="O1981" s="8" t="s">
        <v>63</v>
      </c>
      <c r="P1981" s="4" t="n">
        <v>65</v>
      </c>
      <c r="Q1981" s="8"/>
      <c r="R1981" s="4" t="s">
        <v>6688</v>
      </c>
      <c r="S1981" s="4"/>
    </row>
    <row r="1982" customFormat="false" ht="15" hidden="false" customHeight="false" outlineLevel="0" collapsed="false">
      <c r="A1982" s="4" t="s">
        <v>6690</v>
      </c>
      <c r="B1982" s="8" t="s">
        <v>6691</v>
      </c>
      <c r="C1982" s="8"/>
      <c r="D1982" s="8"/>
      <c r="E1982" s="8"/>
      <c r="F1982" s="8"/>
      <c r="G1982" s="8"/>
      <c r="H1982" s="8"/>
      <c r="I1982" s="8" t="s">
        <v>6686</v>
      </c>
      <c r="J1982" s="8" t="s">
        <v>78</v>
      </c>
      <c r="K1982" s="8" t="s">
        <v>6670</v>
      </c>
      <c r="L1982" s="8"/>
      <c r="M1982" s="8"/>
      <c r="N1982" s="8" t="s">
        <v>62</v>
      </c>
      <c r="O1982" s="8" t="s">
        <v>63</v>
      </c>
      <c r="P1982" s="4" t="n">
        <v>65</v>
      </c>
      <c r="Q1982" s="8"/>
      <c r="R1982" s="4" t="s">
        <v>6691</v>
      </c>
      <c r="S1982" s="4"/>
    </row>
    <row r="1983" customFormat="false" ht="15" hidden="false" customHeight="false" outlineLevel="0" collapsed="false">
      <c r="A1983" s="4" t="s">
        <v>6692</v>
      </c>
      <c r="B1983" s="8" t="s">
        <v>6693</v>
      </c>
      <c r="C1983" s="8"/>
      <c r="D1983" s="8"/>
      <c r="E1983" s="8"/>
      <c r="F1983" s="8"/>
      <c r="G1983" s="8"/>
      <c r="H1983" s="8"/>
      <c r="I1983" s="8" t="s">
        <v>6689</v>
      </c>
      <c r="J1983" s="8" t="s">
        <v>78</v>
      </c>
      <c r="K1983" s="8" t="s">
        <v>6670</v>
      </c>
      <c r="L1983" s="8"/>
      <c r="M1983" s="8"/>
      <c r="N1983" s="8" t="s">
        <v>62</v>
      </c>
      <c r="O1983" s="8" t="s">
        <v>63</v>
      </c>
      <c r="P1983" s="4" t="n">
        <v>65</v>
      </c>
      <c r="Q1983" s="8"/>
      <c r="R1983" s="4" t="s">
        <v>6693</v>
      </c>
      <c r="S1983" s="4"/>
    </row>
    <row r="1984" customFormat="false" ht="15" hidden="false" customHeight="false" outlineLevel="0" collapsed="false">
      <c r="A1984" s="4" t="s">
        <v>6694</v>
      </c>
      <c r="B1984" s="8" t="s">
        <v>6695</v>
      </c>
      <c r="C1984" s="8"/>
      <c r="D1984" s="8"/>
      <c r="E1984" s="8"/>
      <c r="F1984" s="8"/>
      <c r="G1984" s="8"/>
      <c r="H1984" s="8"/>
      <c r="I1984" s="8" t="s">
        <v>6696</v>
      </c>
      <c r="J1984" s="8" t="s">
        <v>78</v>
      </c>
      <c r="K1984" s="8" t="s">
        <v>6670</v>
      </c>
      <c r="L1984" s="8"/>
      <c r="M1984" s="8"/>
      <c r="N1984" s="8" t="s">
        <v>62</v>
      </c>
      <c r="O1984" s="8" t="s">
        <v>63</v>
      </c>
      <c r="P1984" s="4" t="n">
        <v>65</v>
      </c>
      <c r="Q1984" s="8"/>
      <c r="R1984" s="4" t="s">
        <v>6695</v>
      </c>
      <c r="S1984" s="4"/>
    </row>
    <row r="1985" customFormat="false" ht="15" hidden="false" customHeight="false" outlineLevel="0" collapsed="false">
      <c r="A1985" s="4" t="s">
        <v>6697</v>
      </c>
      <c r="B1985" s="8" t="s">
        <v>6698</v>
      </c>
      <c r="C1985" s="8"/>
      <c r="D1985" s="8"/>
      <c r="E1985" s="8"/>
      <c r="F1985" s="8"/>
      <c r="G1985" s="8"/>
      <c r="H1985" s="8"/>
      <c r="I1985" s="8" t="s">
        <v>351</v>
      </c>
      <c r="J1985" s="8" t="s">
        <v>78</v>
      </c>
      <c r="K1985" s="8" t="s">
        <v>6670</v>
      </c>
      <c r="L1985" s="8"/>
      <c r="M1985" s="8"/>
      <c r="N1985" s="8" t="s">
        <v>62</v>
      </c>
      <c r="O1985" s="8" t="s">
        <v>63</v>
      </c>
      <c r="P1985" s="4" t="n">
        <v>65</v>
      </c>
      <c r="Q1985" s="8"/>
      <c r="R1985" s="4" t="s">
        <v>6698</v>
      </c>
      <c r="S1985" s="4"/>
    </row>
    <row r="1986" customFormat="false" ht="15" hidden="false" customHeight="false" outlineLevel="0" collapsed="false">
      <c r="A1986" s="4" t="s">
        <v>6699</v>
      </c>
      <c r="B1986" s="8" t="s">
        <v>6700</v>
      </c>
      <c r="C1986" s="8"/>
      <c r="D1986" s="8"/>
      <c r="E1986" s="8"/>
      <c r="F1986" s="8"/>
      <c r="G1986" s="8"/>
      <c r="H1986" s="8"/>
      <c r="I1986" s="8" t="s">
        <v>6701</v>
      </c>
      <c r="J1986" s="8" t="s">
        <v>78</v>
      </c>
      <c r="K1986" s="8" t="s">
        <v>6670</v>
      </c>
      <c r="L1986" s="8"/>
      <c r="M1986" s="8"/>
      <c r="N1986" s="8" t="s">
        <v>62</v>
      </c>
      <c r="O1986" s="8" t="s">
        <v>63</v>
      </c>
      <c r="P1986" s="4" t="n">
        <v>65</v>
      </c>
      <c r="Q1986" s="8"/>
      <c r="R1986" s="4" t="s">
        <v>6700</v>
      </c>
      <c r="S1986" s="4"/>
    </row>
    <row r="1987" customFormat="false" ht="15" hidden="false" customHeight="false" outlineLevel="0" collapsed="false">
      <c r="A1987" s="4" t="s">
        <v>6702</v>
      </c>
      <c r="B1987" s="8" t="s">
        <v>6703</v>
      </c>
      <c r="C1987" s="8"/>
      <c r="D1987" s="8"/>
      <c r="E1987" s="8"/>
      <c r="F1987" s="8"/>
      <c r="G1987" s="8"/>
      <c r="H1987" s="8"/>
      <c r="I1987" s="8" t="s">
        <v>6704</v>
      </c>
      <c r="J1987" s="8" t="s">
        <v>78</v>
      </c>
      <c r="K1987" s="8" t="s">
        <v>6670</v>
      </c>
      <c r="L1987" s="8"/>
      <c r="M1987" s="8"/>
      <c r="N1987" s="8" t="s">
        <v>62</v>
      </c>
      <c r="O1987" s="8" t="s">
        <v>63</v>
      </c>
      <c r="P1987" s="4" t="n">
        <v>65</v>
      </c>
      <c r="Q1987" s="8"/>
      <c r="R1987" s="4" t="s">
        <v>6703</v>
      </c>
      <c r="S1987" s="4"/>
    </row>
    <row r="1988" customFormat="false" ht="15" hidden="false" customHeight="false" outlineLevel="0" collapsed="false">
      <c r="A1988" s="4" t="s">
        <v>6705</v>
      </c>
      <c r="B1988" s="8" t="s">
        <v>6706</v>
      </c>
      <c r="C1988" s="8"/>
      <c r="D1988" s="8"/>
      <c r="E1988" s="8"/>
      <c r="F1988" s="8"/>
      <c r="G1988" s="8"/>
      <c r="H1988" s="8"/>
      <c r="I1988" s="8" t="s">
        <v>6707</v>
      </c>
      <c r="J1988" s="8" t="s">
        <v>78</v>
      </c>
      <c r="K1988" s="8" t="s">
        <v>6670</v>
      </c>
      <c r="L1988" s="8"/>
      <c r="M1988" s="8"/>
      <c r="N1988" s="8" t="s">
        <v>62</v>
      </c>
      <c r="O1988" s="8" t="s">
        <v>63</v>
      </c>
      <c r="P1988" s="4" t="n">
        <v>65</v>
      </c>
      <c r="Q1988" s="8"/>
      <c r="R1988" s="4" t="s">
        <v>6706</v>
      </c>
      <c r="S1988" s="4"/>
    </row>
    <row r="1989" customFormat="false" ht="15" hidden="false" customHeight="false" outlineLevel="0" collapsed="false">
      <c r="A1989" s="4" t="s">
        <v>6708</v>
      </c>
      <c r="B1989" s="8" t="s">
        <v>6709</v>
      </c>
      <c r="C1989" s="8"/>
      <c r="D1989" s="8"/>
      <c r="E1989" s="8"/>
      <c r="F1989" s="8"/>
      <c r="G1989" s="8"/>
      <c r="H1989" s="8"/>
      <c r="I1989" s="8" t="s">
        <v>6710</v>
      </c>
      <c r="J1989" s="8" t="s">
        <v>78</v>
      </c>
      <c r="K1989" s="8" t="s">
        <v>6670</v>
      </c>
      <c r="L1989" s="8"/>
      <c r="M1989" s="8"/>
      <c r="N1989" s="8" t="s">
        <v>62</v>
      </c>
      <c r="O1989" s="8" t="s">
        <v>63</v>
      </c>
      <c r="P1989" s="4" t="n">
        <v>65</v>
      </c>
      <c r="Q1989" s="8"/>
      <c r="R1989" s="4" t="s">
        <v>6709</v>
      </c>
      <c r="S1989" s="4"/>
    </row>
    <row r="1990" customFormat="false" ht="15" hidden="false" customHeight="false" outlineLevel="0" collapsed="false">
      <c r="A1990" s="4" t="s">
        <v>6711</v>
      </c>
      <c r="B1990" s="8" t="s">
        <v>6712</v>
      </c>
      <c r="C1990" s="8"/>
      <c r="D1990" s="8"/>
      <c r="E1990" s="8"/>
      <c r="F1990" s="8"/>
      <c r="G1990" s="8"/>
      <c r="H1990" s="8"/>
      <c r="I1990" s="8" t="s">
        <v>6713</v>
      </c>
      <c r="J1990" s="8" t="s">
        <v>78</v>
      </c>
      <c r="K1990" s="8" t="s">
        <v>6670</v>
      </c>
      <c r="L1990" s="8"/>
      <c r="M1990" s="8"/>
      <c r="N1990" s="8" t="s">
        <v>62</v>
      </c>
      <c r="O1990" s="8" t="s">
        <v>63</v>
      </c>
      <c r="P1990" s="4" t="n">
        <v>65</v>
      </c>
      <c r="Q1990" s="8"/>
      <c r="R1990" s="4" t="s">
        <v>6712</v>
      </c>
      <c r="S1990" s="4"/>
    </row>
    <row r="1991" customFormat="false" ht="15" hidden="false" customHeight="false" outlineLevel="0" collapsed="false">
      <c r="A1991" s="4" t="s">
        <v>6714</v>
      </c>
      <c r="B1991" s="8" t="s">
        <v>6715</v>
      </c>
      <c r="C1991" s="8"/>
      <c r="D1991" s="8"/>
      <c r="E1991" s="8"/>
      <c r="F1991" s="8"/>
      <c r="G1991" s="8"/>
      <c r="H1991" s="8"/>
      <c r="I1991" s="8" t="s">
        <v>6716</v>
      </c>
      <c r="J1991" s="8" t="s">
        <v>78</v>
      </c>
      <c r="K1991" s="8" t="s">
        <v>6670</v>
      </c>
      <c r="L1991" s="8"/>
      <c r="M1991" s="8"/>
      <c r="N1991" s="8" t="s">
        <v>62</v>
      </c>
      <c r="O1991" s="8" t="s">
        <v>63</v>
      </c>
      <c r="P1991" s="4" t="n">
        <v>65</v>
      </c>
      <c r="Q1991" s="8"/>
      <c r="R1991" s="4" t="s">
        <v>6715</v>
      </c>
      <c r="S1991" s="4" t="n">
        <v>1734</v>
      </c>
    </row>
    <row r="1992" customFormat="false" ht="15" hidden="false" customHeight="false" outlineLevel="0" collapsed="false">
      <c r="A1992" s="4" t="s">
        <v>6717</v>
      </c>
      <c r="B1992" s="8" t="s">
        <v>6718</v>
      </c>
      <c r="C1992" s="8"/>
      <c r="D1992" s="8"/>
      <c r="E1992" s="8"/>
      <c r="F1992" s="8"/>
      <c r="G1992" s="8"/>
      <c r="H1992" s="8"/>
      <c r="I1992" s="8" t="s">
        <v>6719</v>
      </c>
      <c r="J1992" s="8" t="s">
        <v>78</v>
      </c>
      <c r="K1992" s="8" t="s">
        <v>6670</v>
      </c>
      <c r="L1992" s="8"/>
      <c r="M1992" s="8"/>
      <c r="N1992" s="8" t="s">
        <v>62</v>
      </c>
      <c r="O1992" s="8" t="s">
        <v>63</v>
      </c>
      <c r="P1992" s="4" t="n">
        <v>65</v>
      </c>
      <c r="Q1992" s="8"/>
      <c r="R1992" s="4" t="s">
        <v>6718</v>
      </c>
      <c r="S1992" s="4"/>
    </row>
    <row r="1993" customFormat="false" ht="15" hidden="false" customHeight="false" outlineLevel="0" collapsed="false">
      <c r="A1993" s="4" t="s">
        <v>6720</v>
      </c>
      <c r="B1993" s="8" t="s">
        <v>6721</v>
      </c>
      <c r="C1993" s="8"/>
      <c r="D1993" s="8"/>
      <c r="E1993" s="8"/>
      <c r="F1993" s="8"/>
      <c r="G1993" s="8"/>
      <c r="H1993" s="8"/>
      <c r="I1993" s="8" t="s">
        <v>6722</v>
      </c>
      <c r="J1993" s="8" t="s">
        <v>78</v>
      </c>
      <c r="K1993" s="8" t="s">
        <v>6670</v>
      </c>
      <c r="L1993" s="8"/>
      <c r="M1993" s="8"/>
      <c r="N1993" s="8" t="s">
        <v>62</v>
      </c>
      <c r="O1993" s="8" t="s">
        <v>63</v>
      </c>
      <c r="P1993" s="4" t="n">
        <v>65</v>
      </c>
      <c r="Q1993" s="8"/>
      <c r="R1993" s="4" t="s">
        <v>6721</v>
      </c>
      <c r="S1993" s="4" t="n">
        <v>886</v>
      </c>
    </row>
    <row r="1994" customFormat="false" ht="15" hidden="false" customHeight="false" outlineLevel="0" collapsed="false">
      <c r="A1994" s="4" t="s">
        <v>6723</v>
      </c>
      <c r="B1994" s="8" t="s">
        <v>6724</v>
      </c>
      <c r="C1994" s="8"/>
      <c r="D1994" s="8"/>
      <c r="E1994" s="8"/>
      <c r="F1994" s="8"/>
      <c r="G1994" s="8"/>
      <c r="H1994" s="8"/>
      <c r="I1994" s="8" t="s">
        <v>6725</v>
      </c>
      <c r="J1994" s="8" t="s">
        <v>78</v>
      </c>
      <c r="K1994" s="8" t="s">
        <v>6670</v>
      </c>
      <c r="L1994" s="8"/>
      <c r="M1994" s="8"/>
      <c r="N1994" s="8" t="s">
        <v>62</v>
      </c>
      <c r="O1994" s="8" t="s">
        <v>63</v>
      </c>
      <c r="P1994" s="4" t="n">
        <v>65</v>
      </c>
      <c r="Q1994" s="8"/>
      <c r="R1994" s="4" t="s">
        <v>6724</v>
      </c>
      <c r="S1994" s="4"/>
    </row>
    <row r="1995" customFormat="false" ht="15" hidden="false" customHeight="false" outlineLevel="0" collapsed="false">
      <c r="A1995" s="4" t="s">
        <v>6726</v>
      </c>
      <c r="B1995" s="8" t="s">
        <v>6727</v>
      </c>
      <c r="C1995" s="8"/>
      <c r="D1995" s="8"/>
      <c r="E1995" s="8"/>
      <c r="F1995" s="8"/>
      <c r="G1995" s="8"/>
      <c r="H1995" s="8"/>
      <c r="I1995" s="8" t="s">
        <v>6728</v>
      </c>
      <c r="J1995" s="8" t="s">
        <v>78</v>
      </c>
      <c r="K1995" s="8" t="s">
        <v>6670</v>
      </c>
      <c r="L1995" s="8"/>
      <c r="M1995" s="8"/>
      <c r="N1995" s="8" t="s">
        <v>62</v>
      </c>
      <c r="O1995" s="8" t="s">
        <v>63</v>
      </c>
      <c r="P1995" s="4" t="n">
        <v>65</v>
      </c>
      <c r="Q1995" s="8"/>
      <c r="R1995" s="4" t="s">
        <v>6727</v>
      </c>
      <c r="S1995" s="4"/>
    </row>
    <row r="1996" customFormat="false" ht="15" hidden="false" customHeight="false" outlineLevel="0" collapsed="false">
      <c r="A1996" s="4" t="s">
        <v>6729</v>
      </c>
      <c r="B1996" s="8" t="s">
        <v>141</v>
      </c>
      <c r="C1996" s="8"/>
      <c r="D1996" s="8"/>
      <c r="E1996" s="8"/>
      <c r="F1996" s="8"/>
      <c r="G1996" s="8"/>
      <c r="H1996" s="8"/>
      <c r="I1996" s="8" t="s">
        <v>6730</v>
      </c>
      <c r="J1996" s="8" t="s">
        <v>78</v>
      </c>
      <c r="K1996" s="8" t="s">
        <v>6731</v>
      </c>
      <c r="L1996" s="8"/>
      <c r="M1996" s="8"/>
      <c r="N1996" s="8" t="s">
        <v>62</v>
      </c>
      <c r="O1996" s="8" t="s">
        <v>63</v>
      </c>
      <c r="P1996" s="4" t="n">
        <v>65</v>
      </c>
      <c r="Q1996" s="8"/>
      <c r="R1996" s="4" t="s">
        <v>141</v>
      </c>
      <c r="S1996" s="4"/>
    </row>
    <row r="1997" customFormat="false" ht="15" hidden="false" customHeight="false" outlineLevel="0" collapsed="false">
      <c r="A1997" s="4" t="s">
        <v>6732</v>
      </c>
      <c r="B1997" s="8" t="s">
        <v>6733</v>
      </c>
      <c r="C1997" s="8"/>
      <c r="D1997" s="8"/>
      <c r="E1997" s="8"/>
      <c r="F1997" s="8"/>
      <c r="G1997" s="8"/>
      <c r="H1997" s="8"/>
      <c r="I1997" s="8" t="s">
        <v>6734</v>
      </c>
      <c r="J1997" s="8" t="s">
        <v>78</v>
      </c>
      <c r="K1997" s="8" t="s">
        <v>6731</v>
      </c>
      <c r="L1997" s="8"/>
      <c r="M1997" s="8"/>
      <c r="N1997" s="8" t="s">
        <v>62</v>
      </c>
      <c r="O1997" s="8" t="s">
        <v>63</v>
      </c>
      <c r="P1997" s="4" t="n">
        <v>65</v>
      </c>
      <c r="Q1997" s="8"/>
      <c r="R1997" s="4" t="s">
        <v>6733</v>
      </c>
      <c r="S1997" s="4" t="n">
        <v>539</v>
      </c>
    </row>
    <row r="1998" customFormat="false" ht="15" hidden="false" customHeight="false" outlineLevel="0" collapsed="false">
      <c r="A1998" s="4" t="s">
        <v>6735</v>
      </c>
      <c r="B1998" s="8" t="s">
        <v>6736</v>
      </c>
      <c r="C1998" s="8"/>
      <c r="D1998" s="8"/>
      <c r="E1998" s="8"/>
      <c r="F1998" s="8"/>
      <c r="G1998" s="8"/>
      <c r="H1998" s="8"/>
      <c r="I1998" s="8" t="s">
        <v>6737</v>
      </c>
      <c r="J1998" s="8" t="s">
        <v>78</v>
      </c>
      <c r="K1998" s="8" t="s">
        <v>6731</v>
      </c>
      <c r="L1998" s="8"/>
      <c r="M1998" s="8"/>
      <c r="N1998" s="8" t="s">
        <v>62</v>
      </c>
      <c r="O1998" s="8" t="s">
        <v>63</v>
      </c>
      <c r="P1998" s="4" t="n">
        <v>65</v>
      </c>
      <c r="Q1998" s="8"/>
      <c r="R1998" s="4" t="s">
        <v>6736</v>
      </c>
      <c r="S1998" s="4"/>
    </row>
    <row r="1999" customFormat="false" ht="15" hidden="false" customHeight="false" outlineLevel="0" collapsed="false">
      <c r="A1999" s="4" t="s">
        <v>6738</v>
      </c>
      <c r="B1999" s="8" t="s">
        <v>6739</v>
      </c>
      <c r="C1999" s="8"/>
      <c r="D1999" s="8"/>
      <c r="E1999" s="8"/>
      <c r="F1999" s="8"/>
      <c r="G1999" s="8"/>
      <c r="H1999" s="8"/>
      <c r="I1999" s="8" t="s">
        <v>6740</v>
      </c>
      <c r="J1999" s="8" t="s">
        <v>78</v>
      </c>
      <c r="K1999" s="8" t="s">
        <v>6731</v>
      </c>
      <c r="L1999" s="8"/>
      <c r="M1999" s="8"/>
      <c r="N1999" s="8" t="s">
        <v>62</v>
      </c>
      <c r="O1999" s="8" t="s">
        <v>63</v>
      </c>
      <c r="P1999" s="4" t="n">
        <v>65</v>
      </c>
      <c r="Q1999" s="8"/>
      <c r="R1999" s="4" t="s">
        <v>6739</v>
      </c>
      <c r="S1999" s="4"/>
    </row>
    <row r="2000" customFormat="false" ht="15" hidden="false" customHeight="false" outlineLevel="0" collapsed="false">
      <c r="A2000" s="4" t="s">
        <v>6741</v>
      </c>
      <c r="B2000" s="8" t="s">
        <v>6742</v>
      </c>
      <c r="C2000" s="8"/>
      <c r="D2000" s="8"/>
      <c r="E2000" s="8"/>
      <c r="F2000" s="8"/>
      <c r="G2000" s="8"/>
      <c r="H2000" s="8"/>
      <c r="I2000" s="8" t="s">
        <v>6743</v>
      </c>
      <c r="J2000" s="8" t="s">
        <v>78</v>
      </c>
      <c r="K2000" s="8" t="s">
        <v>6731</v>
      </c>
      <c r="L2000" s="8"/>
      <c r="M2000" s="8"/>
      <c r="N2000" s="8" t="s">
        <v>62</v>
      </c>
      <c r="O2000" s="8" t="s">
        <v>63</v>
      </c>
      <c r="P2000" s="4" t="n">
        <v>65</v>
      </c>
      <c r="Q2000" s="8"/>
      <c r="R2000" s="4" t="s">
        <v>6742</v>
      </c>
      <c r="S2000" s="4"/>
    </row>
    <row r="2001" customFormat="false" ht="15" hidden="false" customHeight="false" outlineLevel="0" collapsed="false">
      <c r="A2001" s="4" t="s">
        <v>6744</v>
      </c>
      <c r="B2001" s="8" t="s">
        <v>6745</v>
      </c>
      <c r="C2001" s="8"/>
      <c r="D2001" s="8"/>
      <c r="E2001" s="8"/>
      <c r="F2001" s="8"/>
      <c r="G2001" s="8"/>
      <c r="H2001" s="8"/>
      <c r="I2001" s="8" t="s">
        <v>6746</v>
      </c>
      <c r="J2001" s="8" t="s">
        <v>78</v>
      </c>
      <c r="K2001" s="8" t="s">
        <v>6731</v>
      </c>
      <c r="L2001" s="8"/>
      <c r="M2001" s="8"/>
      <c r="N2001" s="8" t="s">
        <v>62</v>
      </c>
      <c r="O2001" s="8" t="s">
        <v>63</v>
      </c>
      <c r="P2001" s="4" t="n">
        <v>65</v>
      </c>
      <c r="Q2001" s="8"/>
      <c r="R2001" s="4" t="s">
        <v>6745</v>
      </c>
      <c r="S2001" s="4" t="n">
        <v>1103</v>
      </c>
    </row>
    <row r="2002" customFormat="false" ht="15" hidden="false" customHeight="false" outlineLevel="0" collapsed="false">
      <c r="A2002" s="4" t="s">
        <v>6747</v>
      </c>
      <c r="B2002" s="8" t="s">
        <v>6748</v>
      </c>
      <c r="C2002" s="8"/>
      <c r="D2002" s="8"/>
      <c r="E2002" s="8"/>
      <c r="F2002" s="8"/>
      <c r="G2002" s="8"/>
      <c r="H2002" s="8"/>
      <c r="I2002" s="8" t="s">
        <v>6730</v>
      </c>
      <c r="J2002" s="8" t="s">
        <v>78</v>
      </c>
      <c r="K2002" s="8" t="s">
        <v>6731</v>
      </c>
      <c r="L2002" s="8"/>
      <c r="M2002" s="8"/>
      <c r="N2002" s="8" t="s">
        <v>62</v>
      </c>
      <c r="O2002" s="8" t="s">
        <v>63</v>
      </c>
      <c r="P2002" s="4" t="n">
        <v>65</v>
      </c>
      <c r="Q2002" s="8"/>
      <c r="R2002" s="4" t="s">
        <v>6748</v>
      </c>
      <c r="S2002" s="4" t="n">
        <v>508</v>
      </c>
    </row>
    <row r="2003" customFormat="false" ht="15" hidden="false" customHeight="false" outlineLevel="0" collapsed="false">
      <c r="A2003" s="4" t="s">
        <v>6749</v>
      </c>
      <c r="B2003" s="8" t="s">
        <v>6499</v>
      </c>
      <c r="C2003" s="8"/>
      <c r="D2003" s="8"/>
      <c r="E2003" s="8"/>
      <c r="F2003" s="8"/>
      <c r="G2003" s="8"/>
      <c r="H2003" s="8"/>
      <c r="I2003" s="8" t="s">
        <v>6500</v>
      </c>
      <c r="J2003" s="8" t="s">
        <v>78</v>
      </c>
      <c r="K2003" s="8" t="s">
        <v>6731</v>
      </c>
      <c r="L2003" s="8"/>
      <c r="M2003" s="8"/>
      <c r="N2003" s="8" t="s">
        <v>62</v>
      </c>
      <c r="O2003" s="8" t="s">
        <v>63</v>
      </c>
      <c r="P2003" s="4" t="n">
        <v>65</v>
      </c>
      <c r="Q2003" s="8"/>
      <c r="R2003" s="4" t="s">
        <v>6499</v>
      </c>
      <c r="S2003" s="4"/>
    </row>
    <row r="2004" customFormat="false" ht="15" hidden="false" customHeight="false" outlineLevel="0" collapsed="false">
      <c r="A2004" s="4" t="s">
        <v>6750</v>
      </c>
      <c r="B2004" s="8" t="s">
        <v>6751</v>
      </c>
      <c r="C2004" s="8"/>
      <c r="D2004" s="8"/>
      <c r="E2004" s="8"/>
      <c r="F2004" s="8"/>
      <c r="G2004" s="8"/>
      <c r="H2004" s="8"/>
      <c r="I2004" s="8" t="s">
        <v>6752</v>
      </c>
      <c r="J2004" s="8" t="s">
        <v>78</v>
      </c>
      <c r="K2004" s="8" t="s">
        <v>6731</v>
      </c>
      <c r="L2004" s="8"/>
      <c r="M2004" s="8"/>
      <c r="N2004" s="8" t="s">
        <v>62</v>
      </c>
      <c r="O2004" s="8" t="s">
        <v>63</v>
      </c>
      <c r="P2004" s="4" t="n">
        <v>65</v>
      </c>
      <c r="Q2004" s="8"/>
      <c r="R2004" s="4" t="s">
        <v>6751</v>
      </c>
      <c r="S2004" s="4"/>
    </row>
    <row r="2005" customFormat="false" ht="15" hidden="false" customHeight="false" outlineLevel="0" collapsed="false">
      <c r="A2005" s="4" t="s">
        <v>6753</v>
      </c>
      <c r="B2005" s="8" t="s">
        <v>6754</v>
      </c>
      <c r="C2005" s="8"/>
      <c r="D2005" s="8"/>
      <c r="E2005" s="8"/>
      <c r="F2005" s="8"/>
      <c r="G2005" s="8"/>
      <c r="H2005" s="8"/>
      <c r="I2005" s="8" t="s">
        <v>6755</v>
      </c>
      <c r="J2005" s="8" t="s">
        <v>78</v>
      </c>
      <c r="K2005" s="8" t="s">
        <v>6731</v>
      </c>
      <c r="L2005" s="8"/>
      <c r="M2005" s="8"/>
      <c r="N2005" s="8" t="s">
        <v>62</v>
      </c>
      <c r="O2005" s="8" t="s">
        <v>63</v>
      </c>
      <c r="P2005" s="4" t="n">
        <v>65</v>
      </c>
      <c r="Q2005" s="8"/>
      <c r="R2005" s="4" t="s">
        <v>6754</v>
      </c>
      <c r="S2005" s="4"/>
    </row>
    <row r="2006" customFormat="false" ht="15" hidden="false" customHeight="false" outlineLevel="0" collapsed="false">
      <c r="A2006" s="4" t="s">
        <v>6756</v>
      </c>
      <c r="B2006" s="8" t="s">
        <v>6757</v>
      </c>
      <c r="C2006" s="8"/>
      <c r="D2006" s="8"/>
      <c r="E2006" s="8"/>
      <c r="F2006" s="8"/>
      <c r="G2006" s="8"/>
      <c r="H2006" s="8"/>
      <c r="I2006" s="8" t="s">
        <v>6758</v>
      </c>
      <c r="J2006" s="8" t="s">
        <v>78</v>
      </c>
      <c r="K2006" s="8" t="s">
        <v>6759</v>
      </c>
      <c r="L2006" s="8"/>
      <c r="M2006" s="8"/>
      <c r="N2006" s="8" t="s">
        <v>62</v>
      </c>
      <c r="O2006" s="8" t="s">
        <v>63</v>
      </c>
      <c r="P2006" s="4" t="n">
        <v>66</v>
      </c>
      <c r="Q2006" s="8"/>
      <c r="R2006" s="4" t="s">
        <v>6757</v>
      </c>
      <c r="S2006" s="4" t="n">
        <v>23</v>
      </c>
    </row>
    <row r="2007" customFormat="false" ht="15" hidden="false" customHeight="false" outlineLevel="0" collapsed="false">
      <c r="A2007" s="4" t="s">
        <v>6760</v>
      </c>
      <c r="B2007" s="8" t="s">
        <v>6761</v>
      </c>
      <c r="C2007" s="8"/>
      <c r="D2007" s="8"/>
      <c r="E2007" s="8"/>
      <c r="F2007" s="8"/>
      <c r="G2007" s="8"/>
      <c r="H2007" s="8"/>
      <c r="I2007" s="8" t="s">
        <v>6762</v>
      </c>
      <c r="J2007" s="8" t="s">
        <v>78</v>
      </c>
      <c r="K2007" s="8" t="s">
        <v>6759</v>
      </c>
      <c r="L2007" s="8"/>
      <c r="M2007" s="8"/>
      <c r="N2007" s="8" t="s">
        <v>62</v>
      </c>
      <c r="O2007" s="8" t="s">
        <v>63</v>
      </c>
      <c r="P2007" s="4" t="n">
        <v>66</v>
      </c>
      <c r="Q2007" s="8"/>
      <c r="R2007" s="4" t="s">
        <v>6761</v>
      </c>
      <c r="S2007" s="4"/>
    </row>
    <row r="2008" customFormat="false" ht="15" hidden="false" customHeight="false" outlineLevel="0" collapsed="false">
      <c r="A2008" s="4" t="s">
        <v>6763</v>
      </c>
      <c r="B2008" s="8" t="s">
        <v>6764</v>
      </c>
      <c r="C2008" s="8"/>
      <c r="D2008" s="8"/>
      <c r="E2008" s="8"/>
      <c r="F2008" s="8"/>
      <c r="G2008" s="8"/>
      <c r="H2008" s="8"/>
      <c r="I2008" s="8" t="s">
        <v>6765</v>
      </c>
      <c r="J2008" s="8" t="s">
        <v>78</v>
      </c>
      <c r="K2008" s="8" t="s">
        <v>6759</v>
      </c>
      <c r="L2008" s="8"/>
      <c r="M2008" s="8"/>
      <c r="N2008" s="8" t="s">
        <v>62</v>
      </c>
      <c r="O2008" s="8" t="s">
        <v>63</v>
      </c>
      <c r="P2008" s="4" t="n">
        <v>66</v>
      </c>
      <c r="Q2008" s="8"/>
      <c r="R2008" s="4" t="s">
        <v>6764</v>
      </c>
      <c r="S2008" s="4"/>
    </row>
    <row r="2009" customFormat="false" ht="15" hidden="false" customHeight="false" outlineLevel="0" collapsed="false">
      <c r="A2009" s="4" t="s">
        <v>6766</v>
      </c>
      <c r="B2009" s="8" t="s">
        <v>6767</v>
      </c>
      <c r="C2009" s="8"/>
      <c r="D2009" s="8"/>
      <c r="E2009" s="8"/>
      <c r="F2009" s="8"/>
      <c r="G2009" s="8"/>
      <c r="H2009" s="8"/>
      <c r="I2009" s="8" t="s">
        <v>6768</v>
      </c>
      <c r="J2009" s="8" t="s">
        <v>78</v>
      </c>
      <c r="K2009" s="8" t="s">
        <v>6759</v>
      </c>
      <c r="L2009" s="8"/>
      <c r="M2009" s="8"/>
      <c r="N2009" s="8" t="s">
        <v>62</v>
      </c>
      <c r="O2009" s="8" t="s">
        <v>63</v>
      </c>
      <c r="P2009" s="4" t="n">
        <v>66</v>
      </c>
      <c r="Q2009" s="8"/>
      <c r="R2009" s="4" t="s">
        <v>6767</v>
      </c>
      <c r="S2009" s="4"/>
    </row>
    <row r="2010" customFormat="false" ht="15" hidden="false" customHeight="false" outlineLevel="0" collapsed="false">
      <c r="A2010" s="4" t="s">
        <v>6769</v>
      </c>
      <c r="B2010" s="8" t="s">
        <v>6435</v>
      </c>
      <c r="C2010" s="8"/>
      <c r="D2010" s="8"/>
      <c r="E2010" s="8"/>
      <c r="F2010" s="8"/>
      <c r="G2010" s="8"/>
      <c r="H2010" s="8"/>
      <c r="I2010" s="8" t="s">
        <v>6770</v>
      </c>
      <c r="J2010" s="8" t="s">
        <v>78</v>
      </c>
      <c r="K2010" s="8" t="s">
        <v>6759</v>
      </c>
      <c r="L2010" s="8"/>
      <c r="M2010" s="8"/>
      <c r="N2010" s="8" t="s">
        <v>62</v>
      </c>
      <c r="O2010" s="8" t="s">
        <v>63</v>
      </c>
      <c r="P2010" s="4" t="n">
        <v>66</v>
      </c>
      <c r="Q2010" s="8"/>
      <c r="R2010" s="4" t="s">
        <v>6435</v>
      </c>
      <c r="S2010" s="4"/>
    </row>
    <row r="2011" customFormat="false" ht="15" hidden="false" customHeight="false" outlineLevel="0" collapsed="false">
      <c r="A2011" s="4" t="s">
        <v>6771</v>
      </c>
      <c r="B2011" s="8" t="s">
        <v>6772</v>
      </c>
      <c r="C2011" s="8"/>
      <c r="D2011" s="8"/>
      <c r="E2011" s="8"/>
      <c r="F2011" s="8"/>
      <c r="G2011" s="8"/>
      <c r="H2011" s="8"/>
      <c r="I2011" s="8" t="s">
        <v>6773</v>
      </c>
      <c r="J2011" s="8" t="s">
        <v>78</v>
      </c>
      <c r="K2011" s="8" t="s">
        <v>6759</v>
      </c>
      <c r="L2011" s="8"/>
      <c r="M2011" s="8"/>
      <c r="N2011" s="8" t="s">
        <v>62</v>
      </c>
      <c r="O2011" s="8" t="s">
        <v>63</v>
      </c>
      <c r="P2011" s="4" t="n">
        <v>66</v>
      </c>
      <c r="Q2011" s="8"/>
      <c r="R2011" s="4" t="s">
        <v>6772</v>
      </c>
      <c r="S2011" s="4" t="n">
        <v>95</v>
      </c>
    </row>
    <row r="2012" customFormat="false" ht="15" hidden="false" customHeight="false" outlineLevel="0" collapsed="false">
      <c r="A2012" s="4" t="s">
        <v>6774</v>
      </c>
      <c r="B2012" s="8" t="s">
        <v>6775</v>
      </c>
      <c r="C2012" s="8"/>
      <c r="D2012" s="8"/>
      <c r="E2012" s="8"/>
      <c r="F2012" s="8"/>
      <c r="G2012" s="8"/>
      <c r="H2012" s="8"/>
      <c r="I2012" s="8" t="s">
        <v>6776</v>
      </c>
      <c r="J2012" s="8" t="s">
        <v>78</v>
      </c>
      <c r="K2012" s="8" t="s">
        <v>6759</v>
      </c>
      <c r="L2012" s="8"/>
      <c r="M2012" s="8"/>
      <c r="N2012" s="8" t="s">
        <v>62</v>
      </c>
      <c r="O2012" s="8" t="s">
        <v>63</v>
      </c>
      <c r="P2012" s="4" t="n">
        <v>66</v>
      </c>
      <c r="Q2012" s="8"/>
      <c r="R2012" s="4" t="s">
        <v>6775</v>
      </c>
      <c r="S2012" s="4"/>
    </row>
    <row r="2013" customFormat="false" ht="15" hidden="false" customHeight="false" outlineLevel="0" collapsed="false">
      <c r="A2013" s="4" t="s">
        <v>6777</v>
      </c>
      <c r="B2013" s="8" t="s">
        <v>6778</v>
      </c>
      <c r="C2013" s="8"/>
      <c r="D2013" s="8"/>
      <c r="E2013" s="8" t="s">
        <v>83</v>
      </c>
      <c r="F2013" s="8"/>
      <c r="G2013" s="8"/>
      <c r="H2013" s="8"/>
      <c r="I2013" s="8" t="s">
        <v>6779</v>
      </c>
      <c r="J2013" s="8" t="s">
        <v>78</v>
      </c>
      <c r="K2013" s="8" t="s">
        <v>6780</v>
      </c>
      <c r="L2013" s="8"/>
      <c r="M2013" s="8"/>
      <c r="N2013" s="8" t="s">
        <v>62</v>
      </c>
      <c r="O2013" s="8" t="s">
        <v>63</v>
      </c>
      <c r="P2013" s="4" t="n">
        <v>66</v>
      </c>
      <c r="Q2013" s="8"/>
      <c r="R2013" s="4" t="s">
        <v>6778</v>
      </c>
      <c r="S2013" s="4"/>
    </row>
    <row r="2014" customFormat="false" ht="15" hidden="false" customHeight="false" outlineLevel="0" collapsed="false">
      <c r="A2014" s="4" t="s">
        <v>6781</v>
      </c>
      <c r="B2014" s="8" t="s">
        <v>6782</v>
      </c>
      <c r="C2014" s="8"/>
      <c r="D2014" s="8"/>
      <c r="E2014" s="8" t="s">
        <v>83</v>
      </c>
      <c r="F2014" s="8"/>
      <c r="G2014" s="8"/>
      <c r="H2014" s="8"/>
      <c r="I2014" s="8" t="s">
        <v>6783</v>
      </c>
      <c r="J2014" s="8" t="s">
        <v>78</v>
      </c>
      <c r="K2014" s="8" t="s">
        <v>6780</v>
      </c>
      <c r="L2014" s="8"/>
      <c r="M2014" s="8"/>
      <c r="N2014" s="8" t="s">
        <v>62</v>
      </c>
      <c r="O2014" s="8" t="s">
        <v>63</v>
      </c>
      <c r="P2014" s="4" t="n">
        <v>66</v>
      </c>
      <c r="Q2014" s="8"/>
      <c r="R2014" s="4" t="s">
        <v>6782</v>
      </c>
      <c r="S2014" s="4"/>
    </row>
    <row r="2015" customFormat="false" ht="15" hidden="false" customHeight="false" outlineLevel="0" collapsed="false">
      <c r="A2015" s="4" t="s">
        <v>6784</v>
      </c>
      <c r="B2015" s="8" t="s">
        <v>6785</v>
      </c>
      <c r="C2015" s="8"/>
      <c r="D2015" s="8"/>
      <c r="E2015" s="8" t="s">
        <v>83</v>
      </c>
      <c r="F2015" s="8"/>
      <c r="G2015" s="8"/>
      <c r="H2015" s="8"/>
      <c r="I2015" s="8" t="s">
        <v>6786</v>
      </c>
      <c r="J2015" s="8" t="s">
        <v>78</v>
      </c>
      <c r="K2015" s="8" t="s">
        <v>6780</v>
      </c>
      <c r="L2015" s="8"/>
      <c r="M2015" s="8"/>
      <c r="N2015" s="8" t="s">
        <v>62</v>
      </c>
      <c r="O2015" s="8" t="s">
        <v>63</v>
      </c>
      <c r="P2015" s="4" t="n">
        <v>66</v>
      </c>
      <c r="Q2015" s="8"/>
      <c r="R2015" s="4" t="s">
        <v>6785</v>
      </c>
      <c r="S2015" s="4"/>
    </row>
    <row r="2016" customFormat="false" ht="15" hidden="false" customHeight="false" outlineLevel="0" collapsed="false">
      <c r="A2016" s="4" t="s">
        <v>6787</v>
      </c>
      <c r="B2016" s="8" t="s">
        <v>6788</v>
      </c>
      <c r="C2016" s="8"/>
      <c r="D2016" s="8"/>
      <c r="E2016" s="8" t="s">
        <v>83</v>
      </c>
      <c r="F2016" s="8"/>
      <c r="G2016" s="8"/>
      <c r="H2016" s="8"/>
      <c r="I2016" s="8" t="s">
        <v>6789</v>
      </c>
      <c r="J2016" s="8" t="s">
        <v>78</v>
      </c>
      <c r="K2016" s="8" t="s">
        <v>6780</v>
      </c>
      <c r="L2016" s="8"/>
      <c r="M2016" s="8"/>
      <c r="N2016" s="8" t="s">
        <v>62</v>
      </c>
      <c r="O2016" s="8" t="s">
        <v>63</v>
      </c>
      <c r="P2016" s="4" t="n">
        <v>66</v>
      </c>
      <c r="Q2016" s="8"/>
      <c r="R2016" s="4" t="s">
        <v>6788</v>
      </c>
      <c r="S2016" s="4"/>
    </row>
    <row r="2017" customFormat="false" ht="15" hidden="false" customHeight="false" outlineLevel="0" collapsed="false">
      <c r="A2017" s="4" t="s">
        <v>6790</v>
      </c>
      <c r="B2017" s="8" t="s">
        <v>6791</v>
      </c>
      <c r="C2017" s="8"/>
      <c r="D2017" s="8"/>
      <c r="E2017" s="8" t="s">
        <v>83</v>
      </c>
      <c r="F2017" s="8"/>
      <c r="G2017" s="8"/>
      <c r="H2017" s="8"/>
      <c r="I2017" s="8" t="s">
        <v>6792</v>
      </c>
      <c r="J2017" s="8" t="s">
        <v>78</v>
      </c>
      <c r="K2017" s="8" t="s">
        <v>6780</v>
      </c>
      <c r="L2017" s="8"/>
      <c r="M2017" s="8"/>
      <c r="N2017" s="8" t="s">
        <v>62</v>
      </c>
      <c r="O2017" s="8" t="s">
        <v>63</v>
      </c>
      <c r="P2017" s="4" t="n">
        <v>66</v>
      </c>
      <c r="Q2017" s="8"/>
      <c r="R2017" s="4" t="s">
        <v>6791</v>
      </c>
      <c r="S2017" s="4"/>
    </row>
    <row r="2018" customFormat="false" ht="15" hidden="false" customHeight="false" outlineLevel="0" collapsed="false">
      <c r="A2018" s="4" t="s">
        <v>6793</v>
      </c>
      <c r="B2018" s="8" t="s">
        <v>6794</v>
      </c>
      <c r="C2018" s="8"/>
      <c r="D2018" s="8"/>
      <c r="E2018" s="8" t="s">
        <v>83</v>
      </c>
      <c r="F2018" s="8"/>
      <c r="G2018" s="8"/>
      <c r="H2018" s="8"/>
      <c r="I2018" s="8" t="s">
        <v>6795</v>
      </c>
      <c r="J2018" s="8" t="s">
        <v>78</v>
      </c>
      <c r="K2018" s="8" t="s">
        <v>6780</v>
      </c>
      <c r="L2018" s="8"/>
      <c r="M2018" s="8"/>
      <c r="N2018" s="8" t="s">
        <v>62</v>
      </c>
      <c r="O2018" s="8" t="s">
        <v>63</v>
      </c>
      <c r="P2018" s="4" t="n">
        <v>66</v>
      </c>
      <c r="Q2018" s="8"/>
      <c r="R2018" s="4" t="s">
        <v>6794</v>
      </c>
      <c r="S2018" s="4"/>
    </row>
    <row r="2019" customFormat="false" ht="15" hidden="false" customHeight="false" outlineLevel="0" collapsed="false">
      <c r="A2019" s="4" t="s">
        <v>6796</v>
      </c>
      <c r="B2019" s="8" t="s">
        <v>6797</v>
      </c>
      <c r="C2019" s="8"/>
      <c r="D2019" s="8"/>
      <c r="E2019" s="8" t="s">
        <v>83</v>
      </c>
      <c r="F2019" s="8"/>
      <c r="G2019" s="8"/>
      <c r="H2019" s="8"/>
      <c r="I2019" s="8" t="s">
        <v>6798</v>
      </c>
      <c r="J2019" s="8" t="s">
        <v>78</v>
      </c>
      <c r="K2019" s="8" t="s">
        <v>6780</v>
      </c>
      <c r="L2019" s="8"/>
      <c r="M2019" s="8"/>
      <c r="N2019" s="8" t="s">
        <v>62</v>
      </c>
      <c r="O2019" s="8" t="s">
        <v>63</v>
      </c>
      <c r="P2019" s="4" t="n">
        <v>66</v>
      </c>
      <c r="Q2019" s="8"/>
      <c r="R2019" s="4" t="s">
        <v>6797</v>
      </c>
      <c r="S2019" s="4"/>
    </row>
    <row r="2020" customFormat="false" ht="15" hidden="false" customHeight="false" outlineLevel="0" collapsed="false">
      <c r="A2020" s="4" t="s">
        <v>6799</v>
      </c>
      <c r="B2020" s="8" t="s">
        <v>6800</v>
      </c>
      <c r="C2020" s="8"/>
      <c r="D2020" s="8"/>
      <c r="E2020" s="8" t="s">
        <v>83</v>
      </c>
      <c r="F2020" s="8"/>
      <c r="G2020" s="8"/>
      <c r="H2020" s="8"/>
      <c r="I2020" s="8" t="s">
        <v>6801</v>
      </c>
      <c r="J2020" s="8" t="s">
        <v>78</v>
      </c>
      <c r="K2020" s="8" t="s">
        <v>6780</v>
      </c>
      <c r="L2020" s="8"/>
      <c r="M2020" s="8"/>
      <c r="N2020" s="8" t="s">
        <v>62</v>
      </c>
      <c r="O2020" s="8" t="s">
        <v>63</v>
      </c>
      <c r="P2020" s="4" t="n">
        <v>66</v>
      </c>
      <c r="Q2020" s="8"/>
      <c r="R2020" s="4" t="s">
        <v>6800</v>
      </c>
      <c r="S2020" s="4"/>
    </row>
    <row r="2021" customFormat="false" ht="15" hidden="false" customHeight="false" outlineLevel="0" collapsed="false">
      <c r="A2021" s="4" t="s">
        <v>6802</v>
      </c>
      <c r="B2021" s="8" t="s">
        <v>6803</v>
      </c>
      <c r="C2021" s="8"/>
      <c r="D2021" s="8"/>
      <c r="E2021" s="8" t="s">
        <v>83</v>
      </c>
      <c r="F2021" s="8"/>
      <c r="G2021" s="8"/>
      <c r="H2021" s="8"/>
      <c r="I2021" s="8" t="s">
        <v>6804</v>
      </c>
      <c r="J2021" s="8" t="s">
        <v>78</v>
      </c>
      <c r="K2021" s="8" t="s">
        <v>6780</v>
      </c>
      <c r="L2021" s="8"/>
      <c r="M2021" s="8"/>
      <c r="N2021" s="8" t="s">
        <v>62</v>
      </c>
      <c r="O2021" s="8" t="s">
        <v>63</v>
      </c>
      <c r="P2021" s="4" t="n">
        <v>66</v>
      </c>
      <c r="Q2021" s="8"/>
      <c r="R2021" s="4" t="s">
        <v>6803</v>
      </c>
      <c r="S2021" s="4"/>
    </row>
    <row r="2022" customFormat="false" ht="15" hidden="false" customHeight="false" outlineLevel="0" collapsed="false">
      <c r="A2022" s="4" t="s">
        <v>6805</v>
      </c>
      <c r="B2022" s="8" t="s">
        <v>6806</v>
      </c>
      <c r="C2022" s="8"/>
      <c r="D2022" s="8"/>
      <c r="E2022" s="8" t="s">
        <v>83</v>
      </c>
      <c r="F2022" s="8"/>
      <c r="G2022" s="8"/>
      <c r="H2022" s="8"/>
      <c r="I2022" s="8" t="s">
        <v>6807</v>
      </c>
      <c r="J2022" s="8" t="s">
        <v>78</v>
      </c>
      <c r="K2022" s="8" t="s">
        <v>6780</v>
      </c>
      <c r="L2022" s="8"/>
      <c r="M2022" s="8"/>
      <c r="N2022" s="8" t="s">
        <v>62</v>
      </c>
      <c r="O2022" s="8" t="s">
        <v>63</v>
      </c>
      <c r="P2022" s="4" t="n">
        <v>66</v>
      </c>
      <c r="Q2022" s="8"/>
      <c r="R2022" s="4" t="s">
        <v>6806</v>
      </c>
      <c r="S2022" s="4"/>
    </row>
    <row r="2023" customFormat="false" ht="15" hidden="false" customHeight="false" outlineLevel="0" collapsed="false">
      <c r="A2023" s="4" t="s">
        <v>6808</v>
      </c>
      <c r="B2023" s="8" t="s">
        <v>6809</v>
      </c>
      <c r="C2023" s="8"/>
      <c r="D2023" s="8"/>
      <c r="E2023" s="8" t="s">
        <v>83</v>
      </c>
      <c r="F2023" s="8"/>
      <c r="G2023" s="8"/>
      <c r="H2023" s="8"/>
      <c r="I2023" s="8" t="s">
        <v>6810</v>
      </c>
      <c r="J2023" s="8" t="s">
        <v>78</v>
      </c>
      <c r="K2023" s="8" t="s">
        <v>6780</v>
      </c>
      <c r="L2023" s="8"/>
      <c r="M2023" s="8"/>
      <c r="N2023" s="8" t="s">
        <v>62</v>
      </c>
      <c r="O2023" s="8" t="s">
        <v>63</v>
      </c>
      <c r="P2023" s="4" t="n">
        <v>66</v>
      </c>
      <c r="Q2023" s="8"/>
      <c r="R2023" s="4" t="s">
        <v>6809</v>
      </c>
      <c r="S2023" s="4"/>
    </row>
    <row r="2024" customFormat="false" ht="15" hidden="false" customHeight="false" outlineLevel="0" collapsed="false">
      <c r="A2024" s="4" t="s">
        <v>6811</v>
      </c>
      <c r="B2024" s="8" t="s">
        <v>6812</v>
      </c>
      <c r="C2024" s="8"/>
      <c r="D2024" s="8"/>
      <c r="E2024" s="8" t="s">
        <v>83</v>
      </c>
      <c r="F2024" s="8"/>
      <c r="G2024" s="8"/>
      <c r="H2024" s="8"/>
      <c r="I2024" s="8" t="s">
        <v>6813</v>
      </c>
      <c r="J2024" s="8" t="s">
        <v>78</v>
      </c>
      <c r="K2024" s="8" t="s">
        <v>6780</v>
      </c>
      <c r="L2024" s="8"/>
      <c r="M2024" s="8"/>
      <c r="N2024" s="8" t="s">
        <v>62</v>
      </c>
      <c r="O2024" s="8" t="s">
        <v>63</v>
      </c>
      <c r="P2024" s="4" t="n">
        <v>66</v>
      </c>
      <c r="Q2024" s="8"/>
      <c r="R2024" s="4" t="s">
        <v>6812</v>
      </c>
      <c r="S2024" s="4"/>
    </row>
    <row r="2025" customFormat="false" ht="15" hidden="false" customHeight="false" outlineLevel="0" collapsed="false">
      <c r="A2025" s="4" t="s">
        <v>6814</v>
      </c>
      <c r="B2025" s="8" t="s">
        <v>6815</v>
      </c>
      <c r="C2025" s="8"/>
      <c r="D2025" s="8"/>
      <c r="E2025" s="8" t="s">
        <v>83</v>
      </c>
      <c r="F2025" s="8"/>
      <c r="G2025" s="8"/>
      <c r="H2025" s="8"/>
      <c r="I2025" s="8" t="s">
        <v>6816</v>
      </c>
      <c r="J2025" s="8" t="s">
        <v>78</v>
      </c>
      <c r="K2025" s="8" t="s">
        <v>6780</v>
      </c>
      <c r="L2025" s="8"/>
      <c r="M2025" s="8"/>
      <c r="N2025" s="8" t="s">
        <v>62</v>
      </c>
      <c r="O2025" s="8" t="s">
        <v>63</v>
      </c>
      <c r="P2025" s="4" t="n">
        <v>66</v>
      </c>
      <c r="Q2025" s="8"/>
      <c r="R2025" s="4" t="s">
        <v>6815</v>
      </c>
      <c r="S2025" s="4"/>
    </row>
    <row r="2026" customFormat="false" ht="15" hidden="false" customHeight="false" outlineLevel="0" collapsed="false">
      <c r="A2026" s="4" t="s">
        <v>6817</v>
      </c>
      <c r="B2026" s="8" t="s">
        <v>6818</v>
      </c>
      <c r="C2026" s="8"/>
      <c r="D2026" s="8"/>
      <c r="E2026" s="8" t="s">
        <v>83</v>
      </c>
      <c r="F2026" s="8"/>
      <c r="G2026" s="8"/>
      <c r="H2026" s="8"/>
      <c r="I2026" s="8" t="s">
        <v>6819</v>
      </c>
      <c r="J2026" s="8" t="s">
        <v>78</v>
      </c>
      <c r="K2026" s="8" t="s">
        <v>6780</v>
      </c>
      <c r="L2026" s="8"/>
      <c r="M2026" s="8"/>
      <c r="N2026" s="8" t="s">
        <v>62</v>
      </c>
      <c r="O2026" s="8" t="s">
        <v>63</v>
      </c>
      <c r="P2026" s="4" t="n">
        <v>66</v>
      </c>
      <c r="Q2026" s="8"/>
      <c r="R2026" s="4" t="s">
        <v>6818</v>
      </c>
      <c r="S2026" s="4"/>
    </row>
    <row r="2027" customFormat="false" ht="15" hidden="false" customHeight="false" outlineLevel="0" collapsed="false">
      <c r="A2027" s="4" t="s">
        <v>6820</v>
      </c>
      <c r="B2027" s="8" t="s">
        <v>6821</v>
      </c>
      <c r="C2027" s="8"/>
      <c r="D2027" s="8"/>
      <c r="E2027" s="8" t="s">
        <v>83</v>
      </c>
      <c r="F2027" s="8"/>
      <c r="G2027" s="8"/>
      <c r="H2027" s="8"/>
      <c r="I2027" s="8" t="s">
        <v>6822</v>
      </c>
      <c r="J2027" s="8" t="s">
        <v>78</v>
      </c>
      <c r="K2027" s="8" t="s">
        <v>6780</v>
      </c>
      <c r="L2027" s="8"/>
      <c r="M2027" s="8"/>
      <c r="N2027" s="8" t="s">
        <v>62</v>
      </c>
      <c r="O2027" s="8" t="s">
        <v>63</v>
      </c>
      <c r="P2027" s="4" t="n">
        <v>66</v>
      </c>
      <c r="Q2027" s="8"/>
      <c r="R2027" s="4" t="s">
        <v>6821</v>
      </c>
      <c r="S2027" s="4"/>
    </row>
    <row r="2028" customFormat="false" ht="15" hidden="false" customHeight="false" outlineLevel="0" collapsed="false">
      <c r="A2028" s="4" t="s">
        <v>6823</v>
      </c>
      <c r="B2028" s="8" t="s">
        <v>6824</v>
      </c>
      <c r="C2028" s="8"/>
      <c r="D2028" s="8"/>
      <c r="E2028" s="8" t="s">
        <v>83</v>
      </c>
      <c r="F2028" s="8"/>
      <c r="G2028" s="8"/>
      <c r="H2028" s="8"/>
      <c r="I2028" s="8" t="s">
        <v>6825</v>
      </c>
      <c r="J2028" s="8" t="s">
        <v>78</v>
      </c>
      <c r="K2028" s="8" t="s">
        <v>6780</v>
      </c>
      <c r="L2028" s="8"/>
      <c r="M2028" s="8"/>
      <c r="N2028" s="8" t="s">
        <v>62</v>
      </c>
      <c r="O2028" s="8" t="s">
        <v>63</v>
      </c>
      <c r="P2028" s="4" t="n">
        <v>66</v>
      </c>
      <c r="Q2028" s="8"/>
      <c r="R2028" s="4" t="s">
        <v>6824</v>
      </c>
      <c r="S2028" s="4"/>
    </row>
    <row r="2029" customFormat="false" ht="15" hidden="false" customHeight="false" outlineLevel="0" collapsed="false">
      <c r="A2029" s="4" t="s">
        <v>6826</v>
      </c>
      <c r="B2029" s="8" t="s">
        <v>6827</v>
      </c>
      <c r="C2029" s="8"/>
      <c r="D2029" s="8"/>
      <c r="E2029" s="8" t="s">
        <v>83</v>
      </c>
      <c r="F2029" s="8"/>
      <c r="G2029" s="8"/>
      <c r="H2029" s="8"/>
      <c r="I2029" s="8" t="s">
        <v>6828</v>
      </c>
      <c r="J2029" s="8" t="s">
        <v>78</v>
      </c>
      <c r="K2029" s="8" t="s">
        <v>6780</v>
      </c>
      <c r="L2029" s="8"/>
      <c r="M2029" s="8"/>
      <c r="N2029" s="8" t="s">
        <v>62</v>
      </c>
      <c r="O2029" s="8" t="s">
        <v>63</v>
      </c>
      <c r="P2029" s="4" t="n">
        <v>66</v>
      </c>
      <c r="Q2029" s="8"/>
      <c r="R2029" s="4" t="s">
        <v>6827</v>
      </c>
      <c r="S2029" s="4"/>
    </row>
    <row r="2030" customFormat="false" ht="15" hidden="false" customHeight="false" outlineLevel="0" collapsed="false">
      <c r="A2030" s="4" t="s">
        <v>6829</v>
      </c>
      <c r="B2030" s="8" t="s">
        <v>6830</v>
      </c>
      <c r="C2030" s="8"/>
      <c r="D2030" s="8"/>
      <c r="E2030" s="8" t="s">
        <v>83</v>
      </c>
      <c r="F2030" s="8"/>
      <c r="G2030" s="8"/>
      <c r="H2030" s="8"/>
      <c r="I2030" s="8" t="s">
        <v>6831</v>
      </c>
      <c r="J2030" s="8" t="s">
        <v>78</v>
      </c>
      <c r="K2030" s="8" t="s">
        <v>6780</v>
      </c>
      <c r="L2030" s="8"/>
      <c r="M2030" s="8"/>
      <c r="N2030" s="8" t="s">
        <v>62</v>
      </c>
      <c r="O2030" s="8" t="s">
        <v>63</v>
      </c>
      <c r="P2030" s="4" t="n">
        <v>66</v>
      </c>
      <c r="Q2030" s="8"/>
      <c r="R2030" s="4" t="s">
        <v>6830</v>
      </c>
      <c r="S2030" s="4"/>
    </row>
    <row r="2031" customFormat="false" ht="15" hidden="false" customHeight="false" outlineLevel="0" collapsed="false">
      <c r="A2031" s="4" t="s">
        <v>6832</v>
      </c>
      <c r="B2031" s="8" t="s">
        <v>6833</v>
      </c>
      <c r="C2031" s="8"/>
      <c r="D2031" s="8"/>
      <c r="E2031" s="8" t="s">
        <v>83</v>
      </c>
      <c r="F2031" s="8"/>
      <c r="G2031" s="8"/>
      <c r="H2031" s="8"/>
      <c r="I2031" s="8" t="s">
        <v>6834</v>
      </c>
      <c r="J2031" s="8" t="s">
        <v>78</v>
      </c>
      <c r="K2031" s="8" t="s">
        <v>6780</v>
      </c>
      <c r="L2031" s="8"/>
      <c r="M2031" s="8"/>
      <c r="N2031" s="8" t="s">
        <v>62</v>
      </c>
      <c r="O2031" s="8" t="s">
        <v>63</v>
      </c>
      <c r="P2031" s="4" t="n">
        <v>66</v>
      </c>
      <c r="Q2031" s="8"/>
      <c r="R2031" s="4" t="s">
        <v>6833</v>
      </c>
      <c r="S2031" s="4"/>
    </row>
    <row r="2032" customFormat="false" ht="15" hidden="false" customHeight="false" outlineLevel="0" collapsed="false">
      <c r="A2032" s="4" t="s">
        <v>6835</v>
      </c>
      <c r="B2032" s="8" t="s">
        <v>6836</v>
      </c>
      <c r="C2032" s="8"/>
      <c r="D2032" s="8"/>
      <c r="E2032" s="8" t="s">
        <v>83</v>
      </c>
      <c r="F2032" s="8"/>
      <c r="G2032" s="8"/>
      <c r="H2032" s="8"/>
      <c r="I2032" s="8" t="s">
        <v>6837</v>
      </c>
      <c r="J2032" s="8" t="s">
        <v>78</v>
      </c>
      <c r="K2032" s="8" t="s">
        <v>6780</v>
      </c>
      <c r="L2032" s="8"/>
      <c r="M2032" s="8"/>
      <c r="N2032" s="8" t="s">
        <v>62</v>
      </c>
      <c r="O2032" s="8" t="s">
        <v>63</v>
      </c>
      <c r="P2032" s="4" t="n">
        <v>66</v>
      </c>
      <c r="Q2032" s="8"/>
      <c r="R2032" s="4" t="s">
        <v>6836</v>
      </c>
      <c r="S2032" s="4"/>
    </row>
    <row r="2033" customFormat="false" ht="15" hidden="false" customHeight="false" outlineLevel="0" collapsed="false">
      <c r="A2033" s="4" t="s">
        <v>6838</v>
      </c>
      <c r="B2033" s="8" t="s">
        <v>6839</v>
      </c>
      <c r="C2033" s="8"/>
      <c r="D2033" s="8"/>
      <c r="E2033" s="8" t="s">
        <v>83</v>
      </c>
      <c r="F2033" s="8"/>
      <c r="G2033" s="8"/>
      <c r="H2033" s="8"/>
      <c r="I2033" s="8" t="s">
        <v>6840</v>
      </c>
      <c r="J2033" s="8" t="s">
        <v>78</v>
      </c>
      <c r="K2033" s="8" t="s">
        <v>6780</v>
      </c>
      <c r="L2033" s="8"/>
      <c r="M2033" s="8"/>
      <c r="N2033" s="8" t="s">
        <v>62</v>
      </c>
      <c r="O2033" s="8" t="s">
        <v>63</v>
      </c>
      <c r="P2033" s="4" t="n">
        <v>66</v>
      </c>
      <c r="Q2033" s="8"/>
      <c r="R2033" s="4" t="s">
        <v>6839</v>
      </c>
      <c r="S2033" s="4" t="n">
        <v>863</v>
      </c>
    </row>
    <row r="2034" customFormat="false" ht="15" hidden="false" customHeight="false" outlineLevel="0" collapsed="false">
      <c r="A2034" s="4" t="s">
        <v>6841</v>
      </c>
      <c r="B2034" s="8" t="s">
        <v>6842</v>
      </c>
      <c r="C2034" s="8"/>
      <c r="D2034" s="8"/>
      <c r="E2034" s="8" t="s">
        <v>83</v>
      </c>
      <c r="F2034" s="8"/>
      <c r="G2034" s="8"/>
      <c r="H2034" s="8"/>
      <c r="I2034" s="8" t="s">
        <v>6843</v>
      </c>
      <c r="J2034" s="8" t="s">
        <v>78</v>
      </c>
      <c r="K2034" s="8" t="s">
        <v>6780</v>
      </c>
      <c r="L2034" s="8"/>
      <c r="M2034" s="8"/>
      <c r="N2034" s="8" t="s">
        <v>62</v>
      </c>
      <c r="O2034" s="8" t="s">
        <v>63</v>
      </c>
      <c r="P2034" s="4" t="n">
        <v>66</v>
      </c>
      <c r="Q2034" s="8"/>
      <c r="R2034" s="4" t="s">
        <v>6842</v>
      </c>
      <c r="S2034" s="4"/>
    </row>
    <row r="2035" customFormat="false" ht="15" hidden="false" customHeight="false" outlineLevel="0" collapsed="false">
      <c r="A2035" s="4" t="s">
        <v>6844</v>
      </c>
      <c r="B2035" s="8" t="s">
        <v>6845</v>
      </c>
      <c r="C2035" s="8"/>
      <c r="D2035" s="8"/>
      <c r="E2035" s="8" t="s">
        <v>83</v>
      </c>
      <c r="F2035" s="8"/>
      <c r="G2035" s="8"/>
      <c r="H2035" s="8"/>
      <c r="I2035" s="8" t="s">
        <v>6846</v>
      </c>
      <c r="J2035" s="8" t="s">
        <v>78</v>
      </c>
      <c r="K2035" s="8" t="s">
        <v>6780</v>
      </c>
      <c r="L2035" s="8"/>
      <c r="M2035" s="8"/>
      <c r="N2035" s="8" t="s">
        <v>62</v>
      </c>
      <c r="O2035" s="8" t="s">
        <v>63</v>
      </c>
      <c r="P2035" s="4" t="n">
        <v>66</v>
      </c>
      <c r="Q2035" s="8"/>
      <c r="R2035" s="4" t="s">
        <v>6845</v>
      </c>
      <c r="S2035" s="4"/>
    </row>
    <row r="2036" customFormat="false" ht="15" hidden="false" customHeight="false" outlineLevel="0" collapsed="false">
      <c r="A2036" s="4" t="s">
        <v>6847</v>
      </c>
      <c r="B2036" s="8" t="s">
        <v>6848</v>
      </c>
      <c r="C2036" s="8"/>
      <c r="D2036" s="8"/>
      <c r="E2036" s="8" t="s">
        <v>83</v>
      </c>
      <c r="F2036" s="8"/>
      <c r="G2036" s="8"/>
      <c r="H2036" s="8"/>
      <c r="I2036" s="8" t="s">
        <v>6849</v>
      </c>
      <c r="J2036" s="8" t="s">
        <v>78</v>
      </c>
      <c r="K2036" s="8" t="s">
        <v>6780</v>
      </c>
      <c r="L2036" s="8"/>
      <c r="M2036" s="8"/>
      <c r="N2036" s="8" t="s">
        <v>62</v>
      </c>
      <c r="O2036" s="8" t="s">
        <v>63</v>
      </c>
      <c r="P2036" s="4" t="n">
        <v>66</v>
      </c>
      <c r="Q2036" s="8"/>
      <c r="R2036" s="4" t="s">
        <v>6848</v>
      </c>
      <c r="S2036" s="4"/>
    </row>
    <row r="2037" customFormat="false" ht="15" hidden="false" customHeight="false" outlineLevel="0" collapsed="false">
      <c r="A2037" s="4" t="s">
        <v>6850</v>
      </c>
      <c r="B2037" s="8" t="s">
        <v>6851</v>
      </c>
      <c r="C2037" s="8"/>
      <c r="D2037" s="8"/>
      <c r="E2037" s="8" t="s">
        <v>83</v>
      </c>
      <c r="F2037" s="8"/>
      <c r="G2037" s="8"/>
      <c r="H2037" s="8"/>
      <c r="I2037" s="8" t="s">
        <v>6852</v>
      </c>
      <c r="J2037" s="8" t="s">
        <v>78</v>
      </c>
      <c r="K2037" s="8" t="s">
        <v>6780</v>
      </c>
      <c r="L2037" s="8"/>
      <c r="M2037" s="8"/>
      <c r="N2037" s="8" t="s">
        <v>62</v>
      </c>
      <c r="O2037" s="8" t="s">
        <v>63</v>
      </c>
      <c r="P2037" s="4" t="n">
        <v>66</v>
      </c>
      <c r="Q2037" s="8"/>
      <c r="R2037" s="4" t="s">
        <v>6851</v>
      </c>
      <c r="S2037" s="4"/>
    </row>
    <row r="2038" customFormat="false" ht="15" hidden="false" customHeight="false" outlineLevel="0" collapsed="false">
      <c r="A2038" s="4" t="s">
        <v>6853</v>
      </c>
      <c r="B2038" s="8" t="s">
        <v>6854</v>
      </c>
      <c r="C2038" s="8"/>
      <c r="D2038" s="8"/>
      <c r="E2038" s="8" t="s">
        <v>83</v>
      </c>
      <c r="F2038" s="8"/>
      <c r="G2038" s="8"/>
      <c r="H2038" s="8"/>
      <c r="I2038" s="8" t="s">
        <v>6855</v>
      </c>
      <c r="J2038" s="8" t="s">
        <v>78</v>
      </c>
      <c r="K2038" s="8" t="s">
        <v>6780</v>
      </c>
      <c r="L2038" s="8"/>
      <c r="M2038" s="8"/>
      <c r="N2038" s="8" t="s">
        <v>62</v>
      </c>
      <c r="O2038" s="8" t="s">
        <v>63</v>
      </c>
      <c r="P2038" s="4" t="n">
        <v>66</v>
      </c>
      <c r="Q2038" s="8"/>
      <c r="R2038" s="4" t="s">
        <v>6854</v>
      </c>
      <c r="S2038" s="4"/>
    </row>
    <row r="2039" customFormat="false" ht="15" hidden="false" customHeight="false" outlineLevel="0" collapsed="false">
      <c r="A2039" s="4" t="s">
        <v>6856</v>
      </c>
      <c r="B2039" s="8" t="s">
        <v>6857</v>
      </c>
      <c r="C2039" s="8"/>
      <c r="D2039" s="8"/>
      <c r="E2039" s="8" t="s">
        <v>83</v>
      </c>
      <c r="F2039" s="8"/>
      <c r="G2039" s="8"/>
      <c r="H2039" s="8"/>
      <c r="I2039" s="8" t="s">
        <v>6858</v>
      </c>
      <c r="J2039" s="8" t="s">
        <v>78</v>
      </c>
      <c r="K2039" s="8" t="s">
        <v>6780</v>
      </c>
      <c r="L2039" s="8"/>
      <c r="M2039" s="8"/>
      <c r="N2039" s="8" t="s">
        <v>62</v>
      </c>
      <c r="O2039" s="8" t="s">
        <v>63</v>
      </c>
      <c r="P2039" s="4" t="n">
        <v>66</v>
      </c>
      <c r="Q2039" s="8"/>
      <c r="R2039" s="4" t="s">
        <v>6857</v>
      </c>
      <c r="S2039" s="4"/>
    </row>
    <row r="2040" customFormat="false" ht="15" hidden="false" customHeight="false" outlineLevel="0" collapsed="false">
      <c r="A2040" s="4" t="s">
        <v>6859</v>
      </c>
      <c r="B2040" s="8" t="s">
        <v>6860</v>
      </c>
      <c r="C2040" s="8"/>
      <c r="D2040" s="8"/>
      <c r="E2040" s="8" t="s">
        <v>83</v>
      </c>
      <c r="F2040" s="8"/>
      <c r="G2040" s="8"/>
      <c r="H2040" s="8"/>
      <c r="I2040" s="8" t="s">
        <v>6861</v>
      </c>
      <c r="J2040" s="8" t="s">
        <v>78</v>
      </c>
      <c r="K2040" s="8" t="s">
        <v>6780</v>
      </c>
      <c r="L2040" s="8"/>
      <c r="M2040" s="8"/>
      <c r="N2040" s="8" t="s">
        <v>62</v>
      </c>
      <c r="O2040" s="8" t="s">
        <v>63</v>
      </c>
      <c r="P2040" s="4" t="n">
        <v>66</v>
      </c>
      <c r="Q2040" s="8"/>
      <c r="R2040" s="4" t="s">
        <v>6860</v>
      </c>
      <c r="S2040" s="4"/>
    </row>
    <row r="2041" customFormat="false" ht="15" hidden="false" customHeight="false" outlineLevel="0" collapsed="false">
      <c r="A2041" s="4" t="s">
        <v>6862</v>
      </c>
      <c r="B2041" s="8" t="s">
        <v>6863</v>
      </c>
      <c r="C2041" s="8"/>
      <c r="D2041" s="8"/>
      <c r="E2041" s="8" t="s">
        <v>83</v>
      </c>
      <c r="F2041" s="8"/>
      <c r="G2041" s="8"/>
      <c r="H2041" s="8"/>
      <c r="I2041" s="8" t="s">
        <v>6864</v>
      </c>
      <c r="J2041" s="8" t="s">
        <v>78</v>
      </c>
      <c r="K2041" s="8" t="s">
        <v>6780</v>
      </c>
      <c r="L2041" s="8"/>
      <c r="M2041" s="8"/>
      <c r="N2041" s="8" t="s">
        <v>62</v>
      </c>
      <c r="O2041" s="8" t="s">
        <v>63</v>
      </c>
      <c r="P2041" s="4" t="n">
        <v>66</v>
      </c>
      <c r="Q2041" s="8"/>
      <c r="R2041" s="4" t="s">
        <v>6863</v>
      </c>
      <c r="S2041" s="4"/>
    </row>
    <row r="2042" customFormat="false" ht="15" hidden="false" customHeight="false" outlineLevel="0" collapsed="false">
      <c r="A2042" s="4" t="s">
        <v>6865</v>
      </c>
      <c r="B2042" s="8" t="s">
        <v>6866</v>
      </c>
      <c r="C2042" s="8"/>
      <c r="D2042" s="8"/>
      <c r="E2042" s="8" t="s">
        <v>83</v>
      </c>
      <c r="F2042" s="8"/>
      <c r="G2042" s="8"/>
      <c r="H2042" s="8"/>
      <c r="I2042" s="8" t="s">
        <v>6867</v>
      </c>
      <c r="J2042" s="8" t="s">
        <v>78</v>
      </c>
      <c r="K2042" s="8" t="s">
        <v>6780</v>
      </c>
      <c r="L2042" s="8"/>
      <c r="M2042" s="8"/>
      <c r="N2042" s="8" t="s">
        <v>62</v>
      </c>
      <c r="O2042" s="8" t="s">
        <v>63</v>
      </c>
      <c r="P2042" s="4" t="n">
        <v>66</v>
      </c>
      <c r="Q2042" s="8"/>
      <c r="R2042" s="4" t="s">
        <v>6866</v>
      </c>
      <c r="S2042" s="4"/>
    </row>
    <row r="2043" customFormat="false" ht="15" hidden="false" customHeight="false" outlineLevel="0" collapsed="false">
      <c r="A2043" s="4" t="s">
        <v>6868</v>
      </c>
      <c r="B2043" s="8" t="s">
        <v>6869</v>
      </c>
      <c r="C2043" s="8"/>
      <c r="D2043" s="8"/>
      <c r="E2043" s="8" t="s">
        <v>83</v>
      </c>
      <c r="F2043" s="8"/>
      <c r="G2043" s="8"/>
      <c r="H2043" s="8"/>
      <c r="I2043" s="8" t="s">
        <v>6870</v>
      </c>
      <c r="J2043" s="8" t="s">
        <v>78</v>
      </c>
      <c r="K2043" s="8" t="s">
        <v>6780</v>
      </c>
      <c r="L2043" s="8"/>
      <c r="M2043" s="8"/>
      <c r="N2043" s="8" t="s">
        <v>62</v>
      </c>
      <c r="O2043" s="8" t="s">
        <v>63</v>
      </c>
      <c r="P2043" s="4" t="n">
        <v>66</v>
      </c>
      <c r="Q2043" s="8"/>
      <c r="R2043" s="4" t="s">
        <v>6869</v>
      </c>
      <c r="S2043" s="4"/>
    </row>
    <row r="2044" customFormat="false" ht="15" hidden="false" customHeight="false" outlineLevel="0" collapsed="false">
      <c r="A2044" s="4" t="s">
        <v>6871</v>
      </c>
      <c r="B2044" s="8" t="s">
        <v>6872</v>
      </c>
      <c r="C2044" s="8"/>
      <c r="D2044" s="8"/>
      <c r="E2044" s="8" t="s">
        <v>83</v>
      </c>
      <c r="F2044" s="8"/>
      <c r="G2044" s="8"/>
      <c r="H2044" s="8"/>
      <c r="I2044" s="8" t="s">
        <v>6873</v>
      </c>
      <c r="J2044" s="8" t="s">
        <v>78</v>
      </c>
      <c r="K2044" s="8" t="s">
        <v>6780</v>
      </c>
      <c r="L2044" s="8"/>
      <c r="M2044" s="8"/>
      <c r="N2044" s="8" t="s">
        <v>62</v>
      </c>
      <c r="O2044" s="8" t="s">
        <v>63</v>
      </c>
      <c r="P2044" s="4" t="n">
        <v>66</v>
      </c>
      <c r="Q2044" s="8"/>
      <c r="R2044" s="4" t="s">
        <v>6872</v>
      </c>
      <c r="S2044" s="4"/>
    </row>
    <row r="2045" customFormat="false" ht="15" hidden="false" customHeight="false" outlineLevel="0" collapsed="false">
      <c r="A2045" s="4" t="s">
        <v>6874</v>
      </c>
      <c r="B2045" s="8" t="s">
        <v>6875</v>
      </c>
      <c r="C2045" s="8"/>
      <c r="D2045" s="8"/>
      <c r="E2045" s="8" t="s">
        <v>83</v>
      </c>
      <c r="F2045" s="8"/>
      <c r="G2045" s="8"/>
      <c r="H2045" s="8"/>
      <c r="I2045" s="8" t="s">
        <v>6876</v>
      </c>
      <c r="J2045" s="8" t="s">
        <v>78</v>
      </c>
      <c r="K2045" s="8" t="s">
        <v>6780</v>
      </c>
      <c r="L2045" s="8"/>
      <c r="M2045" s="8"/>
      <c r="N2045" s="8" t="s">
        <v>62</v>
      </c>
      <c r="O2045" s="8" t="s">
        <v>63</v>
      </c>
      <c r="P2045" s="4" t="n">
        <v>66</v>
      </c>
      <c r="Q2045" s="8"/>
      <c r="R2045" s="4" t="s">
        <v>6875</v>
      </c>
      <c r="S2045" s="4"/>
    </row>
    <row r="2046" customFormat="false" ht="15" hidden="false" customHeight="false" outlineLevel="0" collapsed="false">
      <c r="A2046" s="4" t="s">
        <v>6877</v>
      </c>
      <c r="B2046" s="8" t="s">
        <v>6878</v>
      </c>
      <c r="C2046" s="8"/>
      <c r="D2046" s="8"/>
      <c r="E2046" s="8" t="s">
        <v>83</v>
      </c>
      <c r="F2046" s="8"/>
      <c r="G2046" s="8"/>
      <c r="H2046" s="8"/>
      <c r="I2046" s="8" t="s">
        <v>6879</v>
      </c>
      <c r="J2046" s="8" t="s">
        <v>78</v>
      </c>
      <c r="K2046" s="8" t="s">
        <v>6780</v>
      </c>
      <c r="L2046" s="8"/>
      <c r="M2046" s="8"/>
      <c r="N2046" s="8" t="s">
        <v>62</v>
      </c>
      <c r="O2046" s="8" t="s">
        <v>63</v>
      </c>
      <c r="P2046" s="4" t="n">
        <v>66</v>
      </c>
      <c r="Q2046" s="8"/>
      <c r="R2046" s="4" t="s">
        <v>6878</v>
      </c>
      <c r="S2046" s="4"/>
    </row>
    <row r="2047" customFormat="false" ht="15" hidden="false" customHeight="false" outlineLevel="0" collapsed="false">
      <c r="A2047" s="4" t="s">
        <v>6880</v>
      </c>
      <c r="B2047" s="8" t="s">
        <v>6881</v>
      </c>
      <c r="C2047" s="8"/>
      <c r="D2047" s="8"/>
      <c r="E2047" s="8" t="s">
        <v>83</v>
      </c>
      <c r="F2047" s="8"/>
      <c r="G2047" s="8"/>
      <c r="H2047" s="8"/>
      <c r="I2047" s="8" t="s">
        <v>6882</v>
      </c>
      <c r="J2047" s="8" t="s">
        <v>78</v>
      </c>
      <c r="K2047" s="8" t="s">
        <v>6780</v>
      </c>
      <c r="L2047" s="8"/>
      <c r="M2047" s="8"/>
      <c r="N2047" s="8" t="s">
        <v>62</v>
      </c>
      <c r="O2047" s="8" t="s">
        <v>63</v>
      </c>
      <c r="P2047" s="4" t="n">
        <v>66</v>
      </c>
      <c r="Q2047" s="8"/>
      <c r="R2047" s="4" t="s">
        <v>6881</v>
      </c>
      <c r="S2047" s="4"/>
    </row>
    <row r="2048" customFormat="false" ht="15" hidden="false" customHeight="false" outlineLevel="0" collapsed="false">
      <c r="A2048" s="4" t="s">
        <v>6883</v>
      </c>
      <c r="B2048" s="8" t="s">
        <v>6884</v>
      </c>
      <c r="C2048" s="8"/>
      <c r="D2048" s="8"/>
      <c r="E2048" s="8" t="s">
        <v>83</v>
      </c>
      <c r="F2048" s="8"/>
      <c r="G2048" s="8"/>
      <c r="H2048" s="8"/>
      <c r="I2048" s="8" t="s">
        <v>6885</v>
      </c>
      <c r="J2048" s="8" t="s">
        <v>78</v>
      </c>
      <c r="K2048" s="8" t="s">
        <v>6780</v>
      </c>
      <c r="L2048" s="8"/>
      <c r="M2048" s="8"/>
      <c r="N2048" s="8" t="s">
        <v>62</v>
      </c>
      <c r="O2048" s="8" t="s">
        <v>63</v>
      </c>
      <c r="P2048" s="4" t="n">
        <v>66</v>
      </c>
      <c r="Q2048" s="8"/>
      <c r="R2048" s="4" t="s">
        <v>6884</v>
      </c>
      <c r="S2048" s="4"/>
    </row>
    <row r="2049" customFormat="false" ht="15" hidden="false" customHeight="false" outlineLevel="0" collapsed="false">
      <c r="A2049" s="4" t="s">
        <v>6886</v>
      </c>
      <c r="B2049" s="8" t="s">
        <v>6887</v>
      </c>
      <c r="C2049" s="8"/>
      <c r="D2049" s="8"/>
      <c r="E2049" s="8" t="s">
        <v>83</v>
      </c>
      <c r="F2049" s="8"/>
      <c r="G2049" s="8"/>
      <c r="H2049" s="8"/>
      <c r="I2049" s="8" t="s">
        <v>6888</v>
      </c>
      <c r="J2049" s="8" t="s">
        <v>78</v>
      </c>
      <c r="K2049" s="8" t="s">
        <v>6780</v>
      </c>
      <c r="L2049" s="8"/>
      <c r="M2049" s="8"/>
      <c r="N2049" s="8" t="s">
        <v>62</v>
      </c>
      <c r="O2049" s="8" t="s">
        <v>63</v>
      </c>
      <c r="P2049" s="4" t="n">
        <v>67</v>
      </c>
      <c r="Q2049" s="8"/>
      <c r="R2049" s="4" t="s">
        <v>6887</v>
      </c>
      <c r="S2049" s="4"/>
    </row>
    <row r="2050" customFormat="false" ht="15" hidden="false" customHeight="false" outlineLevel="0" collapsed="false">
      <c r="A2050" s="4" t="s">
        <v>6889</v>
      </c>
      <c r="B2050" s="8" t="s">
        <v>6890</v>
      </c>
      <c r="C2050" s="8"/>
      <c r="D2050" s="8"/>
      <c r="E2050" s="8" t="s">
        <v>83</v>
      </c>
      <c r="F2050" s="8"/>
      <c r="G2050" s="8"/>
      <c r="H2050" s="8"/>
      <c r="I2050" s="8" t="s">
        <v>6891</v>
      </c>
      <c r="J2050" s="8" t="s">
        <v>78</v>
      </c>
      <c r="K2050" s="8" t="s">
        <v>6780</v>
      </c>
      <c r="L2050" s="8"/>
      <c r="M2050" s="8"/>
      <c r="N2050" s="8" t="s">
        <v>62</v>
      </c>
      <c r="O2050" s="8" t="s">
        <v>63</v>
      </c>
      <c r="P2050" s="4" t="n">
        <v>67</v>
      </c>
      <c r="Q2050" s="8"/>
      <c r="R2050" s="4" t="s">
        <v>6890</v>
      </c>
      <c r="S2050" s="4"/>
    </row>
    <row r="2051" customFormat="false" ht="15" hidden="false" customHeight="false" outlineLevel="0" collapsed="false">
      <c r="A2051" s="4" t="s">
        <v>6892</v>
      </c>
      <c r="B2051" s="8" t="s">
        <v>6893</v>
      </c>
      <c r="C2051" s="8"/>
      <c r="D2051" s="8"/>
      <c r="E2051" s="8" t="s">
        <v>83</v>
      </c>
      <c r="F2051" s="8"/>
      <c r="G2051" s="8"/>
      <c r="H2051" s="8"/>
      <c r="I2051" s="8" t="s">
        <v>6894</v>
      </c>
      <c r="J2051" s="8" t="s">
        <v>78</v>
      </c>
      <c r="K2051" s="8" t="s">
        <v>6780</v>
      </c>
      <c r="L2051" s="8"/>
      <c r="M2051" s="8"/>
      <c r="N2051" s="8" t="s">
        <v>62</v>
      </c>
      <c r="O2051" s="8" t="s">
        <v>63</v>
      </c>
      <c r="P2051" s="4" t="n">
        <v>67</v>
      </c>
      <c r="Q2051" s="8"/>
      <c r="R2051" s="4" t="s">
        <v>6893</v>
      </c>
      <c r="S2051" s="4"/>
    </row>
    <row r="2052" customFormat="false" ht="15" hidden="false" customHeight="false" outlineLevel="0" collapsed="false">
      <c r="A2052" s="4" t="s">
        <v>6895</v>
      </c>
      <c r="B2052" s="8" t="s">
        <v>240</v>
      </c>
      <c r="C2052" s="8"/>
      <c r="D2052" s="8"/>
      <c r="E2052" s="8" t="s">
        <v>83</v>
      </c>
      <c r="F2052" s="8"/>
      <c r="G2052" s="8"/>
      <c r="H2052" s="8"/>
      <c r="I2052" s="8" t="s">
        <v>6896</v>
      </c>
      <c r="J2052" s="8" t="s">
        <v>78</v>
      </c>
      <c r="K2052" s="8" t="s">
        <v>6780</v>
      </c>
      <c r="L2052" s="8"/>
      <c r="M2052" s="8"/>
      <c r="N2052" s="8" t="s">
        <v>62</v>
      </c>
      <c r="O2052" s="8" t="s">
        <v>63</v>
      </c>
      <c r="P2052" s="4" t="n">
        <v>67</v>
      </c>
      <c r="Q2052" s="8"/>
      <c r="R2052" s="4" t="s">
        <v>240</v>
      </c>
      <c r="S2052" s="4" t="n">
        <v>927</v>
      </c>
    </row>
    <row r="2053" customFormat="false" ht="15" hidden="false" customHeight="false" outlineLevel="0" collapsed="false">
      <c r="A2053" s="4" t="s">
        <v>6897</v>
      </c>
      <c r="B2053" s="8" t="s">
        <v>6898</v>
      </c>
      <c r="C2053" s="8"/>
      <c r="D2053" s="8"/>
      <c r="E2053" s="8" t="s">
        <v>83</v>
      </c>
      <c r="F2053" s="8"/>
      <c r="G2053" s="8"/>
      <c r="H2053" s="8"/>
      <c r="I2053" s="8" t="s">
        <v>6899</v>
      </c>
      <c r="J2053" s="8" t="s">
        <v>78</v>
      </c>
      <c r="K2053" s="8" t="s">
        <v>6780</v>
      </c>
      <c r="L2053" s="8"/>
      <c r="M2053" s="8"/>
      <c r="N2053" s="8" t="s">
        <v>62</v>
      </c>
      <c r="O2053" s="8" t="s">
        <v>63</v>
      </c>
      <c r="P2053" s="4" t="n">
        <v>67</v>
      </c>
      <c r="Q2053" s="8"/>
      <c r="R2053" s="4" t="s">
        <v>6898</v>
      </c>
      <c r="S2053" s="4"/>
    </row>
    <row r="2054" customFormat="false" ht="15" hidden="false" customHeight="false" outlineLevel="0" collapsed="false">
      <c r="A2054" s="4" t="s">
        <v>6900</v>
      </c>
      <c r="B2054" s="8" t="s">
        <v>6901</v>
      </c>
      <c r="C2054" s="8"/>
      <c r="D2054" s="8"/>
      <c r="E2054" s="8" t="s">
        <v>83</v>
      </c>
      <c r="F2054" s="8"/>
      <c r="G2054" s="8"/>
      <c r="H2054" s="8"/>
      <c r="I2054" s="8" t="s">
        <v>6902</v>
      </c>
      <c r="J2054" s="8" t="s">
        <v>78</v>
      </c>
      <c r="K2054" s="8" t="s">
        <v>6780</v>
      </c>
      <c r="L2054" s="8"/>
      <c r="M2054" s="8"/>
      <c r="N2054" s="8" t="s">
        <v>62</v>
      </c>
      <c r="O2054" s="8" t="s">
        <v>63</v>
      </c>
      <c r="P2054" s="4" t="n">
        <v>67</v>
      </c>
      <c r="Q2054" s="8"/>
      <c r="R2054" s="4" t="s">
        <v>6901</v>
      </c>
      <c r="S2054" s="4" t="n">
        <v>584</v>
      </c>
    </row>
    <row r="2055" customFormat="false" ht="15" hidden="false" customHeight="false" outlineLevel="0" collapsed="false">
      <c r="A2055" s="4" t="s">
        <v>6903</v>
      </c>
      <c r="B2055" s="8" t="s">
        <v>6904</v>
      </c>
      <c r="C2055" s="8"/>
      <c r="D2055" s="8"/>
      <c r="E2055" s="8" t="s">
        <v>83</v>
      </c>
      <c r="F2055" s="8"/>
      <c r="G2055" s="8"/>
      <c r="H2055" s="8"/>
      <c r="I2055" s="8" t="s">
        <v>6905</v>
      </c>
      <c r="J2055" s="8" t="s">
        <v>78</v>
      </c>
      <c r="K2055" s="8" t="s">
        <v>6780</v>
      </c>
      <c r="L2055" s="8"/>
      <c r="M2055" s="8"/>
      <c r="N2055" s="8" t="s">
        <v>62</v>
      </c>
      <c r="O2055" s="8" t="s">
        <v>63</v>
      </c>
      <c r="P2055" s="4" t="n">
        <v>67</v>
      </c>
      <c r="Q2055" s="8"/>
      <c r="R2055" s="4" t="s">
        <v>6904</v>
      </c>
      <c r="S2055" s="4" t="n">
        <v>115</v>
      </c>
    </row>
    <row r="2056" customFormat="false" ht="15" hidden="false" customHeight="false" outlineLevel="0" collapsed="false">
      <c r="A2056" s="4" t="s">
        <v>6906</v>
      </c>
      <c r="B2056" s="8" t="s">
        <v>6907</v>
      </c>
      <c r="C2056" s="8"/>
      <c r="D2056" s="8"/>
      <c r="E2056" s="8" t="s">
        <v>83</v>
      </c>
      <c r="F2056" s="8"/>
      <c r="G2056" s="8"/>
      <c r="H2056" s="8"/>
      <c r="I2056" s="8" t="s">
        <v>6908</v>
      </c>
      <c r="J2056" s="8" t="s">
        <v>78</v>
      </c>
      <c r="K2056" s="8" t="s">
        <v>6780</v>
      </c>
      <c r="L2056" s="8"/>
      <c r="M2056" s="8"/>
      <c r="N2056" s="8" t="s">
        <v>62</v>
      </c>
      <c r="O2056" s="8" t="s">
        <v>63</v>
      </c>
      <c r="P2056" s="4" t="n">
        <v>67</v>
      </c>
      <c r="Q2056" s="8"/>
      <c r="R2056" s="4" t="s">
        <v>6907</v>
      </c>
      <c r="S2056" s="4"/>
    </row>
    <row r="2057" customFormat="false" ht="15" hidden="false" customHeight="false" outlineLevel="0" collapsed="false">
      <c r="A2057" s="4" t="s">
        <v>6909</v>
      </c>
      <c r="B2057" s="8" t="s">
        <v>6910</v>
      </c>
      <c r="C2057" s="8"/>
      <c r="D2057" s="8"/>
      <c r="E2057" s="8" t="s">
        <v>83</v>
      </c>
      <c r="F2057" s="8"/>
      <c r="G2057" s="8"/>
      <c r="H2057" s="8"/>
      <c r="I2057" s="8" t="s">
        <v>6911</v>
      </c>
      <c r="J2057" s="8" t="s">
        <v>78</v>
      </c>
      <c r="K2057" s="8" t="s">
        <v>6780</v>
      </c>
      <c r="L2057" s="8"/>
      <c r="M2057" s="8"/>
      <c r="N2057" s="8" t="s">
        <v>62</v>
      </c>
      <c r="O2057" s="8" t="s">
        <v>63</v>
      </c>
      <c r="P2057" s="4" t="n">
        <v>67</v>
      </c>
      <c r="Q2057" s="8"/>
      <c r="R2057" s="4" t="s">
        <v>6910</v>
      </c>
      <c r="S2057" s="4"/>
    </row>
    <row r="2058" customFormat="false" ht="15" hidden="false" customHeight="false" outlineLevel="0" collapsed="false">
      <c r="A2058" s="4" t="s">
        <v>6912</v>
      </c>
      <c r="B2058" s="8" t="s">
        <v>6913</v>
      </c>
      <c r="C2058" s="8"/>
      <c r="D2058" s="8"/>
      <c r="E2058" s="8" t="s">
        <v>83</v>
      </c>
      <c r="F2058" s="8"/>
      <c r="G2058" s="8"/>
      <c r="H2058" s="8"/>
      <c r="I2058" s="8" t="s">
        <v>6914</v>
      </c>
      <c r="J2058" s="8" t="s">
        <v>78</v>
      </c>
      <c r="K2058" s="8" t="s">
        <v>6780</v>
      </c>
      <c r="L2058" s="8"/>
      <c r="M2058" s="8"/>
      <c r="N2058" s="8" t="s">
        <v>62</v>
      </c>
      <c r="O2058" s="8" t="s">
        <v>63</v>
      </c>
      <c r="P2058" s="4" t="n">
        <v>67</v>
      </c>
      <c r="Q2058" s="8"/>
      <c r="R2058" s="4" t="s">
        <v>6913</v>
      </c>
      <c r="S2058" s="4"/>
    </row>
    <row r="2059" customFormat="false" ht="15" hidden="false" customHeight="false" outlineLevel="0" collapsed="false">
      <c r="A2059" s="4" t="s">
        <v>6915</v>
      </c>
      <c r="B2059" s="8" t="s">
        <v>6916</v>
      </c>
      <c r="C2059" s="8"/>
      <c r="D2059" s="8"/>
      <c r="E2059" s="8" t="s">
        <v>83</v>
      </c>
      <c r="F2059" s="8"/>
      <c r="G2059" s="8"/>
      <c r="H2059" s="8"/>
      <c r="I2059" s="8" t="s">
        <v>6917</v>
      </c>
      <c r="J2059" s="8" t="s">
        <v>78</v>
      </c>
      <c r="K2059" s="8" t="s">
        <v>6780</v>
      </c>
      <c r="L2059" s="8"/>
      <c r="M2059" s="8"/>
      <c r="N2059" s="8" t="s">
        <v>62</v>
      </c>
      <c r="O2059" s="8" t="s">
        <v>63</v>
      </c>
      <c r="P2059" s="4" t="n">
        <v>67</v>
      </c>
      <c r="Q2059" s="8"/>
      <c r="R2059" s="4" t="s">
        <v>6916</v>
      </c>
      <c r="S2059" s="4"/>
    </row>
    <row r="2060" customFormat="false" ht="15" hidden="false" customHeight="false" outlineLevel="0" collapsed="false">
      <c r="A2060" s="4" t="s">
        <v>6918</v>
      </c>
      <c r="B2060" s="8" t="s">
        <v>6919</v>
      </c>
      <c r="C2060" s="8"/>
      <c r="D2060" s="8"/>
      <c r="E2060" s="8" t="s">
        <v>83</v>
      </c>
      <c r="F2060" s="8"/>
      <c r="G2060" s="8"/>
      <c r="H2060" s="8"/>
      <c r="I2060" s="8" t="s">
        <v>6920</v>
      </c>
      <c r="J2060" s="8" t="s">
        <v>78</v>
      </c>
      <c r="K2060" s="8" t="s">
        <v>6780</v>
      </c>
      <c r="L2060" s="8"/>
      <c r="M2060" s="8"/>
      <c r="N2060" s="8" t="s">
        <v>62</v>
      </c>
      <c r="O2060" s="8" t="s">
        <v>63</v>
      </c>
      <c r="P2060" s="4" t="n">
        <v>67</v>
      </c>
      <c r="Q2060" s="8"/>
      <c r="R2060" s="4" t="s">
        <v>6919</v>
      </c>
      <c r="S2060" s="4"/>
    </row>
    <row r="2061" customFormat="false" ht="15" hidden="false" customHeight="false" outlineLevel="0" collapsed="false">
      <c r="A2061" s="4" t="s">
        <v>6921</v>
      </c>
      <c r="B2061" s="8" t="s">
        <v>6922</v>
      </c>
      <c r="C2061" s="8"/>
      <c r="D2061" s="8"/>
      <c r="E2061" s="8" t="s">
        <v>83</v>
      </c>
      <c r="F2061" s="8"/>
      <c r="G2061" s="8"/>
      <c r="H2061" s="8"/>
      <c r="I2061" s="8" t="s">
        <v>6923</v>
      </c>
      <c r="J2061" s="8" t="s">
        <v>78</v>
      </c>
      <c r="K2061" s="8" t="s">
        <v>6780</v>
      </c>
      <c r="L2061" s="8"/>
      <c r="M2061" s="8"/>
      <c r="N2061" s="8" t="s">
        <v>62</v>
      </c>
      <c r="O2061" s="8" t="s">
        <v>63</v>
      </c>
      <c r="P2061" s="4" t="n">
        <v>67</v>
      </c>
      <c r="Q2061" s="8"/>
      <c r="R2061" s="4" t="s">
        <v>6922</v>
      </c>
      <c r="S2061" s="4"/>
    </row>
    <row r="2062" customFormat="false" ht="15" hidden="false" customHeight="false" outlineLevel="0" collapsed="false">
      <c r="A2062" s="4" t="s">
        <v>6924</v>
      </c>
      <c r="B2062" s="8" t="s">
        <v>6925</v>
      </c>
      <c r="C2062" s="8"/>
      <c r="D2062" s="8"/>
      <c r="E2062" s="8" t="s">
        <v>83</v>
      </c>
      <c r="F2062" s="8"/>
      <c r="G2062" s="8"/>
      <c r="H2062" s="8"/>
      <c r="I2062" s="8" t="s">
        <v>6926</v>
      </c>
      <c r="J2062" s="8" t="s">
        <v>78</v>
      </c>
      <c r="K2062" s="8" t="s">
        <v>6780</v>
      </c>
      <c r="L2062" s="8"/>
      <c r="M2062" s="8"/>
      <c r="N2062" s="8" t="s">
        <v>62</v>
      </c>
      <c r="O2062" s="8" t="s">
        <v>63</v>
      </c>
      <c r="P2062" s="4" t="n">
        <v>67</v>
      </c>
      <c r="Q2062" s="8"/>
      <c r="R2062" s="4" t="s">
        <v>6925</v>
      </c>
      <c r="S2062" s="4"/>
    </row>
    <row r="2063" customFormat="false" ht="15" hidden="false" customHeight="false" outlineLevel="0" collapsed="false">
      <c r="A2063" s="4" t="s">
        <v>6927</v>
      </c>
      <c r="B2063" s="8" t="s">
        <v>6928</v>
      </c>
      <c r="C2063" s="8"/>
      <c r="D2063" s="8"/>
      <c r="E2063" s="8" t="s">
        <v>83</v>
      </c>
      <c r="F2063" s="8"/>
      <c r="G2063" s="8"/>
      <c r="H2063" s="8"/>
      <c r="I2063" s="8" t="s">
        <v>6929</v>
      </c>
      <c r="J2063" s="8" t="s">
        <v>78</v>
      </c>
      <c r="K2063" s="8" t="s">
        <v>6780</v>
      </c>
      <c r="L2063" s="8"/>
      <c r="M2063" s="8"/>
      <c r="N2063" s="8" t="s">
        <v>62</v>
      </c>
      <c r="O2063" s="8" t="s">
        <v>63</v>
      </c>
      <c r="P2063" s="4" t="n">
        <v>67</v>
      </c>
      <c r="Q2063" s="8"/>
      <c r="R2063" s="4" t="s">
        <v>6928</v>
      </c>
      <c r="S2063" s="4"/>
    </row>
    <row r="2064" customFormat="false" ht="15" hidden="false" customHeight="false" outlineLevel="0" collapsed="false">
      <c r="A2064" s="4" t="s">
        <v>6930</v>
      </c>
      <c r="B2064" s="8" t="s">
        <v>6931</v>
      </c>
      <c r="C2064" s="8"/>
      <c r="D2064" s="8"/>
      <c r="E2064" s="8" t="s">
        <v>83</v>
      </c>
      <c r="F2064" s="8"/>
      <c r="G2064" s="8"/>
      <c r="H2064" s="8"/>
      <c r="I2064" s="8" t="s">
        <v>6932</v>
      </c>
      <c r="J2064" s="8" t="s">
        <v>78</v>
      </c>
      <c r="K2064" s="8" t="s">
        <v>6780</v>
      </c>
      <c r="L2064" s="8"/>
      <c r="M2064" s="8"/>
      <c r="N2064" s="8" t="s">
        <v>62</v>
      </c>
      <c r="O2064" s="8" t="s">
        <v>63</v>
      </c>
      <c r="P2064" s="4" t="n">
        <v>67</v>
      </c>
      <c r="Q2064" s="8"/>
      <c r="R2064" s="4" t="s">
        <v>6931</v>
      </c>
      <c r="S2064" s="4"/>
    </row>
    <row r="2065" customFormat="false" ht="15" hidden="false" customHeight="false" outlineLevel="0" collapsed="false">
      <c r="A2065" s="4" t="s">
        <v>6933</v>
      </c>
      <c r="B2065" s="8" t="s">
        <v>6934</v>
      </c>
      <c r="C2065" s="8"/>
      <c r="D2065" s="8"/>
      <c r="E2065" s="8" t="s">
        <v>83</v>
      </c>
      <c r="F2065" s="8"/>
      <c r="G2065" s="8"/>
      <c r="H2065" s="8"/>
      <c r="I2065" s="8" t="s">
        <v>6935</v>
      </c>
      <c r="J2065" s="8" t="s">
        <v>78</v>
      </c>
      <c r="K2065" s="8" t="s">
        <v>6780</v>
      </c>
      <c r="L2065" s="8"/>
      <c r="M2065" s="8"/>
      <c r="N2065" s="8" t="s">
        <v>62</v>
      </c>
      <c r="O2065" s="8" t="s">
        <v>63</v>
      </c>
      <c r="P2065" s="4" t="n">
        <v>67</v>
      </c>
      <c r="Q2065" s="8"/>
      <c r="R2065" s="4" t="s">
        <v>6934</v>
      </c>
      <c r="S2065" s="4"/>
    </row>
    <row r="2066" customFormat="false" ht="15" hidden="false" customHeight="false" outlineLevel="0" collapsed="false">
      <c r="A2066" s="4" t="s">
        <v>6936</v>
      </c>
      <c r="B2066" s="8" t="s">
        <v>6937</v>
      </c>
      <c r="C2066" s="8"/>
      <c r="D2066" s="8"/>
      <c r="E2066" s="8" t="s">
        <v>83</v>
      </c>
      <c r="F2066" s="8"/>
      <c r="G2066" s="8"/>
      <c r="H2066" s="8"/>
      <c r="I2066" s="8" t="s">
        <v>6938</v>
      </c>
      <c r="J2066" s="8" t="s">
        <v>78</v>
      </c>
      <c r="K2066" s="8" t="s">
        <v>6780</v>
      </c>
      <c r="L2066" s="8"/>
      <c r="M2066" s="8"/>
      <c r="N2066" s="8" t="s">
        <v>62</v>
      </c>
      <c r="O2066" s="8" t="s">
        <v>63</v>
      </c>
      <c r="P2066" s="4" t="n">
        <v>67</v>
      </c>
      <c r="Q2066" s="8"/>
      <c r="R2066" s="4" t="s">
        <v>6937</v>
      </c>
      <c r="S2066" s="4"/>
    </row>
    <row r="2067" customFormat="false" ht="15" hidden="false" customHeight="false" outlineLevel="0" collapsed="false">
      <c r="A2067" s="4" t="s">
        <v>6939</v>
      </c>
      <c r="B2067" s="8" t="s">
        <v>6940</v>
      </c>
      <c r="C2067" s="8"/>
      <c r="D2067" s="8"/>
      <c r="E2067" s="8" t="s">
        <v>83</v>
      </c>
      <c r="F2067" s="8"/>
      <c r="G2067" s="8"/>
      <c r="H2067" s="8"/>
      <c r="I2067" s="8" t="s">
        <v>6941</v>
      </c>
      <c r="J2067" s="8" t="s">
        <v>78</v>
      </c>
      <c r="K2067" s="8" t="s">
        <v>6780</v>
      </c>
      <c r="L2067" s="8"/>
      <c r="M2067" s="8"/>
      <c r="N2067" s="8" t="s">
        <v>62</v>
      </c>
      <c r="O2067" s="8" t="s">
        <v>63</v>
      </c>
      <c r="P2067" s="4" t="n">
        <v>67</v>
      </c>
      <c r="Q2067" s="8"/>
      <c r="R2067" s="4" t="s">
        <v>6940</v>
      </c>
      <c r="S2067" s="4"/>
    </row>
    <row r="2068" customFormat="false" ht="15" hidden="false" customHeight="false" outlineLevel="0" collapsed="false">
      <c r="A2068" s="4" t="s">
        <v>6942</v>
      </c>
      <c r="B2068" s="8" t="s">
        <v>111</v>
      </c>
      <c r="C2068" s="8"/>
      <c r="D2068" s="8"/>
      <c r="E2068" s="8"/>
      <c r="F2068" s="8"/>
      <c r="G2068" s="8"/>
      <c r="H2068" s="8"/>
      <c r="I2068" s="8" t="s">
        <v>112</v>
      </c>
      <c r="J2068" s="8" t="s">
        <v>78</v>
      </c>
      <c r="K2068" s="8" t="s">
        <v>6943</v>
      </c>
      <c r="L2068" s="8"/>
      <c r="M2068" s="8"/>
      <c r="N2068" s="8" t="s">
        <v>62</v>
      </c>
      <c r="O2068" s="8" t="s">
        <v>63</v>
      </c>
      <c r="P2068" s="4" t="n">
        <v>67</v>
      </c>
      <c r="Q2068" s="8"/>
      <c r="R2068" s="4" t="s">
        <v>111</v>
      </c>
      <c r="S2068" s="4" t="n">
        <v>325</v>
      </c>
    </row>
    <row r="2069" customFormat="false" ht="15" hidden="false" customHeight="false" outlineLevel="0" collapsed="false">
      <c r="A2069" s="4" t="s">
        <v>6944</v>
      </c>
      <c r="B2069" s="8" t="s">
        <v>6945</v>
      </c>
      <c r="C2069" s="8"/>
      <c r="D2069" s="8"/>
      <c r="E2069" s="8"/>
      <c r="F2069" s="8"/>
      <c r="G2069" s="8"/>
      <c r="H2069" s="8"/>
      <c r="I2069" s="8" t="s">
        <v>6454</v>
      </c>
      <c r="J2069" s="8" t="s">
        <v>78</v>
      </c>
      <c r="K2069" s="8" t="s">
        <v>6943</v>
      </c>
      <c r="L2069" s="8"/>
      <c r="M2069" s="8"/>
      <c r="N2069" s="8" t="s">
        <v>62</v>
      </c>
      <c r="O2069" s="8" t="s">
        <v>63</v>
      </c>
      <c r="P2069" s="4" t="n">
        <v>67</v>
      </c>
      <c r="Q2069" s="8"/>
      <c r="R2069" s="4" t="s">
        <v>6945</v>
      </c>
      <c r="S2069" s="4"/>
    </row>
    <row r="2070" customFormat="false" ht="15" hidden="false" customHeight="false" outlineLevel="0" collapsed="false">
      <c r="A2070" s="4" t="s">
        <v>6946</v>
      </c>
      <c r="B2070" s="8" t="s">
        <v>6947</v>
      </c>
      <c r="C2070" s="8"/>
      <c r="D2070" s="8"/>
      <c r="E2070" s="8"/>
      <c r="F2070" s="8"/>
      <c r="G2070" s="8"/>
      <c r="H2070" s="8"/>
      <c r="I2070" s="8" t="s">
        <v>6948</v>
      </c>
      <c r="J2070" s="8" t="s">
        <v>78</v>
      </c>
      <c r="K2070" s="8" t="s">
        <v>6943</v>
      </c>
      <c r="L2070" s="8"/>
      <c r="M2070" s="8"/>
      <c r="N2070" s="8" t="s">
        <v>62</v>
      </c>
      <c r="O2070" s="8" t="s">
        <v>63</v>
      </c>
      <c r="P2070" s="4" t="n">
        <v>67</v>
      </c>
      <c r="Q2070" s="8"/>
      <c r="R2070" s="4" t="s">
        <v>6947</v>
      </c>
      <c r="S2070" s="4"/>
    </row>
    <row r="2071" customFormat="false" ht="15" hidden="false" customHeight="false" outlineLevel="0" collapsed="false">
      <c r="A2071" s="4" t="s">
        <v>6949</v>
      </c>
      <c r="B2071" s="8" t="s">
        <v>6950</v>
      </c>
      <c r="C2071" s="8"/>
      <c r="D2071" s="8"/>
      <c r="E2071" s="8"/>
      <c r="F2071" s="8"/>
      <c r="G2071" s="8"/>
      <c r="H2071" s="8"/>
      <c r="I2071" s="8" t="s">
        <v>6951</v>
      </c>
      <c r="J2071" s="8" t="s">
        <v>78</v>
      </c>
      <c r="K2071" s="8" t="s">
        <v>6943</v>
      </c>
      <c r="L2071" s="8"/>
      <c r="M2071" s="8"/>
      <c r="N2071" s="8" t="s">
        <v>62</v>
      </c>
      <c r="O2071" s="8" t="s">
        <v>63</v>
      </c>
      <c r="P2071" s="4" t="n">
        <v>67</v>
      </c>
      <c r="Q2071" s="8"/>
      <c r="R2071" s="4" t="s">
        <v>6950</v>
      </c>
      <c r="S2071" s="4"/>
    </row>
    <row r="2072" customFormat="false" ht="15" hidden="false" customHeight="false" outlineLevel="0" collapsed="false">
      <c r="A2072" s="4" t="s">
        <v>6952</v>
      </c>
      <c r="B2072" s="8" t="s">
        <v>6953</v>
      </c>
      <c r="C2072" s="8"/>
      <c r="D2072" s="8"/>
      <c r="E2072" s="8"/>
      <c r="F2072" s="8"/>
      <c r="G2072" s="8"/>
      <c r="H2072" s="8"/>
      <c r="I2072" s="8" t="s">
        <v>6954</v>
      </c>
      <c r="J2072" s="8" t="s">
        <v>78</v>
      </c>
      <c r="K2072" s="8" t="s">
        <v>6943</v>
      </c>
      <c r="L2072" s="8"/>
      <c r="M2072" s="8"/>
      <c r="N2072" s="8" t="s">
        <v>62</v>
      </c>
      <c r="O2072" s="8" t="s">
        <v>63</v>
      </c>
      <c r="P2072" s="4" t="n">
        <v>67</v>
      </c>
      <c r="Q2072" s="8"/>
      <c r="R2072" s="4" t="s">
        <v>6953</v>
      </c>
      <c r="S2072" s="4"/>
    </row>
    <row r="2073" customFormat="false" ht="15" hidden="false" customHeight="false" outlineLevel="0" collapsed="false">
      <c r="A2073" s="4" t="s">
        <v>6955</v>
      </c>
      <c r="B2073" s="8" t="s">
        <v>6956</v>
      </c>
      <c r="C2073" s="8"/>
      <c r="D2073" s="8"/>
      <c r="E2073" s="8"/>
      <c r="F2073" s="8"/>
      <c r="G2073" s="8"/>
      <c r="H2073" s="8"/>
      <c r="I2073" s="8" t="s">
        <v>6957</v>
      </c>
      <c r="J2073" s="8" t="s">
        <v>78</v>
      </c>
      <c r="K2073" s="8" t="s">
        <v>6943</v>
      </c>
      <c r="L2073" s="8"/>
      <c r="M2073" s="8"/>
      <c r="N2073" s="8" t="s">
        <v>62</v>
      </c>
      <c r="O2073" s="8" t="s">
        <v>63</v>
      </c>
      <c r="P2073" s="4" t="n">
        <v>67</v>
      </c>
      <c r="Q2073" s="8"/>
      <c r="R2073" s="4" t="s">
        <v>6956</v>
      </c>
      <c r="S2073" s="4" t="n">
        <v>246</v>
      </c>
    </row>
    <row r="2074" customFormat="false" ht="15" hidden="false" customHeight="false" outlineLevel="0" collapsed="false">
      <c r="A2074" s="4" t="s">
        <v>6958</v>
      </c>
      <c r="B2074" s="8" t="s">
        <v>6959</v>
      </c>
      <c r="C2074" s="8"/>
      <c r="D2074" s="8"/>
      <c r="E2074" s="8"/>
      <c r="F2074" s="8"/>
      <c r="G2074" s="8"/>
      <c r="H2074" s="8"/>
      <c r="I2074" s="8" t="s">
        <v>6960</v>
      </c>
      <c r="J2074" s="8" t="s">
        <v>78</v>
      </c>
      <c r="K2074" s="8" t="s">
        <v>6943</v>
      </c>
      <c r="L2074" s="8"/>
      <c r="M2074" s="8"/>
      <c r="N2074" s="8" t="s">
        <v>62</v>
      </c>
      <c r="O2074" s="8" t="s">
        <v>63</v>
      </c>
      <c r="P2074" s="4" t="n">
        <v>67</v>
      </c>
      <c r="Q2074" s="8"/>
      <c r="R2074" s="4" t="s">
        <v>6959</v>
      </c>
      <c r="S2074" s="4"/>
    </row>
    <row r="2075" customFormat="false" ht="15" hidden="false" customHeight="false" outlineLevel="0" collapsed="false">
      <c r="A2075" s="4" t="s">
        <v>6961</v>
      </c>
      <c r="B2075" s="8" t="s">
        <v>6962</v>
      </c>
      <c r="C2075" s="8"/>
      <c r="D2075" s="8"/>
      <c r="E2075" s="8"/>
      <c r="F2075" s="8"/>
      <c r="G2075" s="8"/>
      <c r="H2075" s="8"/>
      <c r="I2075" s="8" t="s">
        <v>6963</v>
      </c>
      <c r="J2075" s="8" t="s">
        <v>78</v>
      </c>
      <c r="K2075" s="8" t="s">
        <v>6943</v>
      </c>
      <c r="L2075" s="8"/>
      <c r="M2075" s="8"/>
      <c r="N2075" s="8" t="s">
        <v>62</v>
      </c>
      <c r="O2075" s="8" t="s">
        <v>63</v>
      </c>
      <c r="P2075" s="4" t="n">
        <v>67</v>
      </c>
      <c r="Q2075" s="8"/>
      <c r="R2075" s="4" t="s">
        <v>6962</v>
      </c>
      <c r="S2075" s="4"/>
    </row>
    <row r="2076" customFormat="false" ht="15" hidden="false" customHeight="false" outlineLevel="0" collapsed="false">
      <c r="A2076" s="4" t="s">
        <v>6964</v>
      </c>
      <c r="B2076" s="8" t="s">
        <v>755</v>
      </c>
      <c r="C2076" s="8"/>
      <c r="D2076" s="8"/>
      <c r="E2076" s="8"/>
      <c r="F2076" s="8"/>
      <c r="G2076" s="8"/>
      <c r="H2076" s="8"/>
      <c r="I2076" s="8" t="s">
        <v>756</v>
      </c>
      <c r="J2076" s="8" t="s">
        <v>78</v>
      </c>
      <c r="K2076" s="8" t="s">
        <v>6943</v>
      </c>
      <c r="L2076" s="8"/>
      <c r="M2076" s="8"/>
      <c r="N2076" s="8" t="s">
        <v>62</v>
      </c>
      <c r="O2076" s="8" t="s">
        <v>63</v>
      </c>
      <c r="P2076" s="4" t="n">
        <v>67</v>
      </c>
      <c r="Q2076" s="8"/>
      <c r="R2076" s="4" t="s">
        <v>755</v>
      </c>
      <c r="S2076" s="4"/>
    </row>
    <row r="2077" customFormat="false" ht="15" hidden="false" customHeight="false" outlineLevel="0" collapsed="false">
      <c r="A2077" s="4" t="s">
        <v>6965</v>
      </c>
      <c r="B2077" s="8" t="s">
        <v>6966</v>
      </c>
      <c r="C2077" s="8"/>
      <c r="D2077" s="8"/>
      <c r="E2077" s="8"/>
      <c r="F2077" s="8"/>
      <c r="G2077" s="8"/>
      <c r="H2077" s="8"/>
      <c r="I2077" s="8" t="s">
        <v>760</v>
      </c>
      <c r="J2077" s="8" t="s">
        <v>78</v>
      </c>
      <c r="K2077" s="8" t="s">
        <v>6943</v>
      </c>
      <c r="L2077" s="8"/>
      <c r="M2077" s="8"/>
      <c r="N2077" s="8" t="s">
        <v>62</v>
      </c>
      <c r="O2077" s="8" t="s">
        <v>63</v>
      </c>
      <c r="P2077" s="4" t="n">
        <v>67</v>
      </c>
      <c r="Q2077" s="8"/>
      <c r="R2077" s="4" t="s">
        <v>6966</v>
      </c>
      <c r="S2077" s="4"/>
    </row>
    <row r="2078" customFormat="false" ht="15" hidden="false" customHeight="false" outlineLevel="0" collapsed="false">
      <c r="A2078" s="4" t="s">
        <v>6967</v>
      </c>
      <c r="B2078" s="8" t="s">
        <v>759</v>
      </c>
      <c r="C2078" s="8"/>
      <c r="D2078" s="8"/>
      <c r="E2078" s="8"/>
      <c r="F2078" s="8"/>
      <c r="G2078" s="8"/>
      <c r="H2078" s="8"/>
      <c r="I2078" s="8" t="s">
        <v>760</v>
      </c>
      <c r="J2078" s="8" t="s">
        <v>78</v>
      </c>
      <c r="K2078" s="8" t="s">
        <v>6943</v>
      </c>
      <c r="L2078" s="8"/>
      <c r="M2078" s="8"/>
      <c r="N2078" s="8" t="s">
        <v>62</v>
      </c>
      <c r="O2078" s="8" t="s">
        <v>63</v>
      </c>
      <c r="P2078" s="4" t="n">
        <v>67</v>
      </c>
      <c r="Q2078" s="8"/>
      <c r="R2078" s="4" t="s">
        <v>759</v>
      </c>
      <c r="S2078" s="4"/>
    </row>
    <row r="2079" customFormat="false" ht="15" hidden="false" customHeight="false" outlineLevel="0" collapsed="false">
      <c r="A2079" s="4" t="s">
        <v>6968</v>
      </c>
      <c r="B2079" s="8" t="s">
        <v>762</v>
      </c>
      <c r="C2079" s="8"/>
      <c r="D2079" s="8"/>
      <c r="E2079" s="8"/>
      <c r="F2079" s="8"/>
      <c r="G2079" s="8"/>
      <c r="H2079" s="8"/>
      <c r="I2079" s="8" t="s">
        <v>763</v>
      </c>
      <c r="J2079" s="8" t="s">
        <v>78</v>
      </c>
      <c r="K2079" s="8" t="s">
        <v>6943</v>
      </c>
      <c r="L2079" s="8"/>
      <c r="M2079" s="8"/>
      <c r="N2079" s="8" t="s">
        <v>62</v>
      </c>
      <c r="O2079" s="8" t="s">
        <v>63</v>
      </c>
      <c r="P2079" s="4" t="n">
        <v>67</v>
      </c>
      <c r="Q2079" s="8"/>
      <c r="R2079" s="4" t="s">
        <v>762</v>
      </c>
      <c r="S2079" s="4"/>
    </row>
    <row r="2080" customFormat="false" ht="15" hidden="false" customHeight="false" outlineLevel="0" collapsed="false">
      <c r="A2080" s="4" t="s">
        <v>6969</v>
      </c>
      <c r="B2080" s="8" t="s">
        <v>6970</v>
      </c>
      <c r="C2080" s="8"/>
      <c r="D2080" s="8"/>
      <c r="E2080" s="8"/>
      <c r="F2080" s="8"/>
      <c r="G2080" s="8"/>
      <c r="H2080" s="8"/>
      <c r="I2080" s="8" t="s">
        <v>6971</v>
      </c>
      <c r="J2080" s="8" t="s">
        <v>78</v>
      </c>
      <c r="K2080" s="8" t="s">
        <v>6943</v>
      </c>
      <c r="L2080" s="8"/>
      <c r="M2080" s="8"/>
      <c r="N2080" s="8" t="s">
        <v>62</v>
      </c>
      <c r="O2080" s="8" t="s">
        <v>63</v>
      </c>
      <c r="P2080" s="4" t="n">
        <v>67</v>
      </c>
      <c r="Q2080" s="8"/>
      <c r="R2080" s="4" t="s">
        <v>6970</v>
      </c>
      <c r="S2080" s="4"/>
    </row>
    <row r="2081" customFormat="false" ht="15" hidden="false" customHeight="false" outlineLevel="0" collapsed="false">
      <c r="A2081" s="4" t="s">
        <v>6972</v>
      </c>
      <c r="B2081" s="8" t="s">
        <v>765</v>
      </c>
      <c r="C2081" s="8"/>
      <c r="D2081" s="8"/>
      <c r="E2081" s="8"/>
      <c r="F2081" s="8"/>
      <c r="G2081" s="8"/>
      <c r="H2081" s="8"/>
      <c r="I2081" s="8" t="s">
        <v>766</v>
      </c>
      <c r="J2081" s="8" t="s">
        <v>78</v>
      </c>
      <c r="K2081" s="8" t="s">
        <v>6943</v>
      </c>
      <c r="L2081" s="8"/>
      <c r="M2081" s="8"/>
      <c r="N2081" s="8" t="s">
        <v>62</v>
      </c>
      <c r="O2081" s="8" t="s">
        <v>63</v>
      </c>
      <c r="P2081" s="4" t="n">
        <v>67</v>
      </c>
      <c r="Q2081" s="8"/>
      <c r="R2081" s="4" t="s">
        <v>765</v>
      </c>
      <c r="S2081" s="4"/>
    </row>
    <row r="2082" customFormat="false" ht="15" hidden="false" customHeight="false" outlineLevel="0" collapsed="false">
      <c r="A2082" s="4" t="s">
        <v>6973</v>
      </c>
      <c r="B2082" s="8" t="s">
        <v>768</v>
      </c>
      <c r="C2082" s="8"/>
      <c r="D2082" s="8"/>
      <c r="E2082" s="8"/>
      <c r="F2082" s="8"/>
      <c r="G2082" s="8"/>
      <c r="H2082" s="8"/>
      <c r="I2082" s="8" t="s">
        <v>769</v>
      </c>
      <c r="J2082" s="8" t="s">
        <v>78</v>
      </c>
      <c r="K2082" s="8" t="s">
        <v>6943</v>
      </c>
      <c r="L2082" s="8"/>
      <c r="M2082" s="8"/>
      <c r="N2082" s="8" t="s">
        <v>62</v>
      </c>
      <c r="O2082" s="8" t="s">
        <v>63</v>
      </c>
      <c r="P2082" s="4" t="n">
        <v>67</v>
      </c>
      <c r="Q2082" s="8"/>
      <c r="R2082" s="4" t="s">
        <v>768</v>
      </c>
      <c r="S2082" s="4"/>
    </row>
    <row r="2083" customFormat="false" ht="15" hidden="false" customHeight="false" outlineLevel="0" collapsed="false">
      <c r="A2083" s="4" t="s">
        <v>6974</v>
      </c>
      <c r="B2083" s="8" t="s">
        <v>771</v>
      </c>
      <c r="C2083" s="8"/>
      <c r="D2083" s="8"/>
      <c r="E2083" s="8"/>
      <c r="F2083" s="8"/>
      <c r="G2083" s="8"/>
      <c r="H2083" s="8"/>
      <c r="I2083" s="8" t="s">
        <v>756</v>
      </c>
      <c r="J2083" s="8" t="s">
        <v>78</v>
      </c>
      <c r="K2083" s="8" t="s">
        <v>6943</v>
      </c>
      <c r="L2083" s="8"/>
      <c r="M2083" s="8"/>
      <c r="N2083" s="8" t="s">
        <v>62</v>
      </c>
      <c r="O2083" s="8" t="s">
        <v>63</v>
      </c>
      <c r="P2083" s="4" t="n">
        <v>67</v>
      </c>
      <c r="Q2083" s="8"/>
      <c r="R2083" s="4" t="s">
        <v>771</v>
      </c>
      <c r="S2083" s="4"/>
    </row>
    <row r="2084" customFormat="false" ht="15" hidden="false" customHeight="false" outlineLevel="0" collapsed="false">
      <c r="A2084" s="4" t="s">
        <v>6975</v>
      </c>
      <c r="B2084" s="8" t="s">
        <v>773</v>
      </c>
      <c r="C2084" s="8"/>
      <c r="D2084" s="8"/>
      <c r="E2084" s="8"/>
      <c r="F2084" s="8"/>
      <c r="G2084" s="8"/>
      <c r="H2084" s="8"/>
      <c r="I2084" s="8" t="s">
        <v>774</v>
      </c>
      <c r="J2084" s="8" t="s">
        <v>78</v>
      </c>
      <c r="K2084" s="8" t="s">
        <v>6943</v>
      </c>
      <c r="L2084" s="8"/>
      <c r="M2084" s="8"/>
      <c r="N2084" s="8" t="s">
        <v>62</v>
      </c>
      <c r="O2084" s="8" t="s">
        <v>63</v>
      </c>
      <c r="P2084" s="4" t="n">
        <v>67</v>
      </c>
      <c r="Q2084" s="8"/>
      <c r="R2084" s="4" t="s">
        <v>773</v>
      </c>
      <c r="S2084" s="4"/>
    </row>
    <row r="2085" customFormat="false" ht="15" hidden="false" customHeight="false" outlineLevel="0" collapsed="false">
      <c r="A2085" s="4" t="s">
        <v>6976</v>
      </c>
      <c r="B2085" s="8" t="s">
        <v>6490</v>
      </c>
      <c r="C2085" s="8"/>
      <c r="D2085" s="8"/>
      <c r="E2085" s="8"/>
      <c r="F2085" s="8"/>
      <c r="G2085" s="8"/>
      <c r="H2085" s="8"/>
      <c r="I2085" s="8" t="s">
        <v>6977</v>
      </c>
      <c r="J2085" s="8" t="s">
        <v>78</v>
      </c>
      <c r="K2085" s="8" t="s">
        <v>6943</v>
      </c>
      <c r="L2085" s="8"/>
      <c r="M2085" s="8"/>
      <c r="N2085" s="8" t="s">
        <v>62</v>
      </c>
      <c r="O2085" s="8" t="s">
        <v>63</v>
      </c>
      <c r="P2085" s="4" t="n">
        <v>67</v>
      </c>
      <c r="Q2085" s="8"/>
      <c r="R2085" s="4" t="s">
        <v>6490</v>
      </c>
      <c r="S2085" s="4" t="n">
        <v>30</v>
      </c>
    </row>
    <row r="2086" customFormat="false" ht="15" hidden="false" customHeight="false" outlineLevel="0" collapsed="false">
      <c r="A2086" s="4" t="s">
        <v>6978</v>
      </c>
      <c r="B2086" s="8" t="s">
        <v>6493</v>
      </c>
      <c r="C2086" s="8"/>
      <c r="D2086" s="8"/>
      <c r="E2086" s="8"/>
      <c r="F2086" s="8"/>
      <c r="G2086" s="8"/>
      <c r="H2086" s="8"/>
      <c r="I2086" s="8" t="s">
        <v>6494</v>
      </c>
      <c r="J2086" s="8" t="s">
        <v>78</v>
      </c>
      <c r="K2086" s="8" t="s">
        <v>6943</v>
      </c>
      <c r="L2086" s="8"/>
      <c r="M2086" s="8"/>
      <c r="N2086" s="8" t="s">
        <v>62</v>
      </c>
      <c r="O2086" s="8" t="s">
        <v>63</v>
      </c>
      <c r="P2086" s="4" t="n">
        <v>67</v>
      </c>
      <c r="Q2086" s="8"/>
      <c r="R2086" s="4" t="s">
        <v>6493</v>
      </c>
      <c r="S2086" s="4" t="n">
        <v>304</v>
      </c>
    </row>
    <row r="2087" customFormat="false" ht="15" hidden="false" customHeight="false" outlineLevel="0" collapsed="false">
      <c r="A2087" s="4" t="s">
        <v>6979</v>
      </c>
      <c r="B2087" s="8" t="s">
        <v>6980</v>
      </c>
      <c r="C2087" s="8"/>
      <c r="D2087" s="8"/>
      <c r="E2087" s="8"/>
      <c r="F2087" s="8"/>
      <c r="G2087" s="8"/>
      <c r="H2087" s="8"/>
      <c r="I2087" s="8" t="s">
        <v>6981</v>
      </c>
      <c r="J2087" s="8" t="s">
        <v>78</v>
      </c>
      <c r="K2087" s="8" t="s">
        <v>6943</v>
      </c>
      <c r="L2087" s="8"/>
      <c r="M2087" s="8"/>
      <c r="N2087" s="8" t="s">
        <v>62</v>
      </c>
      <c r="O2087" s="8" t="s">
        <v>63</v>
      </c>
      <c r="P2087" s="4" t="n">
        <v>67</v>
      </c>
      <c r="Q2087" s="8"/>
      <c r="R2087" s="4" t="s">
        <v>6980</v>
      </c>
      <c r="S2087" s="4"/>
    </row>
    <row r="2088" customFormat="false" ht="15" hidden="false" customHeight="false" outlineLevel="0" collapsed="false">
      <c r="A2088" s="4" t="s">
        <v>6982</v>
      </c>
      <c r="B2088" s="8" t="s">
        <v>6983</v>
      </c>
      <c r="C2088" s="8"/>
      <c r="D2088" s="8"/>
      <c r="E2088" s="8"/>
      <c r="F2088" s="8"/>
      <c r="G2088" s="8"/>
      <c r="H2088" s="8"/>
      <c r="I2088" s="8" t="s">
        <v>6984</v>
      </c>
      <c r="J2088" s="8" t="s">
        <v>78</v>
      </c>
      <c r="K2088" s="8" t="s">
        <v>6943</v>
      </c>
      <c r="L2088" s="8"/>
      <c r="M2088" s="8"/>
      <c r="N2088" s="8" t="s">
        <v>62</v>
      </c>
      <c r="O2088" s="8" t="s">
        <v>63</v>
      </c>
      <c r="P2088" s="4" t="n">
        <v>67</v>
      </c>
      <c r="Q2088" s="8"/>
      <c r="R2088" s="4" t="s">
        <v>6983</v>
      </c>
      <c r="S2088" s="4"/>
    </row>
    <row r="2089" customFormat="false" ht="15" hidden="false" customHeight="false" outlineLevel="0" collapsed="false">
      <c r="A2089" s="4" t="s">
        <v>6985</v>
      </c>
      <c r="B2089" s="8" t="s">
        <v>6986</v>
      </c>
      <c r="C2089" s="8"/>
      <c r="D2089" s="8"/>
      <c r="E2089" s="8"/>
      <c r="F2089" s="8"/>
      <c r="G2089" s="8"/>
      <c r="H2089" s="8"/>
      <c r="I2089" s="8" t="s">
        <v>6987</v>
      </c>
      <c r="J2089" s="8" t="s">
        <v>78</v>
      </c>
      <c r="K2089" s="8" t="s">
        <v>6943</v>
      </c>
      <c r="L2089" s="8"/>
      <c r="M2089" s="8"/>
      <c r="N2089" s="8" t="s">
        <v>62</v>
      </c>
      <c r="O2089" s="8" t="s">
        <v>63</v>
      </c>
      <c r="P2089" s="4" t="n">
        <v>67</v>
      </c>
      <c r="Q2089" s="8"/>
      <c r="R2089" s="4" t="s">
        <v>6986</v>
      </c>
      <c r="S2089" s="4"/>
    </row>
    <row r="2090" customFormat="false" ht="15" hidden="false" customHeight="false" outlineLevel="0" collapsed="false">
      <c r="A2090" s="4" t="s">
        <v>6988</v>
      </c>
      <c r="B2090" s="8" t="s">
        <v>6989</v>
      </c>
      <c r="C2090" s="8"/>
      <c r="D2090" s="8"/>
      <c r="E2090" s="8"/>
      <c r="F2090" s="8"/>
      <c r="G2090" s="8"/>
      <c r="H2090" s="8"/>
      <c r="I2090" s="8" t="s">
        <v>6990</v>
      </c>
      <c r="J2090" s="8" t="s">
        <v>78</v>
      </c>
      <c r="K2090" s="8" t="s">
        <v>6943</v>
      </c>
      <c r="L2090" s="8"/>
      <c r="M2090" s="8"/>
      <c r="N2090" s="8" t="s">
        <v>62</v>
      </c>
      <c r="O2090" s="8" t="s">
        <v>63</v>
      </c>
      <c r="P2090" s="4" t="n">
        <v>67</v>
      </c>
      <c r="Q2090" s="8"/>
      <c r="R2090" s="4" t="s">
        <v>6989</v>
      </c>
      <c r="S2090" s="4"/>
    </row>
    <row r="2091" customFormat="false" ht="15" hidden="false" customHeight="false" outlineLevel="0" collapsed="false">
      <c r="A2091" s="4" t="s">
        <v>6991</v>
      </c>
      <c r="B2091" s="8" t="s">
        <v>6992</v>
      </c>
      <c r="C2091" s="8"/>
      <c r="D2091" s="8"/>
      <c r="E2091" s="8"/>
      <c r="F2091" s="8"/>
      <c r="G2091" s="8"/>
      <c r="H2091" s="8"/>
      <c r="I2091" s="8" t="s">
        <v>6963</v>
      </c>
      <c r="J2091" s="8" t="s">
        <v>78</v>
      </c>
      <c r="K2091" s="8" t="s">
        <v>6943</v>
      </c>
      <c r="L2091" s="8"/>
      <c r="M2091" s="8"/>
      <c r="N2091" s="8" t="s">
        <v>62</v>
      </c>
      <c r="O2091" s="8" t="s">
        <v>63</v>
      </c>
      <c r="P2091" s="4" t="n">
        <v>68</v>
      </c>
      <c r="Q2091" s="8"/>
      <c r="R2091" s="4" t="s">
        <v>6992</v>
      </c>
      <c r="S2091" s="4"/>
    </row>
    <row r="2092" customFormat="false" ht="15" hidden="false" customHeight="false" outlineLevel="0" collapsed="false">
      <c r="A2092" s="4" t="s">
        <v>6993</v>
      </c>
      <c r="B2092" s="8" t="s">
        <v>6994</v>
      </c>
      <c r="C2092" s="8"/>
      <c r="D2092" s="8"/>
      <c r="E2092" s="8"/>
      <c r="F2092" s="8"/>
      <c r="G2092" s="8"/>
      <c r="H2092" s="8"/>
      <c r="I2092" s="8" t="s">
        <v>763</v>
      </c>
      <c r="J2092" s="8" t="s">
        <v>78</v>
      </c>
      <c r="K2092" s="8" t="s">
        <v>6943</v>
      </c>
      <c r="L2092" s="8"/>
      <c r="M2092" s="8"/>
      <c r="N2092" s="8" t="s">
        <v>62</v>
      </c>
      <c r="O2092" s="8" t="s">
        <v>63</v>
      </c>
      <c r="P2092" s="4" t="n">
        <v>68</v>
      </c>
      <c r="Q2092" s="8"/>
      <c r="R2092" s="4" t="s">
        <v>6994</v>
      </c>
      <c r="S2092" s="4"/>
    </row>
    <row r="2093" customFormat="false" ht="15" hidden="false" customHeight="false" outlineLevel="0" collapsed="false">
      <c r="A2093" s="4" t="s">
        <v>6995</v>
      </c>
      <c r="B2093" s="8" t="s">
        <v>6996</v>
      </c>
      <c r="C2093" s="8"/>
      <c r="D2093" s="8"/>
      <c r="E2093" s="8"/>
      <c r="F2093" s="8"/>
      <c r="G2093" s="8"/>
      <c r="H2093" s="8"/>
      <c r="I2093" s="8" t="s">
        <v>774</v>
      </c>
      <c r="J2093" s="8" t="s">
        <v>78</v>
      </c>
      <c r="K2093" s="8" t="s">
        <v>6943</v>
      </c>
      <c r="L2093" s="8"/>
      <c r="M2093" s="8"/>
      <c r="N2093" s="8" t="s">
        <v>62</v>
      </c>
      <c r="O2093" s="8" t="s">
        <v>63</v>
      </c>
      <c r="P2093" s="4" t="n">
        <v>68</v>
      </c>
      <c r="Q2093" s="8"/>
      <c r="R2093" s="4" t="s">
        <v>6996</v>
      </c>
      <c r="S2093" s="4"/>
    </row>
    <row r="2094" customFormat="false" ht="15" hidden="false" customHeight="false" outlineLevel="0" collapsed="false">
      <c r="A2094" s="4" t="s">
        <v>6997</v>
      </c>
      <c r="B2094" s="8" t="s">
        <v>6998</v>
      </c>
      <c r="C2094" s="8"/>
      <c r="D2094" s="8"/>
      <c r="E2094" s="8"/>
      <c r="F2094" s="8"/>
      <c r="G2094" s="8"/>
      <c r="H2094" s="8"/>
      <c r="I2094" s="8" t="s">
        <v>6999</v>
      </c>
      <c r="J2094" s="8" t="s">
        <v>78</v>
      </c>
      <c r="K2094" s="8" t="s">
        <v>6943</v>
      </c>
      <c r="L2094" s="8"/>
      <c r="M2094" s="8"/>
      <c r="N2094" s="8" t="s">
        <v>62</v>
      </c>
      <c r="O2094" s="8" t="s">
        <v>63</v>
      </c>
      <c r="P2094" s="4" t="n">
        <v>68</v>
      </c>
      <c r="Q2094" s="8"/>
      <c r="R2094" s="4" t="s">
        <v>6998</v>
      </c>
      <c r="S2094" s="4"/>
    </row>
    <row r="2095" customFormat="false" ht="15" hidden="false" customHeight="false" outlineLevel="0" collapsed="false">
      <c r="A2095" s="4" t="s">
        <v>7000</v>
      </c>
      <c r="B2095" s="8" t="s">
        <v>114</v>
      </c>
      <c r="C2095" s="8"/>
      <c r="D2095" s="8"/>
      <c r="E2095" s="8" t="s">
        <v>84</v>
      </c>
      <c r="F2095" s="8"/>
      <c r="G2095" s="8"/>
      <c r="H2095" s="8"/>
      <c r="I2095" s="8" t="s">
        <v>115</v>
      </c>
      <c r="J2095" s="8" t="s">
        <v>78</v>
      </c>
      <c r="K2095" s="8" t="s">
        <v>7001</v>
      </c>
      <c r="L2095" s="8"/>
      <c r="M2095" s="8"/>
      <c r="N2095" s="8" t="s">
        <v>62</v>
      </c>
      <c r="O2095" s="8" t="s">
        <v>63</v>
      </c>
      <c r="P2095" s="4" t="n">
        <v>68</v>
      </c>
      <c r="Q2095" s="8"/>
      <c r="R2095" s="4" t="s">
        <v>114</v>
      </c>
      <c r="S2095" s="4" t="n">
        <v>8</v>
      </c>
    </row>
    <row r="2096" customFormat="false" ht="15" hidden="false" customHeight="false" outlineLevel="0" collapsed="false">
      <c r="A2096" s="4" t="s">
        <v>7002</v>
      </c>
      <c r="B2096" s="8" t="s">
        <v>698</v>
      </c>
      <c r="C2096" s="8"/>
      <c r="D2096" s="8"/>
      <c r="E2096" s="8" t="s">
        <v>84</v>
      </c>
      <c r="F2096" s="8"/>
      <c r="G2096" s="8"/>
      <c r="H2096" s="8"/>
      <c r="I2096" s="8" t="s">
        <v>7003</v>
      </c>
      <c r="J2096" s="8" t="s">
        <v>78</v>
      </c>
      <c r="K2096" s="8" t="s">
        <v>7001</v>
      </c>
      <c r="L2096" s="8"/>
      <c r="M2096" s="8"/>
      <c r="N2096" s="8" t="s">
        <v>62</v>
      </c>
      <c r="O2096" s="8" t="s">
        <v>63</v>
      </c>
      <c r="P2096" s="4" t="n">
        <v>68</v>
      </c>
      <c r="Q2096" s="8"/>
      <c r="R2096" s="4" t="s">
        <v>698</v>
      </c>
      <c r="S2096" s="4" t="n">
        <v>3</v>
      </c>
    </row>
    <row r="2097" customFormat="false" ht="15" hidden="false" customHeight="false" outlineLevel="0" collapsed="false">
      <c r="A2097" s="4" t="s">
        <v>7004</v>
      </c>
      <c r="B2097" s="8" t="s">
        <v>7005</v>
      </c>
      <c r="C2097" s="8"/>
      <c r="D2097" s="8"/>
      <c r="E2097" s="8" t="s">
        <v>84</v>
      </c>
      <c r="F2097" s="8"/>
      <c r="G2097" s="8"/>
      <c r="H2097" s="8"/>
      <c r="I2097" s="8" t="s">
        <v>7006</v>
      </c>
      <c r="J2097" s="8" t="s">
        <v>78</v>
      </c>
      <c r="K2097" s="8" t="s">
        <v>7001</v>
      </c>
      <c r="L2097" s="8"/>
      <c r="M2097" s="8"/>
      <c r="N2097" s="8" t="s">
        <v>62</v>
      </c>
      <c r="O2097" s="8" t="s">
        <v>63</v>
      </c>
      <c r="P2097" s="4" t="n">
        <v>68</v>
      </c>
      <c r="Q2097" s="8"/>
      <c r="R2097" s="4" t="s">
        <v>7005</v>
      </c>
      <c r="S2097" s="4" t="n">
        <v>1617</v>
      </c>
    </row>
    <row r="2098" customFormat="false" ht="15" hidden="false" customHeight="false" outlineLevel="0" collapsed="false">
      <c r="A2098" s="4" t="s">
        <v>7007</v>
      </c>
      <c r="B2098" s="8" t="s">
        <v>7008</v>
      </c>
      <c r="C2098" s="8"/>
      <c r="D2098" s="8"/>
      <c r="E2098" s="8" t="s">
        <v>84</v>
      </c>
      <c r="F2098" s="8"/>
      <c r="G2098" s="8"/>
      <c r="H2098" s="8"/>
      <c r="I2098" s="8" t="s">
        <v>1264</v>
      </c>
      <c r="J2098" s="8" t="s">
        <v>78</v>
      </c>
      <c r="K2098" s="8" t="s">
        <v>7001</v>
      </c>
      <c r="L2098" s="8"/>
      <c r="M2098" s="8"/>
      <c r="N2098" s="8" t="s">
        <v>62</v>
      </c>
      <c r="O2098" s="8" t="s">
        <v>63</v>
      </c>
      <c r="P2098" s="4" t="n">
        <v>68</v>
      </c>
      <c r="Q2098" s="8"/>
      <c r="R2098" s="4" t="s">
        <v>7008</v>
      </c>
      <c r="S2098" s="4" t="n">
        <v>306</v>
      </c>
    </row>
    <row r="2099" customFormat="false" ht="15" hidden="false" customHeight="false" outlineLevel="0" collapsed="false">
      <c r="A2099" s="4" t="s">
        <v>7009</v>
      </c>
      <c r="B2099" s="8" t="s">
        <v>7010</v>
      </c>
      <c r="C2099" s="8"/>
      <c r="D2099" s="8"/>
      <c r="E2099" s="8" t="s">
        <v>84</v>
      </c>
      <c r="F2099" s="8"/>
      <c r="G2099" s="8"/>
      <c r="H2099" s="8"/>
      <c r="I2099" s="8" t="s">
        <v>7011</v>
      </c>
      <c r="J2099" s="8" t="s">
        <v>78</v>
      </c>
      <c r="K2099" s="8" t="s">
        <v>7001</v>
      </c>
      <c r="L2099" s="8"/>
      <c r="M2099" s="8"/>
      <c r="N2099" s="8" t="s">
        <v>62</v>
      </c>
      <c r="O2099" s="8" t="s">
        <v>63</v>
      </c>
      <c r="P2099" s="4" t="n">
        <v>68</v>
      </c>
      <c r="Q2099" s="8"/>
      <c r="R2099" s="4" t="s">
        <v>7010</v>
      </c>
      <c r="S2099" s="4" t="n">
        <v>184</v>
      </c>
    </row>
    <row r="2100" customFormat="false" ht="15" hidden="false" customHeight="false" outlineLevel="0" collapsed="false">
      <c r="A2100" s="4" t="s">
        <v>7012</v>
      </c>
      <c r="B2100" s="8" t="s">
        <v>7013</v>
      </c>
      <c r="C2100" s="8"/>
      <c r="D2100" s="8"/>
      <c r="E2100" s="8" t="s">
        <v>84</v>
      </c>
      <c r="F2100" s="8"/>
      <c r="G2100" s="8"/>
      <c r="H2100" s="8"/>
      <c r="I2100" s="8" t="s">
        <v>272</v>
      </c>
      <c r="J2100" s="8" t="s">
        <v>78</v>
      </c>
      <c r="K2100" s="8" t="s">
        <v>7001</v>
      </c>
      <c r="L2100" s="8"/>
      <c r="M2100" s="8"/>
      <c r="N2100" s="8" t="s">
        <v>62</v>
      </c>
      <c r="O2100" s="8" t="s">
        <v>63</v>
      </c>
      <c r="P2100" s="4" t="n">
        <v>68</v>
      </c>
      <c r="Q2100" s="8"/>
      <c r="R2100" s="4" t="s">
        <v>7013</v>
      </c>
      <c r="S2100" s="4"/>
    </row>
    <row r="2101" customFormat="false" ht="15" hidden="false" customHeight="false" outlineLevel="0" collapsed="false">
      <c r="A2101" s="4" t="s">
        <v>7014</v>
      </c>
      <c r="B2101" s="8" t="s">
        <v>7015</v>
      </c>
      <c r="C2101" s="8"/>
      <c r="D2101" s="8"/>
      <c r="E2101" s="8" t="s">
        <v>84</v>
      </c>
      <c r="F2101" s="8"/>
      <c r="G2101" s="8"/>
      <c r="H2101" s="8"/>
      <c r="I2101" s="8" t="s">
        <v>7016</v>
      </c>
      <c r="J2101" s="8" t="s">
        <v>78</v>
      </c>
      <c r="K2101" s="8" t="s">
        <v>7001</v>
      </c>
      <c r="L2101" s="8"/>
      <c r="M2101" s="8"/>
      <c r="N2101" s="8" t="s">
        <v>62</v>
      </c>
      <c r="O2101" s="8" t="s">
        <v>63</v>
      </c>
      <c r="P2101" s="4" t="n">
        <v>68</v>
      </c>
      <c r="Q2101" s="8"/>
      <c r="R2101" s="4" t="s">
        <v>7015</v>
      </c>
      <c r="S2101" s="4"/>
    </row>
    <row r="2102" customFormat="false" ht="15" hidden="false" customHeight="false" outlineLevel="0" collapsed="false">
      <c r="A2102" s="4" t="s">
        <v>7017</v>
      </c>
      <c r="B2102" s="8" t="s">
        <v>7018</v>
      </c>
      <c r="C2102" s="8"/>
      <c r="D2102" s="8"/>
      <c r="E2102" s="8" t="s">
        <v>84</v>
      </c>
      <c r="F2102" s="8"/>
      <c r="G2102" s="8"/>
      <c r="H2102" s="8"/>
      <c r="I2102" s="8" t="s">
        <v>7019</v>
      </c>
      <c r="J2102" s="8" t="s">
        <v>78</v>
      </c>
      <c r="K2102" s="8" t="s">
        <v>7001</v>
      </c>
      <c r="L2102" s="8"/>
      <c r="M2102" s="8"/>
      <c r="N2102" s="8" t="s">
        <v>62</v>
      </c>
      <c r="O2102" s="8" t="s">
        <v>63</v>
      </c>
      <c r="P2102" s="4" t="n">
        <v>68</v>
      </c>
      <c r="Q2102" s="8"/>
      <c r="R2102" s="4" t="s">
        <v>7018</v>
      </c>
      <c r="S2102" s="4" t="n">
        <v>15</v>
      </c>
    </row>
    <row r="2103" customFormat="false" ht="15" hidden="false" customHeight="false" outlineLevel="0" collapsed="false">
      <c r="A2103" s="4" t="s">
        <v>7020</v>
      </c>
      <c r="B2103" s="8" t="s">
        <v>7021</v>
      </c>
      <c r="C2103" s="8"/>
      <c r="D2103" s="8"/>
      <c r="E2103" s="8" t="s">
        <v>84</v>
      </c>
      <c r="F2103" s="8"/>
      <c r="G2103" s="8"/>
      <c r="H2103" s="8"/>
      <c r="I2103" s="8" t="s">
        <v>7022</v>
      </c>
      <c r="J2103" s="8" t="s">
        <v>78</v>
      </c>
      <c r="K2103" s="8" t="s">
        <v>7001</v>
      </c>
      <c r="L2103" s="8"/>
      <c r="M2103" s="8"/>
      <c r="N2103" s="8" t="s">
        <v>62</v>
      </c>
      <c r="O2103" s="8" t="s">
        <v>63</v>
      </c>
      <c r="P2103" s="4" t="n">
        <v>68</v>
      </c>
      <c r="Q2103" s="8"/>
      <c r="R2103" s="4" t="s">
        <v>7021</v>
      </c>
      <c r="S2103" s="4"/>
    </row>
    <row r="2104" customFormat="false" ht="15" hidden="false" customHeight="false" outlineLevel="0" collapsed="false">
      <c r="A2104" s="4" t="s">
        <v>7023</v>
      </c>
      <c r="B2104" s="8" t="s">
        <v>6467</v>
      </c>
      <c r="C2104" s="8"/>
      <c r="D2104" s="8"/>
      <c r="E2104" s="8" t="s">
        <v>84</v>
      </c>
      <c r="F2104" s="8"/>
      <c r="G2104" s="8"/>
      <c r="H2104" s="8"/>
      <c r="I2104" s="8" t="s">
        <v>6468</v>
      </c>
      <c r="J2104" s="8" t="s">
        <v>78</v>
      </c>
      <c r="K2104" s="8" t="s">
        <v>7001</v>
      </c>
      <c r="L2104" s="8"/>
      <c r="M2104" s="8"/>
      <c r="N2104" s="8" t="s">
        <v>62</v>
      </c>
      <c r="O2104" s="8" t="s">
        <v>63</v>
      </c>
      <c r="P2104" s="4" t="n">
        <v>68</v>
      </c>
      <c r="Q2104" s="8"/>
      <c r="R2104" s="4" t="s">
        <v>6467</v>
      </c>
      <c r="S2104" s="4" t="n">
        <v>29</v>
      </c>
    </row>
    <row r="2105" customFormat="false" ht="15" hidden="false" customHeight="false" outlineLevel="0" collapsed="false">
      <c r="A2105" s="4" t="s">
        <v>7024</v>
      </c>
      <c r="B2105" s="8" t="s">
        <v>7025</v>
      </c>
      <c r="C2105" s="8"/>
      <c r="D2105" s="8"/>
      <c r="E2105" s="8" t="s">
        <v>84</v>
      </c>
      <c r="F2105" s="8"/>
      <c r="G2105" s="8"/>
      <c r="H2105" s="8"/>
      <c r="I2105" s="8" t="s">
        <v>7026</v>
      </c>
      <c r="J2105" s="8" t="s">
        <v>78</v>
      </c>
      <c r="K2105" s="8" t="s">
        <v>7001</v>
      </c>
      <c r="L2105" s="8"/>
      <c r="M2105" s="8"/>
      <c r="N2105" s="8" t="s">
        <v>62</v>
      </c>
      <c r="O2105" s="8" t="s">
        <v>63</v>
      </c>
      <c r="P2105" s="4" t="n">
        <v>68</v>
      </c>
      <c r="Q2105" s="8"/>
      <c r="R2105" s="4" t="s">
        <v>7025</v>
      </c>
      <c r="S2105" s="4" t="n">
        <v>31</v>
      </c>
    </row>
    <row r="2106" customFormat="false" ht="15" hidden="false" customHeight="false" outlineLevel="0" collapsed="false">
      <c r="A2106" s="4" t="s">
        <v>7027</v>
      </c>
      <c r="B2106" s="8" t="s">
        <v>7028</v>
      </c>
      <c r="C2106" s="8"/>
      <c r="D2106" s="8"/>
      <c r="E2106" s="8" t="s">
        <v>84</v>
      </c>
      <c r="F2106" s="8"/>
      <c r="G2106" s="8"/>
      <c r="H2106" s="8"/>
      <c r="I2106" s="8" t="s">
        <v>7029</v>
      </c>
      <c r="J2106" s="8" t="s">
        <v>78</v>
      </c>
      <c r="K2106" s="8" t="s">
        <v>7001</v>
      </c>
      <c r="L2106" s="8"/>
      <c r="M2106" s="8"/>
      <c r="N2106" s="8" t="s">
        <v>62</v>
      </c>
      <c r="O2106" s="8" t="s">
        <v>63</v>
      </c>
      <c r="P2106" s="4" t="n">
        <v>68</v>
      </c>
      <c r="Q2106" s="8"/>
      <c r="R2106" s="4" t="s">
        <v>7028</v>
      </c>
      <c r="S2106" s="4" t="n">
        <v>86</v>
      </c>
    </row>
    <row r="2107" customFormat="false" ht="15" hidden="false" customHeight="false" outlineLevel="0" collapsed="false">
      <c r="A2107" s="4" t="s">
        <v>7030</v>
      </c>
      <c r="B2107" s="8" t="s">
        <v>7031</v>
      </c>
      <c r="C2107" s="8"/>
      <c r="D2107" s="8"/>
      <c r="E2107" s="8" t="s">
        <v>84</v>
      </c>
      <c r="F2107" s="8"/>
      <c r="G2107" s="8"/>
      <c r="H2107" s="8"/>
      <c r="I2107" s="8" t="s">
        <v>7032</v>
      </c>
      <c r="J2107" s="8" t="s">
        <v>78</v>
      </c>
      <c r="K2107" s="8" t="s">
        <v>7001</v>
      </c>
      <c r="L2107" s="8"/>
      <c r="M2107" s="8"/>
      <c r="N2107" s="8" t="s">
        <v>62</v>
      </c>
      <c r="O2107" s="8" t="s">
        <v>63</v>
      </c>
      <c r="P2107" s="4" t="n">
        <v>68</v>
      </c>
      <c r="Q2107" s="8"/>
      <c r="R2107" s="4" t="s">
        <v>7031</v>
      </c>
      <c r="S2107" s="4"/>
    </row>
    <row r="2108" customFormat="false" ht="15" hidden="false" customHeight="false" outlineLevel="0" collapsed="false">
      <c r="A2108" s="4" t="s">
        <v>7033</v>
      </c>
      <c r="B2108" s="8" t="s">
        <v>7034</v>
      </c>
      <c r="C2108" s="8"/>
      <c r="D2108" s="8"/>
      <c r="E2108" s="8" t="s">
        <v>84</v>
      </c>
      <c r="F2108" s="8"/>
      <c r="G2108" s="8"/>
      <c r="H2108" s="8"/>
      <c r="I2108" s="8" t="s">
        <v>7035</v>
      </c>
      <c r="J2108" s="8" t="s">
        <v>78</v>
      </c>
      <c r="K2108" s="8" t="s">
        <v>7001</v>
      </c>
      <c r="L2108" s="8"/>
      <c r="M2108" s="8"/>
      <c r="N2108" s="8" t="s">
        <v>62</v>
      </c>
      <c r="O2108" s="8" t="s">
        <v>63</v>
      </c>
      <c r="P2108" s="4" t="n">
        <v>68</v>
      </c>
      <c r="Q2108" s="8"/>
      <c r="R2108" s="4" t="s">
        <v>7034</v>
      </c>
      <c r="S2108" s="4" t="n">
        <v>7</v>
      </c>
    </row>
    <row r="2109" customFormat="false" ht="15" hidden="false" customHeight="false" outlineLevel="0" collapsed="false">
      <c r="A2109" s="4" t="s">
        <v>7036</v>
      </c>
      <c r="B2109" s="8" t="s">
        <v>7037</v>
      </c>
      <c r="C2109" s="8"/>
      <c r="D2109" s="8"/>
      <c r="E2109" s="8" t="s">
        <v>84</v>
      </c>
      <c r="F2109" s="8"/>
      <c r="G2109" s="8"/>
      <c r="H2109" s="8"/>
      <c r="I2109" s="8" t="s">
        <v>7038</v>
      </c>
      <c r="J2109" s="8" t="s">
        <v>78</v>
      </c>
      <c r="K2109" s="8" t="s">
        <v>7001</v>
      </c>
      <c r="L2109" s="8"/>
      <c r="M2109" s="8"/>
      <c r="N2109" s="8" t="s">
        <v>62</v>
      </c>
      <c r="O2109" s="8" t="s">
        <v>63</v>
      </c>
      <c r="P2109" s="4" t="n">
        <v>68</v>
      </c>
      <c r="Q2109" s="8"/>
      <c r="R2109" s="4" t="s">
        <v>7037</v>
      </c>
      <c r="S2109" s="4" t="n">
        <v>96</v>
      </c>
    </row>
    <row r="2110" customFormat="false" ht="15" hidden="false" customHeight="false" outlineLevel="0" collapsed="false">
      <c r="A2110" s="4" t="s">
        <v>7039</v>
      </c>
      <c r="B2110" s="8" t="s">
        <v>3429</v>
      </c>
      <c r="C2110" s="8"/>
      <c r="D2110" s="8"/>
      <c r="E2110" s="8" t="s">
        <v>84</v>
      </c>
      <c r="F2110" s="8"/>
      <c r="G2110" s="8"/>
      <c r="H2110" s="8"/>
      <c r="I2110" s="8" t="s">
        <v>7040</v>
      </c>
      <c r="J2110" s="8" t="s">
        <v>78</v>
      </c>
      <c r="K2110" s="8" t="s">
        <v>7001</v>
      </c>
      <c r="L2110" s="8"/>
      <c r="M2110" s="8"/>
      <c r="N2110" s="8" t="s">
        <v>62</v>
      </c>
      <c r="O2110" s="8" t="s">
        <v>63</v>
      </c>
      <c r="P2110" s="4" t="n">
        <v>68</v>
      </c>
      <c r="Q2110" s="8"/>
      <c r="R2110" s="4" t="s">
        <v>3429</v>
      </c>
      <c r="S2110" s="4"/>
    </row>
    <row r="2111" customFormat="false" ht="15" hidden="false" customHeight="false" outlineLevel="0" collapsed="false">
      <c r="A2111" s="4" t="s">
        <v>7041</v>
      </c>
      <c r="B2111" s="8" t="s">
        <v>7042</v>
      </c>
      <c r="C2111" s="8"/>
      <c r="D2111" s="8"/>
      <c r="E2111" s="8" t="s">
        <v>84</v>
      </c>
      <c r="F2111" s="8"/>
      <c r="G2111" s="8"/>
      <c r="H2111" s="8"/>
      <c r="I2111" s="8" t="s">
        <v>7043</v>
      </c>
      <c r="J2111" s="8" t="s">
        <v>78</v>
      </c>
      <c r="K2111" s="8" t="s">
        <v>7001</v>
      </c>
      <c r="L2111" s="8"/>
      <c r="M2111" s="8"/>
      <c r="N2111" s="8" t="s">
        <v>62</v>
      </c>
      <c r="O2111" s="8" t="s">
        <v>63</v>
      </c>
      <c r="P2111" s="4" t="n">
        <v>68</v>
      </c>
      <c r="Q2111" s="8"/>
      <c r="R2111" s="4" t="s">
        <v>7042</v>
      </c>
      <c r="S2111" s="4"/>
    </row>
    <row r="2112" customFormat="false" ht="15" hidden="false" customHeight="false" outlineLevel="0" collapsed="false">
      <c r="A2112" s="4" t="s">
        <v>7044</v>
      </c>
      <c r="B2112" s="8" t="s">
        <v>3423</v>
      </c>
      <c r="C2112" s="8"/>
      <c r="D2112" s="8"/>
      <c r="E2112" s="8" t="s">
        <v>84</v>
      </c>
      <c r="F2112" s="8"/>
      <c r="G2112" s="8"/>
      <c r="H2112" s="8"/>
      <c r="I2112" s="8" t="s">
        <v>7045</v>
      </c>
      <c r="J2112" s="8" t="s">
        <v>78</v>
      </c>
      <c r="K2112" s="8" t="s">
        <v>7001</v>
      </c>
      <c r="L2112" s="8"/>
      <c r="M2112" s="8"/>
      <c r="N2112" s="8" t="s">
        <v>62</v>
      </c>
      <c r="O2112" s="8" t="s">
        <v>63</v>
      </c>
      <c r="P2112" s="4" t="n">
        <v>68</v>
      </c>
      <c r="Q2112" s="8"/>
      <c r="R2112" s="4" t="s">
        <v>3423</v>
      </c>
      <c r="S2112" s="4" t="n">
        <v>833</v>
      </c>
    </row>
    <row r="2113" customFormat="false" ht="15" hidden="false" customHeight="false" outlineLevel="0" collapsed="false">
      <c r="A2113" s="4" t="s">
        <v>7046</v>
      </c>
      <c r="B2113" s="8" t="s">
        <v>7047</v>
      </c>
      <c r="C2113" s="8"/>
      <c r="D2113" s="8"/>
      <c r="E2113" s="8" t="s">
        <v>84</v>
      </c>
      <c r="F2113" s="8"/>
      <c r="G2113" s="8"/>
      <c r="H2113" s="8"/>
      <c r="I2113" s="8" t="s">
        <v>7048</v>
      </c>
      <c r="J2113" s="8" t="s">
        <v>78</v>
      </c>
      <c r="K2113" s="8" t="s">
        <v>7001</v>
      </c>
      <c r="L2113" s="8"/>
      <c r="M2113" s="8"/>
      <c r="N2113" s="8" t="s">
        <v>62</v>
      </c>
      <c r="O2113" s="8" t="s">
        <v>63</v>
      </c>
      <c r="P2113" s="4" t="n">
        <v>68</v>
      </c>
      <c r="Q2113" s="8"/>
      <c r="R2113" s="4" t="s">
        <v>7047</v>
      </c>
      <c r="S2113" s="4"/>
    </row>
    <row r="2114" customFormat="false" ht="15" hidden="false" customHeight="false" outlineLevel="0" collapsed="false">
      <c r="A2114" s="4" t="s">
        <v>7049</v>
      </c>
      <c r="B2114" s="8" t="s">
        <v>7050</v>
      </c>
      <c r="C2114" s="8"/>
      <c r="D2114" s="8"/>
      <c r="E2114" s="8" t="s">
        <v>84</v>
      </c>
      <c r="F2114" s="8"/>
      <c r="G2114" s="8"/>
      <c r="H2114" s="8"/>
      <c r="I2114" s="8" t="s">
        <v>7051</v>
      </c>
      <c r="J2114" s="8" t="s">
        <v>78</v>
      </c>
      <c r="K2114" s="8" t="s">
        <v>7001</v>
      </c>
      <c r="L2114" s="8"/>
      <c r="M2114" s="8"/>
      <c r="N2114" s="8" t="s">
        <v>62</v>
      </c>
      <c r="O2114" s="8" t="s">
        <v>63</v>
      </c>
      <c r="P2114" s="4" t="n">
        <v>68</v>
      </c>
      <c r="Q2114" s="8"/>
      <c r="R2114" s="4" t="s">
        <v>7050</v>
      </c>
      <c r="S2114" s="4"/>
    </row>
    <row r="2115" customFormat="false" ht="15" hidden="false" customHeight="false" outlineLevel="0" collapsed="false">
      <c r="A2115" s="4" t="s">
        <v>7052</v>
      </c>
      <c r="B2115" s="8" t="s">
        <v>7053</v>
      </c>
      <c r="C2115" s="8"/>
      <c r="D2115" s="8"/>
      <c r="E2115" s="8" t="s">
        <v>84</v>
      </c>
      <c r="F2115" s="8"/>
      <c r="G2115" s="8"/>
      <c r="H2115" s="8"/>
      <c r="I2115" s="8" t="s">
        <v>7054</v>
      </c>
      <c r="J2115" s="8" t="s">
        <v>78</v>
      </c>
      <c r="K2115" s="8" t="s">
        <v>7001</v>
      </c>
      <c r="L2115" s="8"/>
      <c r="M2115" s="8"/>
      <c r="N2115" s="8" t="s">
        <v>62</v>
      </c>
      <c r="O2115" s="8" t="s">
        <v>63</v>
      </c>
      <c r="P2115" s="4" t="n">
        <v>68</v>
      </c>
      <c r="Q2115" s="8"/>
      <c r="R2115" s="4" t="s">
        <v>7053</v>
      </c>
      <c r="S2115" s="4" t="n">
        <v>1283</v>
      </c>
    </row>
    <row r="2116" customFormat="false" ht="15" hidden="false" customHeight="false" outlineLevel="0" collapsed="false">
      <c r="A2116" s="4" t="s">
        <v>7055</v>
      </c>
      <c r="B2116" s="8" t="s">
        <v>395</v>
      </c>
      <c r="C2116" s="8"/>
      <c r="D2116" s="8"/>
      <c r="E2116" s="8" t="s">
        <v>84</v>
      </c>
      <c r="F2116" s="8"/>
      <c r="G2116" s="8"/>
      <c r="H2116" s="8"/>
      <c r="I2116" s="8" t="s">
        <v>396</v>
      </c>
      <c r="J2116" s="8" t="s">
        <v>78</v>
      </c>
      <c r="K2116" s="8" t="s">
        <v>7001</v>
      </c>
      <c r="L2116" s="8"/>
      <c r="M2116" s="8"/>
      <c r="N2116" s="8" t="s">
        <v>62</v>
      </c>
      <c r="O2116" s="8" t="s">
        <v>63</v>
      </c>
      <c r="P2116" s="4" t="n">
        <v>68</v>
      </c>
      <c r="Q2116" s="8"/>
      <c r="R2116" s="4" t="s">
        <v>395</v>
      </c>
      <c r="S2116" s="4"/>
    </row>
    <row r="2117" customFormat="false" ht="15" hidden="false" customHeight="false" outlineLevel="0" collapsed="false">
      <c r="A2117" s="4" t="s">
        <v>7056</v>
      </c>
      <c r="B2117" s="8" t="s">
        <v>704</v>
      </c>
      <c r="C2117" s="8"/>
      <c r="D2117" s="8"/>
      <c r="E2117" s="8" t="s">
        <v>84</v>
      </c>
      <c r="F2117" s="8"/>
      <c r="G2117" s="8"/>
      <c r="H2117" s="8"/>
      <c r="I2117" s="8" t="s">
        <v>7057</v>
      </c>
      <c r="J2117" s="8" t="s">
        <v>78</v>
      </c>
      <c r="K2117" s="8" t="s">
        <v>7001</v>
      </c>
      <c r="L2117" s="8"/>
      <c r="M2117" s="8"/>
      <c r="N2117" s="8" t="s">
        <v>62</v>
      </c>
      <c r="O2117" s="8" t="s">
        <v>63</v>
      </c>
      <c r="P2117" s="4" t="n">
        <v>68</v>
      </c>
      <c r="Q2117" s="8"/>
      <c r="R2117" s="4" t="s">
        <v>704</v>
      </c>
      <c r="S2117" s="4" t="n">
        <v>9</v>
      </c>
    </row>
    <row r="2118" customFormat="false" ht="15" hidden="false" customHeight="false" outlineLevel="0" collapsed="false">
      <c r="A2118" s="4" t="s">
        <v>7058</v>
      </c>
      <c r="B2118" s="8" t="s">
        <v>6511</v>
      </c>
      <c r="C2118" s="8"/>
      <c r="D2118" s="8"/>
      <c r="E2118" s="8" t="s">
        <v>84</v>
      </c>
      <c r="F2118" s="8"/>
      <c r="G2118" s="8"/>
      <c r="H2118" s="8"/>
      <c r="I2118" s="8" t="s">
        <v>7059</v>
      </c>
      <c r="J2118" s="8" t="s">
        <v>78</v>
      </c>
      <c r="K2118" s="8" t="s">
        <v>7001</v>
      </c>
      <c r="L2118" s="8"/>
      <c r="M2118" s="8"/>
      <c r="N2118" s="8" t="s">
        <v>62</v>
      </c>
      <c r="O2118" s="8" t="s">
        <v>63</v>
      </c>
      <c r="P2118" s="4" t="n">
        <v>68</v>
      </c>
      <c r="Q2118" s="8"/>
      <c r="R2118" s="4" t="s">
        <v>6511</v>
      </c>
      <c r="S2118" s="4" t="n">
        <v>32</v>
      </c>
    </row>
    <row r="2119" customFormat="false" ht="15" hidden="false" customHeight="false" outlineLevel="0" collapsed="false">
      <c r="A2119" s="4" t="s">
        <v>7060</v>
      </c>
      <c r="B2119" s="8" t="s">
        <v>7061</v>
      </c>
      <c r="C2119" s="8"/>
      <c r="D2119" s="8"/>
      <c r="E2119" s="8" t="s">
        <v>84</v>
      </c>
      <c r="F2119" s="8"/>
      <c r="G2119" s="8"/>
      <c r="H2119" s="8"/>
      <c r="I2119" s="8" t="s">
        <v>7062</v>
      </c>
      <c r="J2119" s="8" t="s">
        <v>78</v>
      </c>
      <c r="K2119" s="8" t="s">
        <v>7001</v>
      </c>
      <c r="L2119" s="8"/>
      <c r="M2119" s="8"/>
      <c r="N2119" s="8" t="s">
        <v>62</v>
      </c>
      <c r="O2119" s="8" t="s">
        <v>63</v>
      </c>
      <c r="P2119" s="4" t="n">
        <v>68</v>
      </c>
      <c r="Q2119" s="8"/>
      <c r="R2119" s="4" t="s">
        <v>7061</v>
      </c>
      <c r="S2119" s="4"/>
    </row>
    <row r="2120" customFormat="false" ht="15" hidden="false" customHeight="false" outlineLevel="0" collapsed="false">
      <c r="A2120" s="4" t="s">
        <v>7063</v>
      </c>
      <c r="B2120" s="8" t="s">
        <v>7064</v>
      </c>
      <c r="C2120" s="8"/>
      <c r="D2120" s="8"/>
      <c r="E2120" s="8" t="s">
        <v>84</v>
      </c>
      <c r="F2120" s="8"/>
      <c r="G2120" s="8"/>
      <c r="H2120" s="8"/>
      <c r="I2120" s="8" t="s">
        <v>7065</v>
      </c>
      <c r="J2120" s="8" t="s">
        <v>78</v>
      </c>
      <c r="K2120" s="8" t="s">
        <v>7001</v>
      </c>
      <c r="L2120" s="8"/>
      <c r="M2120" s="8"/>
      <c r="N2120" s="8" t="s">
        <v>62</v>
      </c>
      <c r="O2120" s="8" t="s">
        <v>63</v>
      </c>
      <c r="P2120" s="4" t="n">
        <v>68</v>
      </c>
      <c r="Q2120" s="8"/>
      <c r="R2120" s="4" t="s">
        <v>7064</v>
      </c>
      <c r="S2120" s="4" t="n">
        <v>459</v>
      </c>
    </row>
    <row r="2121" customFormat="false" ht="15" hidden="false" customHeight="false" outlineLevel="0" collapsed="false">
      <c r="A2121" s="4" t="s">
        <v>7066</v>
      </c>
      <c r="B2121" s="8" t="s">
        <v>3439</v>
      </c>
      <c r="C2121" s="8"/>
      <c r="D2121" s="8"/>
      <c r="E2121" s="8" t="s">
        <v>84</v>
      </c>
      <c r="F2121" s="8"/>
      <c r="G2121" s="8"/>
      <c r="H2121" s="8"/>
      <c r="I2121" s="8" t="s">
        <v>7067</v>
      </c>
      <c r="J2121" s="8" t="s">
        <v>78</v>
      </c>
      <c r="K2121" s="8" t="s">
        <v>7001</v>
      </c>
      <c r="L2121" s="8"/>
      <c r="M2121" s="8"/>
      <c r="N2121" s="8" t="s">
        <v>62</v>
      </c>
      <c r="O2121" s="8" t="s">
        <v>63</v>
      </c>
      <c r="P2121" s="4" t="n">
        <v>68</v>
      </c>
      <c r="Q2121" s="8"/>
      <c r="R2121" s="4" t="s">
        <v>3439</v>
      </c>
      <c r="S2121" s="4" t="n">
        <v>632</v>
      </c>
    </row>
    <row r="2122" customFormat="false" ht="15" hidden="false" customHeight="false" outlineLevel="0" collapsed="false">
      <c r="A2122" s="4" t="s">
        <v>7068</v>
      </c>
      <c r="B2122" s="8" t="s">
        <v>7069</v>
      </c>
      <c r="C2122" s="8"/>
      <c r="D2122" s="8"/>
      <c r="E2122" s="8" t="s">
        <v>84</v>
      </c>
      <c r="F2122" s="8"/>
      <c r="G2122" s="8"/>
      <c r="H2122" s="8"/>
      <c r="I2122" s="8" t="s">
        <v>7070</v>
      </c>
      <c r="J2122" s="8" t="s">
        <v>78</v>
      </c>
      <c r="K2122" s="8" t="s">
        <v>7001</v>
      </c>
      <c r="L2122" s="8"/>
      <c r="M2122" s="8"/>
      <c r="N2122" s="8" t="s">
        <v>62</v>
      </c>
      <c r="O2122" s="8" t="s">
        <v>63</v>
      </c>
      <c r="P2122" s="4" t="n">
        <v>68</v>
      </c>
      <c r="Q2122" s="8"/>
      <c r="R2122" s="4" t="s">
        <v>7069</v>
      </c>
      <c r="S2122" s="4" t="n">
        <v>215</v>
      </c>
    </row>
    <row r="2123" customFormat="false" ht="15" hidden="false" customHeight="false" outlineLevel="0" collapsed="false">
      <c r="A2123" s="4" t="s">
        <v>7071</v>
      </c>
      <c r="B2123" s="8" t="s">
        <v>7072</v>
      </c>
      <c r="C2123" s="8"/>
      <c r="D2123" s="8"/>
      <c r="E2123" s="8" t="s">
        <v>84</v>
      </c>
      <c r="F2123" s="8"/>
      <c r="G2123" s="8"/>
      <c r="H2123" s="8"/>
      <c r="I2123" s="8" t="s">
        <v>7073</v>
      </c>
      <c r="J2123" s="8" t="s">
        <v>78</v>
      </c>
      <c r="K2123" s="8" t="s">
        <v>7001</v>
      </c>
      <c r="L2123" s="8"/>
      <c r="M2123" s="8"/>
      <c r="N2123" s="8" t="s">
        <v>62</v>
      </c>
      <c r="O2123" s="8" t="s">
        <v>63</v>
      </c>
      <c r="P2123" s="4" t="n">
        <v>68</v>
      </c>
      <c r="Q2123" s="8"/>
      <c r="R2123" s="4" t="s">
        <v>7072</v>
      </c>
      <c r="S2123" s="4"/>
    </row>
    <row r="2124" customFormat="false" ht="15" hidden="false" customHeight="false" outlineLevel="0" collapsed="false">
      <c r="A2124" s="4" t="s">
        <v>7074</v>
      </c>
      <c r="B2124" s="8" t="s">
        <v>7075</v>
      </c>
      <c r="C2124" s="8"/>
      <c r="D2124" s="8"/>
      <c r="E2124" s="8" t="s">
        <v>84</v>
      </c>
      <c r="F2124" s="8"/>
      <c r="G2124" s="8"/>
      <c r="H2124" s="8"/>
      <c r="I2124" s="8" t="s">
        <v>7076</v>
      </c>
      <c r="J2124" s="8" t="s">
        <v>78</v>
      </c>
      <c r="K2124" s="8" t="s">
        <v>7001</v>
      </c>
      <c r="L2124" s="8"/>
      <c r="M2124" s="8"/>
      <c r="N2124" s="8" t="s">
        <v>62</v>
      </c>
      <c r="O2124" s="8" t="s">
        <v>63</v>
      </c>
      <c r="P2124" s="4" t="n">
        <v>68</v>
      </c>
      <c r="Q2124" s="8"/>
      <c r="R2124" s="4" t="s">
        <v>7075</v>
      </c>
      <c r="S2124" s="4" t="n">
        <v>13</v>
      </c>
    </row>
    <row r="2125" customFormat="false" ht="15" hidden="false" customHeight="false" outlineLevel="0" collapsed="false">
      <c r="A2125" s="4" t="s">
        <v>7077</v>
      </c>
      <c r="B2125" s="8" t="s">
        <v>7078</v>
      </c>
      <c r="C2125" s="8"/>
      <c r="D2125" s="8"/>
      <c r="E2125" s="8" t="s">
        <v>84</v>
      </c>
      <c r="F2125" s="8"/>
      <c r="G2125" s="8"/>
      <c r="H2125" s="8"/>
      <c r="I2125" s="8" t="s">
        <v>7079</v>
      </c>
      <c r="J2125" s="8" t="s">
        <v>78</v>
      </c>
      <c r="K2125" s="8" t="s">
        <v>7001</v>
      </c>
      <c r="L2125" s="8"/>
      <c r="M2125" s="8"/>
      <c r="N2125" s="8" t="s">
        <v>62</v>
      </c>
      <c r="O2125" s="8" t="s">
        <v>63</v>
      </c>
      <c r="P2125" s="4" t="n">
        <v>68</v>
      </c>
      <c r="Q2125" s="8"/>
      <c r="R2125" s="4" t="s">
        <v>7078</v>
      </c>
      <c r="S2125" s="4"/>
    </row>
    <row r="2126" customFormat="false" ht="15" hidden="false" customHeight="false" outlineLevel="0" collapsed="false">
      <c r="A2126" s="4" t="s">
        <v>7080</v>
      </c>
      <c r="B2126" s="8" t="s">
        <v>7081</v>
      </c>
      <c r="C2126" s="8"/>
      <c r="D2126" s="8"/>
      <c r="E2126" s="8" t="s">
        <v>84</v>
      </c>
      <c r="F2126" s="8"/>
      <c r="G2126" s="8"/>
      <c r="H2126" s="8"/>
      <c r="I2126" s="8" t="s">
        <v>7082</v>
      </c>
      <c r="J2126" s="8" t="s">
        <v>78</v>
      </c>
      <c r="K2126" s="8" t="s">
        <v>7001</v>
      </c>
      <c r="L2126" s="8"/>
      <c r="M2126" s="8"/>
      <c r="N2126" s="8" t="s">
        <v>62</v>
      </c>
      <c r="O2126" s="8" t="s">
        <v>63</v>
      </c>
      <c r="P2126" s="4" t="n">
        <v>68</v>
      </c>
      <c r="Q2126" s="8"/>
      <c r="R2126" s="4" t="s">
        <v>7081</v>
      </c>
      <c r="S2126" s="4"/>
    </row>
    <row r="2127" customFormat="false" ht="15" hidden="false" customHeight="false" outlineLevel="0" collapsed="false">
      <c r="A2127" s="4" t="s">
        <v>7083</v>
      </c>
      <c r="B2127" s="8" t="s">
        <v>7084</v>
      </c>
      <c r="C2127" s="8"/>
      <c r="D2127" s="8"/>
      <c r="E2127" s="8" t="s">
        <v>84</v>
      </c>
      <c r="F2127" s="8"/>
      <c r="G2127" s="8"/>
      <c r="H2127" s="8"/>
      <c r="I2127" s="8" t="s">
        <v>7085</v>
      </c>
      <c r="J2127" s="8" t="s">
        <v>78</v>
      </c>
      <c r="K2127" s="8" t="s">
        <v>7001</v>
      </c>
      <c r="L2127" s="8"/>
      <c r="M2127" s="8"/>
      <c r="N2127" s="8" t="s">
        <v>62</v>
      </c>
      <c r="O2127" s="8" t="s">
        <v>63</v>
      </c>
      <c r="P2127" s="4" t="n">
        <v>68</v>
      </c>
      <c r="Q2127" s="8"/>
      <c r="R2127" s="4" t="s">
        <v>7084</v>
      </c>
      <c r="S2127" s="4" t="n">
        <v>187</v>
      </c>
    </row>
    <row r="2128" customFormat="false" ht="15" hidden="false" customHeight="false" outlineLevel="0" collapsed="false">
      <c r="A2128" s="4" t="s">
        <v>7086</v>
      </c>
      <c r="B2128" s="8" t="s">
        <v>7087</v>
      </c>
      <c r="C2128" s="8"/>
      <c r="D2128" s="8"/>
      <c r="E2128" s="8" t="s">
        <v>84</v>
      </c>
      <c r="F2128" s="8"/>
      <c r="G2128" s="8"/>
      <c r="H2128" s="8"/>
      <c r="I2128" s="8" t="s">
        <v>7088</v>
      </c>
      <c r="J2128" s="8" t="s">
        <v>78</v>
      </c>
      <c r="K2128" s="8" t="s">
        <v>7001</v>
      </c>
      <c r="L2128" s="8"/>
      <c r="M2128" s="8"/>
      <c r="N2128" s="8" t="s">
        <v>62</v>
      </c>
      <c r="O2128" s="8" t="s">
        <v>63</v>
      </c>
      <c r="P2128" s="4" t="n">
        <v>68</v>
      </c>
      <c r="Q2128" s="8"/>
      <c r="R2128" s="4" t="s">
        <v>7087</v>
      </c>
      <c r="S2128" s="4"/>
    </row>
    <row r="2129" customFormat="false" ht="15" hidden="false" customHeight="false" outlineLevel="0" collapsed="false">
      <c r="A2129" s="4" t="s">
        <v>7089</v>
      </c>
      <c r="B2129" s="8" t="s">
        <v>7090</v>
      </c>
      <c r="C2129" s="8"/>
      <c r="D2129" s="8"/>
      <c r="E2129" s="8" t="s">
        <v>84</v>
      </c>
      <c r="F2129" s="8"/>
      <c r="G2129" s="8"/>
      <c r="H2129" s="8"/>
      <c r="I2129" s="8" t="s">
        <v>7091</v>
      </c>
      <c r="J2129" s="8" t="s">
        <v>78</v>
      </c>
      <c r="K2129" s="8" t="s">
        <v>7001</v>
      </c>
      <c r="L2129" s="8"/>
      <c r="M2129" s="8"/>
      <c r="N2129" s="8" t="s">
        <v>62</v>
      </c>
      <c r="O2129" s="8" t="s">
        <v>63</v>
      </c>
      <c r="P2129" s="4" t="n">
        <v>68</v>
      </c>
      <c r="Q2129" s="8"/>
      <c r="R2129" s="4" t="s">
        <v>7090</v>
      </c>
      <c r="S2129" s="4" t="n">
        <v>1842</v>
      </c>
    </row>
    <row r="2130" customFormat="false" ht="15" hidden="false" customHeight="false" outlineLevel="0" collapsed="false">
      <c r="A2130" s="4" t="s">
        <v>7092</v>
      </c>
      <c r="B2130" s="8" t="s">
        <v>7093</v>
      </c>
      <c r="C2130" s="8"/>
      <c r="D2130" s="8"/>
      <c r="E2130" s="8" t="s">
        <v>85</v>
      </c>
      <c r="F2130" s="8"/>
      <c r="G2130" s="8"/>
      <c r="H2130" s="8"/>
      <c r="I2130" s="8" t="s">
        <v>7094</v>
      </c>
      <c r="J2130" s="8" t="s">
        <v>78</v>
      </c>
      <c r="K2130" s="8" t="s">
        <v>7095</v>
      </c>
      <c r="L2130" s="8"/>
      <c r="M2130" s="8"/>
      <c r="N2130" s="8" t="s">
        <v>62</v>
      </c>
      <c r="O2130" s="8" t="s">
        <v>63</v>
      </c>
      <c r="P2130" s="4" t="n">
        <v>69</v>
      </c>
      <c r="Q2130" s="8"/>
      <c r="R2130" s="4" t="s">
        <v>7093</v>
      </c>
      <c r="S2130" s="4" t="n">
        <v>39</v>
      </c>
    </row>
    <row r="2131" customFormat="false" ht="15" hidden="false" customHeight="false" outlineLevel="0" collapsed="false">
      <c r="A2131" s="4" t="s">
        <v>7096</v>
      </c>
      <c r="B2131" s="8" t="s">
        <v>7097</v>
      </c>
      <c r="C2131" s="8"/>
      <c r="D2131" s="8"/>
      <c r="E2131" s="8" t="s">
        <v>85</v>
      </c>
      <c r="F2131" s="8"/>
      <c r="G2131" s="8"/>
      <c r="H2131" s="8"/>
      <c r="I2131" s="8" t="s">
        <v>7098</v>
      </c>
      <c r="J2131" s="8" t="s">
        <v>78</v>
      </c>
      <c r="K2131" s="8" t="s">
        <v>7095</v>
      </c>
      <c r="L2131" s="8"/>
      <c r="M2131" s="8"/>
      <c r="N2131" s="8" t="s">
        <v>62</v>
      </c>
      <c r="O2131" s="8" t="s">
        <v>63</v>
      </c>
      <c r="P2131" s="4" t="n">
        <v>69</v>
      </c>
      <c r="Q2131" s="8"/>
      <c r="R2131" s="4" t="s">
        <v>7097</v>
      </c>
      <c r="S2131" s="4" t="n">
        <v>63</v>
      </c>
    </row>
    <row r="2132" customFormat="false" ht="15" hidden="false" customHeight="false" outlineLevel="0" collapsed="false">
      <c r="A2132" s="4" t="s">
        <v>7099</v>
      </c>
      <c r="B2132" s="8" t="s">
        <v>7100</v>
      </c>
      <c r="C2132" s="8"/>
      <c r="D2132" s="8"/>
      <c r="E2132" s="8" t="s">
        <v>85</v>
      </c>
      <c r="F2132" s="8"/>
      <c r="G2132" s="8"/>
      <c r="H2132" s="8"/>
      <c r="I2132" s="8" t="s">
        <v>7101</v>
      </c>
      <c r="J2132" s="8" t="s">
        <v>78</v>
      </c>
      <c r="K2132" s="8" t="s">
        <v>7095</v>
      </c>
      <c r="L2132" s="8"/>
      <c r="M2132" s="8"/>
      <c r="N2132" s="8" t="s">
        <v>62</v>
      </c>
      <c r="O2132" s="8" t="s">
        <v>63</v>
      </c>
      <c r="P2132" s="4" t="n">
        <v>69</v>
      </c>
      <c r="Q2132" s="8"/>
      <c r="R2132" s="4" t="s">
        <v>7100</v>
      </c>
      <c r="S2132" s="4" t="n">
        <v>11</v>
      </c>
    </row>
    <row r="2133" customFormat="false" ht="15" hidden="false" customHeight="false" outlineLevel="0" collapsed="false">
      <c r="A2133" s="4" t="s">
        <v>7102</v>
      </c>
      <c r="B2133" s="8" t="s">
        <v>7103</v>
      </c>
      <c r="C2133" s="8"/>
      <c r="D2133" s="8"/>
      <c r="E2133" s="8" t="s">
        <v>85</v>
      </c>
      <c r="F2133" s="8"/>
      <c r="G2133" s="8"/>
      <c r="H2133" s="8"/>
      <c r="I2133" s="8" t="s">
        <v>7104</v>
      </c>
      <c r="J2133" s="8" t="s">
        <v>78</v>
      </c>
      <c r="K2133" s="8" t="s">
        <v>7095</v>
      </c>
      <c r="L2133" s="8"/>
      <c r="M2133" s="8"/>
      <c r="N2133" s="8" t="s">
        <v>62</v>
      </c>
      <c r="O2133" s="8" t="s">
        <v>63</v>
      </c>
      <c r="P2133" s="4" t="n">
        <v>69</v>
      </c>
      <c r="Q2133" s="8"/>
      <c r="R2133" s="4" t="s">
        <v>7103</v>
      </c>
      <c r="S2133" s="4" t="n">
        <v>58</v>
      </c>
    </row>
    <row r="2134" customFormat="false" ht="15" hidden="false" customHeight="false" outlineLevel="0" collapsed="false">
      <c r="A2134" s="4" t="s">
        <v>7105</v>
      </c>
      <c r="B2134" s="8" t="s">
        <v>7106</v>
      </c>
      <c r="C2134" s="8"/>
      <c r="D2134" s="8"/>
      <c r="E2134" s="8" t="s">
        <v>85</v>
      </c>
      <c r="F2134" s="8"/>
      <c r="G2134" s="8"/>
      <c r="H2134" s="8"/>
      <c r="I2134" s="8" t="s">
        <v>7107</v>
      </c>
      <c r="J2134" s="8" t="s">
        <v>78</v>
      </c>
      <c r="K2134" s="8" t="s">
        <v>7095</v>
      </c>
      <c r="L2134" s="8"/>
      <c r="M2134" s="8"/>
      <c r="N2134" s="8" t="s">
        <v>62</v>
      </c>
      <c r="O2134" s="8" t="s">
        <v>63</v>
      </c>
      <c r="P2134" s="4" t="n">
        <v>69</v>
      </c>
      <c r="Q2134" s="8"/>
      <c r="R2134" s="4" t="s">
        <v>7106</v>
      </c>
      <c r="S2134" s="4" t="n">
        <v>127</v>
      </c>
    </row>
    <row r="2135" customFormat="false" ht="15" hidden="false" customHeight="false" outlineLevel="0" collapsed="false">
      <c r="A2135" s="4" t="s">
        <v>7108</v>
      </c>
      <c r="B2135" s="8" t="s">
        <v>7109</v>
      </c>
      <c r="C2135" s="8"/>
      <c r="D2135" s="8"/>
      <c r="E2135" s="8" t="s">
        <v>85</v>
      </c>
      <c r="F2135" s="8"/>
      <c r="G2135" s="8"/>
      <c r="H2135" s="8"/>
      <c r="I2135" s="8" t="s">
        <v>7110</v>
      </c>
      <c r="J2135" s="8" t="s">
        <v>78</v>
      </c>
      <c r="K2135" s="8" t="s">
        <v>7095</v>
      </c>
      <c r="L2135" s="8"/>
      <c r="M2135" s="8"/>
      <c r="N2135" s="8" t="s">
        <v>62</v>
      </c>
      <c r="O2135" s="8" t="s">
        <v>63</v>
      </c>
      <c r="P2135" s="4" t="n">
        <v>69</v>
      </c>
      <c r="Q2135" s="8"/>
      <c r="R2135" s="4" t="s">
        <v>7109</v>
      </c>
      <c r="S2135" s="4" t="n">
        <v>415</v>
      </c>
    </row>
    <row r="2136" customFormat="false" ht="15" hidden="false" customHeight="false" outlineLevel="0" collapsed="false">
      <c r="A2136" s="4" t="s">
        <v>7111</v>
      </c>
      <c r="B2136" s="8" t="s">
        <v>7112</v>
      </c>
      <c r="C2136" s="8"/>
      <c r="D2136" s="8"/>
      <c r="E2136" s="8" t="s">
        <v>85</v>
      </c>
      <c r="F2136" s="8"/>
      <c r="G2136" s="8"/>
      <c r="H2136" s="8"/>
      <c r="I2136" s="8" t="s">
        <v>7113</v>
      </c>
      <c r="J2136" s="8" t="s">
        <v>78</v>
      </c>
      <c r="K2136" s="8" t="s">
        <v>7095</v>
      </c>
      <c r="L2136" s="8"/>
      <c r="M2136" s="8"/>
      <c r="N2136" s="8" t="s">
        <v>62</v>
      </c>
      <c r="O2136" s="8" t="s">
        <v>63</v>
      </c>
      <c r="P2136" s="4" t="n">
        <v>69</v>
      </c>
      <c r="Q2136" s="8"/>
      <c r="R2136" s="4" t="s">
        <v>7112</v>
      </c>
      <c r="S2136" s="4" t="n">
        <v>45</v>
      </c>
    </row>
    <row r="2137" customFormat="false" ht="15" hidden="false" customHeight="false" outlineLevel="0" collapsed="false">
      <c r="A2137" s="4" t="s">
        <v>7114</v>
      </c>
      <c r="B2137" s="8" t="s">
        <v>7115</v>
      </c>
      <c r="C2137" s="8"/>
      <c r="D2137" s="8"/>
      <c r="E2137" s="8" t="s">
        <v>82</v>
      </c>
      <c r="F2137" s="8"/>
      <c r="G2137" s="8"/>
      <c r="H2137" s="8"/>
      <c r="I2137" s="8" t="s">
        <v>7116</v>
      </c>
      <c r="J2137" s="8" t="s">
        <v>78</v>
      </c>
      <c r="K2137" s="8" t="s">
        <v>7117</v>
      </c>
      <c r="L2137" s="8"/>
      <c r="M2137" s="8"/>
      <c r="N2137" s="8" t="s">
        <v>62</v>
      </c>
      <c r="O2137" s="8" t="s">
        <v>63</v>
      </c>
      <c r="P2137" s="4" t="n">
        <v>69</v>
      </c>
      <c r="Q2137" s="8"/>
      <c r="R2137" s="4" t="s">
        <v>7115</v>
      </c>
      <c r="S2137" s="4"/>
    </row>
    <row r="2138" customFormat="false" ht="15" hidden="false" customHeight="false" outlineLevel="0" collapsed="false">
      <c r="A2138" s="4" t="s">
        <v>7118</v>
      </c>
      <c r="B2138" s="8" t="s">
        <v>7119</v>
      </c>
      <c r="C2138" s="8"/>
      <c r="D2138" s="8"/>
      <c r="E2138" s="8" t="s">
        <v>82</v>
      </c>
      <c r="F2138" s="8"/>
      <c r="G2138" s="8"/>
      <c r="H2138" s="8"/>
      <c r="I2138" s="8" t="s">
        <v>7120</v>
      </c>
      <c r="J2138" s="8" t="s">
        <v>78</v>
      </c>
      <c r="K2138" s="8" t="s">
        <v>7117</v>
      </c>
      <c r="L2138" s="8"/>
      <c r="M2138" s="8"/>
      <c r="N2138" s="8" t="s">
        <v>62</v>
      </c>
      <c r="O2138" s="8" t="s">
        <v>63</v>
      </c>
      <c r="P2138" s="4" t="n">
        <v>69</v>
      </c>
      <c r="Q2138" s="8"/>
      <c r="R2138" s="4" t="s">
        <v>7119</v>
      </c>
      <c r="S2138" s="4"/>
    </row>
    <row r="2139" customFormat="false" ht="15" hidden="false" customHeight="false" outlineLevel="0" collapsed="false">
      <c r="A2139" s="4" t="s">
        <v>7121</v>
      </c>
      <c r="B2139" s="8" t="s">
        <v>7122</v>
      </c>
      <c r="C2139" s="8"/>
      <c r="D2139" s="8"/>
      <c r="E2139" s="8" t="s">
        <v>82</v>
      </c>
      <c r="F2139" s="8"/>
      <c r="G2139" s="8"/>
      <c r="H2139" s="8"/>
      <c r="I2139" s="8" t="s">
        <v>7123</v>
      </c>
      <c r="J2139" s="8" t="s">
        <v>78</v>
      </c>
      <c r="K2139" s="8" t="s">
        <v>7117</v>
      </c>
      <c r="L2139" s="8"/>
      <c r="M2139" s="8"/>
      <c r="N2139" s="8" t="s">
        <v>62</v>
      </c>
      <c r="O2139" s="8" t="s">
        <v>63</v>
      </c>
      <c r="P2139" s="4" t="n">
        <v>69</v>
      </c>
      <c r="Q2139" s="8"/>
      <c r="R2139" s="4" t="s">
        <v>7122</v>
      </c>
      <c r="S2139" s="4"/>
    </row>
    <row r="2140" customFormat="false" ht="15" hidden="false" customHeight="false" outlineLevel="0" collapsed="false">
      <c r="A2140" s="4" t="s">
        <v>7124</v>
      </c>
      <c r="B2140" s="8" t="s">
        <v>7125</v>
      </c>
      <c r="C2140" s="8"/>
      <c r="D2140" s="8"/>
      <c r="E2140" s="8" t="s">
        <v>82</v>
      </c>
      <c r="F2140" s="8"/>
      <c r="G2140" s="8"/>
      <c r="H2140" s="8"/>
      <c r="I2140" s="8" t="s">
        <v>7126</v>
      </c>
      <c r="J2140" s="8" t="s">
        <v>78</v>
      </c>
      <c r="K2140" s="8" t="s">
        <v>7117</v>
      </c>
      <c r="L2140" s="8"/>
      <c r="M2140" s="8"/>
      <c r="N2140" s="8" t="s">
        <v>62</v>
      </c>
      <c r="O2140" s="8" t="s">
        <v>63</v>
      </c>
      <c r="P2140" s="4" t="n">
        <v>69</v>
      </c>
      <c r="Q2140" s="8"/>
      <c r="R2140" s="4" t="s">
        <v>7125</v>
      </c>
      <c r="S2140" s="4"/>
    </row>
    <row r="2141" customFormat="false" ht="15" hidden="false" customHeight="false" outlineLevel="0" collapsed="false">
      <c r="A2141" s="4" t="s">
        <v>7127</v>
      </c>
      <c r="B2141" s="8" t="s">
        <v>7128</v>
      </c>
      <c r="C2141" s="8"/>
      <c r="D2141" s="8"/>
      <c r="E2141" s="8" t="s">
        <v>82</v>
      </c>
      <c r="F2141" s="8"/>
      <c r="G2141" s="8"/>
      <c r="H2141" s="8"/>
      <c r="I2141" s="8" t="s">
        <v>7129</v>
      </c>
      <c r="J2141" s="8" t="s">
        <v>78</v>
      </c>
      <c r="K2141" s="8" t="s">
        <v>7117</v>
      </c>
      <c r="L2141" s="8"/>
      <c r="M2141" s="8"/>
      <c r="N2141" s="8" t="s">
        <v>62</v>
      </c>
      <c r="O2141" s="8" t="s">
        <v>63</v>
      </c>
      <c r="P2141" s="4" t="n">
        <v>69</v>
      </c>
      <c r="Q2141" s="8"/>
      <c r="R2141" s="4" t="s">
        <v>7128</v>
      </c>
      <c r="S2141" s="4"/>
    </row>
    <row r="2142" customFormat="false" ht="15" hidden="false" customHeight="false" outlineLevel="0" collapsed="false">
      <c r="A2142" s="4" t="s">
        <v>7130</v>
      </c>
      <c r="B2142" s="8" t="s">
        <v>7131</v>
      </c>
      <c r="C2142" s="8"/>
      <c r="D2142" s="8"/>
      <c r="E2142" s="8" t="s">
        <v>82</v>
      </c>
      <c r="F2142" s="8"/>
      <c r="G2142" s="8"/>
      <c r="H2142" s="8"/>
      <c r="I2142" s="8" t="s">
        <v>7132</v>
      </c>
      <c r="J2142" s="8" t="s">
        <v>78</v>
      </c>
      <c r="K2142" s="8" t="s">
        <v>7117</v>
      </c>
      <c r="L2142" s="8"/>
      <c r="M2142" s="8"/>
      <c r="N2142" s="8" t="s">
        <v>62</v>
      </c>
      <c r="O2142" s="8" t="s">
        <v>63</v>
      </c>
      <c r="P2142" s="4" t="n">
        <v>69</v>
      </c>
      <c r="Q2142" s="8"/>
      <c r="R2142" s="4" t="s">
        <v>7131</v>
      </c>
      <c r="S2142" s="4"/>
    </row>
    <row r="2143" customFormat="false" ht="15" hidden="false" customHeight="false" outlineLevel="0" collapsed="false">
      <c r="A2143" s="4" t="s">
        <v>7133</v>
      </c>
      <c r="B2143" s="8" t="s">
        <v>7134</v>
      </c>
      <c r="C2143" s="8"/>
      <c r="D2143" s="8"/>
      <c r="E2143" s="8" t="s">
        <v>82</v>
      </c>
      <c r="F2143" s="8"/>
      <c r="G2143" s="8"/>
      <c r="H2143" s="8"/>
      <c r="I2143" s="8" t="s">
        <v>7135</v>
      </c>
      <c r="J2143" s="8" t="s">
        <v>78</v>
      </c>
      <c r="K2143" s="8" t="s">
        <v>7117</v>
      </c>
      <c r="L2143" s="8"/>
      <c r="M2143" s="8"/>
      <c r="N2143" s="8" t="s">
        <v>62</v>
      </c>
      <c r="O2143" s="8" t="s">
        <v>63</v>
      </c>
      <c r="P2143" s="4" t="n">
        <v>69</v>
      </c>
      <c r="Q2143" s="8"/>
      <c r="R2143" s="4" t="s">
        <v>7134</v>
      </c>
      <c r="S2143" s="4"/>
    </row>
    <row r="2144" customFormat="false" ht="15" hidden="false" customHeight="false" outlineLevel="0" collapsed="false">
      <c r="A2144" s="4" t="s">
        <v>7136</v>
      </c>
      <c r="B2144" s="8" t="s">
        <v>7137</v>
      </c>
      <c r="C2144" s="8"/>
      <c r="D2144" s="8"/>
      <c r="E2144" s="8" t="s">
        <v>82</v>
      </c>
      <c r="F2144" s="8"/>
      <c r="G2144" s="8"/>
      <c r="H2144" s="8"/>
      <c r="I2144" s="8" t="s">
        <v>7138</v>
      </c>
      <c r="J2144" s="8" t="s">
        <v>78</v>
      </c>
      <c r="K2144" s="8" t="s">
        <v>7117</v>
      </c>
      <c r="L2144" s="8"/>
      <c r="M2144" s="8"/>
      <c r="N2144" s="8" t="s">
        <v>62</v>
      </c>
      <c r="O2144" s="8" t="s">
        <v>63</v>
      </c>
      <c r="P2144" s="4" t="n">
        <v>69</v>
      </c>
      <c r="Q2144" s="8"/>
      <c r="R2144" s="4" t="s">
        <v>7137</v>
      </c>
      <c r="S2144" s="4"/>
    </row>
    <row r="2145" customFormat="false" ht="15" hidden="false" customHeight="false" outlineLevel="0" collapsed="false">
      <c r="A2145" s="4" t="s">
        <v>7139</v>
      </c>
      <c r="B2145" s="8" t="s">
        <v>7140</v>
      </c>
      <c r="C2145" s="8"/>
      <c r="D2145" s="8"/>
      <c r="E2145" s="8" t="s">
        <v>82</v>
      </c>
      <c r="F2145" s="8"/>
      <c r="G2145" s="8"/>
      <c r="H2145" s="8"/>
      <c r="I2145" s="8" t="s">
        <v>7141</v>
      </c>
      <c r="J2145" s="8" t="s">
        <v>78</v>
      </c>
      <c r="K2145" s="8" t="s">
        <v>7117</v>
      </c>
      <c r="L2145" s="8"/>
      <c r="M2145" s="8"/>
      <c r="N2145" s="8" t="s">
        <v>62</v>
      </c>
      <c r="O2145" s="8" t="s">
        <v>63</v>
      </c>
      <c r="P2145" s="4" t="n">
        <v>69</v>
      </c>
      <c r="Q2145" s="8"/>
      <c r="R2145" s="4" t="s">
        <v>7140</v>
      </c>
      <c r="S2145" s="4"/>
    </row>
    <row r="2146" customFormat="false" ht="15" hidden="false" customHeight="false" outlineLevel="0" collapsed="false">
      <c r="A2146" s="4" t="s">
        <v>7142</v>
      </c>
      <c r="B2146" s="8" t="s">
        <v>7143</v>
      </c>
      <c r="C2146" s="8"/>
      <c r="D2146" s="8"/>
      <c r="E2146" s="8" t="s">
        <v>82</v>
      </c>
      <c r="F2146" s="8"/>
      <c r="G2146" s="8"/>
      <c r="H2146" s="8"/>
      <c r="I2146" s="8" t="s">
        <v>7144</v>
      </c>
      <c r="J2146" s="8" t="s">
        <v>78</v>
      </c>
      <c r="K2146" s="8" t="s">
        <v>7117</v>
      </c>
      <c r="L2146" s="8"/>
      <c r="M2146" s="8"/>
      <c r="N2146" s="8" t="s">
        <v>62</v>
      </c>
      <c r="O2146" s="8" t="s">
        <v>63</v>
      </c>
      <c r="P2146" s="4" t="n">
        <v>69</v>
      </c>
      <c r="Q2146" s="8"/>
      <c r="R2146" s="4" t="s">
        <v>7143</v>
      </c>
      <c r="S2146" s="4"/>
    </row>
    <row r="2147" customFormat="false" ht="15" hidden="false" customHeight="false" outlineLevel="0" collapsed="false">
      <c r="A2147" s="4" t="s">
        <v>7145</v>
      </c>
      <c r="B2147" s="8" t="s">
        <v>7146</v>
      </c>
      <c r="C2147" s="8"/>
      <c r="D2147" s="8"/>
      <c r="E2147" s="8" t="s">
        <v>82</v>
      </c>
      <c r="F2147" s="8"/>
      <c r="G2147" s="8"/>
      <c r="H2147" s="8"/>
      <c r="I2147" s="8" t="s">
        <v>7147</v>
      </c>
      <c r="J2147" s="8" t="s">
        <v>78</v>
      </c>
      <c r="K2147" s="8" t="s">
        <v>7117</v>
      </c>
      <c r="L2147" s="8"/>
      <c r="M2147" s="8"/>
      <c r="N2147" s="8" t="s">
        <v>62</v>
      </c>
      <c r="O2147" s="8" t="s">
        <v>63</v>
      </c>
      <c r="P2147" s="4" t="n">
        <v>69</v>
      </c>
      <c r="Q2147" s="8"/>
      <c r="R2147" s="4" t="s">
        <v>7146</v>
      </c>
      <c r="S2147" s="4"/>
    </row>
    <row r="2148" customFormat="false" ht="15" hidden="false" customHeight="false" outlineLevel="0" collapsed="false">
      <c r="A2148" s="4" t="s">
        <v>7148</v>
      </c>
      <c r="B2148" s="8" t="s">
        <v>7149</v>
      </c>
      <c r="C2148" s="8"/>
      <c r="D2148" s="8"/>
      <c r="E2148" s="8" t="s">
        <v>82</v>
      </c>
      <c r="F2148" s="8"/>
      <c r="G2148" s="8"/>
      <c r="H2148" s="8"/>
      <c r="I2148" s="8" t="s">
        <v>7150</v>
      </c>
      <c r="J2148" s="8" t="s">
        <v>78</v>
      </c>
      <c r="K2148" s="8" t="s">
        <v>7117</v>
      </c>
      <c r="L2148" s="8"/>
      <c r="M2148" s="8"/>
      <c r="N2148" s="8" t="s">
        <v>62</v>
      </c>
      <c r="O2148" s="8" t="s">
        <v>63</v>
      </c>
      <c r="P2148" s="4" t="n">
        <v>69</v>
      </c>
      <c r="Q2148" s="8"/>
      <c r="R2148" s="4" t="s">
        <v>7149</v>
      </c>
      <c r="S2148" s="4"/>
    </row>
    <row r="2149" customFormat="false" ht="15" hidden="false" customHeight="false" outlineLevel="0" collapsed="false">
      <c r="A2149" s="4" t="s">
        <v>7151</v>
      </c>
      <c r="B2149" s="8" t="s">
        <v>7152</v>
      </c>
      <c r="C2149" s="8"/>
      <c r="D2149" s="8"/>
      <c r="E2149" s="8" t="s">
        <v>82</v>
      </c>
      <c r="F2149" s="8"/>
      <c r="G2149" s="8"/>
      <c r="H2149" s="8"/>
      <c r="I2149" s="8" t="s">
        <v>7153</v>
      </c>
      <c r="J2149" s="8" t="s">
        <v>78</v>
      </c>
      <c r="K2149" s="8" t="s">
        <v>7117</v>
      </c>
      <c r="L2149" s="8"/>
      <c r="M2149" s="8"/>
      <c r="N2149" s="8" t="s">
        <v>62</v>
      </c>
      <c r="O2149" s="8" t="s">
        <v>63</v>
      </c>
      <c r="P2149" s="4" t="n">
        <v>69</v>
      </c>
      <c r="Q2149" s="8"/>
      <c r="R2149" s="4" t="s">
        <v>7152</v>
      </c>
      <c r="S2149" s="4"/>
    </row>
    <row r="2150" customFormat="false" ht="15" hidden="false" customHeight="false" outlineLevel="0" collapsed="false">
      <c r="A2150" s="4" t="s">
        <v>7154</v>
      </c>
      <c r="B2150" s="8" t="s">
        <v>7155</v>
      </c>
      <c r="C2150" s="8"/>
      <c r="D2150" s="8"/>
      <c r="E2150" s="8" t="s">
        <v>82</v>
      </c>
      <c r="F2150" s="8"/>
      <c r="G2150" s="8"/>
      <c r="H2150" s="8"/>
      <c r="I2150" s="8" t="s">
        <v>7156</v>
      </c>
      <c r="J2150" s="8" t="s">
        <v>78</v>
      </c>
      <c r="K2150" s="8" t="s">
        <v>7117</v>
      </c>
      <c r="L2150" s="8"/>
      <c r="M2150" s="8"/>
      <c r="N2150" s="8" t="s">
        <v>62</v>
      </c>
      <c r="O2150" s="8" t="s">
        <v>63</v>
      </c>
      <c r="P2150" s="4" t="n">
        <v>69</v>
      </c>
      <c r="Q2150" s="8"/>
      <c r="R2150" s="4" t="s">
        <v>7155</v>
      </c>
      <c r="S2150" s="4"/>
    </row>
    <row r="2151" customFormat="false" ht="15" hidden="false" customHeight="false" outlineLevel="0" collapsed="false">
      <c r="A2151" s="4" t="s">
        <v>7157</v>
      </c>
      <c r="B2151" s="8" t="s">
        <v>7158</v>
      </c>
      <c r="C2151" s="8"/>
      <c r="D2151" s="8"/>
      <c r="E2151" s="8" t="s">
        <v>82</v>
      </c>
      <c r="F2151" s="8"/>
      <c r="G2151" s="8"/>
      <c r="H2151" s="8"/>
      <c r="I2151" s="8" t="s">
        <v>7159</v>
      </c>
      <c r="J2151" s="8" t="s">
        <v>78</v>
      </c>
      <c r="K2151" s="8" t="s">
        <v>7117</v>
      </c>
      <c r="L2151" s="8"/>
      <c r="M2151" s="8"/>
      <c r="N2151" s="8" t="s">
        <v>62</v>
      </c>
      <c r="O2151" s="8" t="s">
        <v>63</v>
      </c>
      <c r="P2151" s="4" t="n">
        <v>69</v>
      </c>
      <c r="Q2151" s="8"/>
      <c r="R2151" s="4" t="s">
        <v>7158</v>
      </c>
      <c r="S2151" s="4"/>
    </row>
    <row r="2152" customFormat="false" ht="15" hidden="false" customHeight="false" outlineLevel="0" collapsed="false">
      <c r="A2152" s="4" t="s">
        <v>7160</v>
      </c>
      <c r="B2152" s="8" t="s">
        <v>7161</v>
      </c>
      <c r="C2152" s="8"/>
      <c r="D2152" s="8"/>
      <c r="E2152" s="8" t="s">
        <v>82</v>
      </c>
      <c r="F2152" s="8"/>
      <c r="G2152" s="8"/>
      <c r="H2152" s="8"/>
      <c r="I2152" s="8" t="s">
        <v>7162</v>
      </c>
      <c r="J2152" s="8" t="s">
        <v>78</v>
      </c>
      <c r="K2152" s="8" t="s">
        <v>7117</v>
      </c>
      <c r="L2152" s="8"/>
      <c r="M2152" s="8"/>
      <c r="N2152" s="8" t="s">
        <v>62</v>
      </c>
      <c r="O2152" s="8" t="s">
        <v>63</v>
      </c>
      <c r="P2152" s="4" t="n">
        <v>69</v>
      </c>
      <c r="Q2152" s="8"/>
      <c r="R2152" s="4" t="s">
        <v>7161</v>
      </c>
      <c r="S2152" s="4"/>
    </row>
    <row r="2153" customFormat="false" ht="15" hidden="false" customHeight="false" outlineLevel="0" collapsed="false">
      <c r="A2153" s="4" t="s">
        <v>7163</v>
      </c>
      <c r="B2153" s="8" t="s">
        <v>7164</v>
      </c>
      <c r="C2153" s="8"/>
      <c r="D2153" s="8"/>
      <c r="E2153" s="8" t="s">
        <v>82</v>
      </c>
      <c r="F2153" s="8"/>
      <c r="G2153" s="8"/>
      <c r="H2153" s="8"/>
      <c r="I2153" s="8" t="s">
        <v>7165</v>
      </c>
      <c r="J2153" s="8" t="s">
        <v>78</v>
      </c>
      <c r="K2153" s="8" t="s">
        <v>7117</v>
      </c>
      <c r="L2153" s="8"/>
      <c r="M2153" s="8"/>
      <c r="N2153" s="8" t="s">
        <v>62</v>
      </c>
      <c r="O2153" s="8" t="s">
        <v>63</v>
      </c>
      <c r="P2153" s="4" t="n">
        <v>69</v>
      </c>
      <c r="Q2153" s="8"/>
      <c r="R2153" s="4" t="s">
        <v>7164</v>
      </c>
      <c r="S2153" s="4"/>
    </row>
    <row r="2154" customFormat="false" ht="15" hidden="false" customHeight="false" outlineLevel="0" collapsed="false">
      <c r="A2154" s="4" t="s">
        <v>7166</v>
      </c>
      <c r="B2154" s="8" t="s">
        <v>7167</v>
      </c>
      <c r="C2154" s="8"/>
      <c r="D2154" s="8"/>
      <c r="E2154" s="8" t="s">
        <v>82</v>
      </c>
      <c r="F2154" s="8"/>
      <c r="G2154" s="8"/>
      <c r="H2154" s="8"/>
      <c r="I2154" s="8" t="s">
        <v>7168</v>
      </c>
      <c r="J2154" s="8" t="s">
        <v>78</v>
      </c>
      <c r="K2154" s="8" t="s">
        <v>7117</v>
      </c>
      <c r="L2154" s="8"/>
      <c r="M2154" s="8"/>
      <c r="N2154" s="8" t="s">
        <v>62</v>
      </c>
      <c r="O2154" s="8" t="s">
        <v>63</v>
      </c>
      <c r="P2154" s="4" t="n">
        <v>69</v>
      </c>
      <c r="Q2154" s="8"/>
      <c r="R2154" s="4" t="s">
        <v>7167</v>
      </c>
      <c r="S2154" s="4"/>
    </row>
    <row r="2155" customFormat="false" ht="15" hidden="false" customHeight="false" outlineLevel="0" collapsed="false">
      <c r="A2155" s="4" t="s">
        <v>7169</v>
      </c>
      <c r="B2155" s="8" t="s">
        <v>7170</v>
      </c>
      <c r="C2155" s="8"/>
      <c r="D2155" s="8"/>
      <c r="E2155" s="8" t="s">
        <v>82</v>
      </c>
      <c r="F2155" s="8"/>
      <c r="G2155" s="8"/>
      <c r="H2155" s="8"/>
      <c r="I2155" s="8" t="s">
        <v>7171</v>
      </c>
      <c r="J2155" s="8" t="s">
        <v>78</v>
      </c>
      <c r="K2155" s="8" t="s">
        <v>7117</v>
      </c>
      <c r="L2155" s="8"/>
      <c r="M2155" s="8"/>
      <c r="N2155" s="8" t="s">
        <v>62</v>
      </c>
      <c r="O2155" s="8" t="s">
        <v>63</v>
      </c>
      <c r="P2155" s="4" t="n">
        <v>69</v>
      </c>
      <c r="Q2155" s="8"/>
      <c r="R2155" s="4" t="s">
        <v>7170</v>
      </c>
      <c r="S2155" s="4"/>
    </row>
    <row r="2156" customFormat="false" ht="15" hidden="false" customHeight="false" outlineLevel="0" collapsed="false">
      <c r="A2156" s="4" t="s">
        <v>7172</v>
      </c>
      <c r="B2156" s="8" t="s">
        <v>7173</v>
      </c>
      <c r="C2156" s="8"/>
      <c r="D2156" s="8"/>
      <c r="E2156" s="8"/>
      <c r="F2156" s="8"/>
      <c r="G2156" s="8"/>
      <c r="H2156" s="8"/>
      <c r="I2156" s="8" t="s">
        <v>7174</v>
      </c>
      <c r="J2156" s="8" t="s">
        <v>78</v>
      </c>
      <c r="K2156" s="8" t="s">
        <v>7175</v>
      </c>
      <c r="L2156" s="8"/>
      <c r="M2156" s="8"/>
      <c r="N2156" s="8" t="s">
        <v>62</v>
      </c>
      <c r="O2156" s="8" t="s">
        <v>63</v>
      </c>
      <c r="P2156" s="4" t="n">
        <v>69</v>
      </c>
      <c r="Q2156" s="8"/>
      <c r="R2156" s="4" t="s">
        <v>7173</v>
      </c>
      <c r="S2156" s="4"/>
    </row>
    <row r="2157" customFormat="false" ht="15" hidden="false" customHeight="false" outlineLevel="0" collapsed="false">
      <c r="A2157" s="4" t="s">
        <v>7176</v>
      </c>
      <c r="B2157" s="8" t="s">
        <v>7177</v>
      </c>
      <c r="C2157" s="8"/>
      <c r="D2157" s="8"/>
      <c r="E2157" s="8"/>
      <c r="F2157" s="8"/>
      <c r="G2157" s="8"/>
      <c r="H2157" s="8"/>
      <c r="I2157" s="8" t="s">
        <v>7178</v>
      </c>
      <c r="J2157" s="8" t="s">
        <v>78</v>
      </c>
      <c r="K2157" s="8" t="s">
        <v>7175</v>
      </c>
      <c r="L2157" s="8"/>
      <c r="M2157" s="8"/>
      <c r="N2157" s="8" t="s">
        <v>62</v>
      </c>
      <c r="O2157" s="8" t="s">
        <v>63</v>
      </c>
      <c r="P2157" s="4" t="n">
        <v>69</v>
      </c>
      <c r="Q2157" s="8"/>
      <c r="R2157" s="4" t="s">
        <v>7177</v>
      </c>
      <c r="S2157" s="4"/>
    </row>
    <row r="2158" customFormat="false" ht="15" hidden="false" customHeight="false" outlineLevel="0" collapsed="false">
      <c r="A2158" s="4" t="s">
        <v>7179</v>
      </c>
      <c r="B2158" s="8" t="s">
        <v>7180</v>
      </c>
      <c r="C2158" s="8"/>
      <c r="D2158" s="8"/>
      <c r="E2158" s="8"/>
      <c r="F2158" s="8"/>
      <c r="G2158" s="8"/>
      <c r="H2158" s="8"/>
      <c r="I2158" s="8" t="s">
        <v>7181</v>
      </c>
      <c r="J2158" s="8" t="s">
        <v>78</v>
      </c>
      <c r="K2158" s="8" t="s">
        <v>7175</v>
      </c>
      <c r="L2158" s="8"/>
      <c r="M2158" s="8"/>
      <c r="N2158" s="8" t="s">
        <v>62</v>
      </c>
      <c r="O2158" s="8" t="s">
        <v>63</v>
      </c>
      <c r="P2158" s="4" t="n">
        <v>69</v>
      </c>
      <c r="Q2158" s="8"/>
      <c r="R2158" s="4" t="s">
        <v>7180</v>
      </c>
      <c r="S2158" s="4"/>
    </row>
    <row r="2159" customFormat="false" ht="15" hidden="false" customHeight="false" outlineLevel="0" collapsed="false">
      <c r="A2159" s="4" t="s">
        <v>7182</v>
      </c>
      <c r="B2159" s="8" t="s">
        <v>7183</v>
      </c>
      <c r="C2159" s="8"/>
      <c r="D2159" s="8"/>
      <c r="E2159" s="8"/>
      <c r="F2159" s="8"/>
      <c r="G2159" s="8"/>
      <c r="H2159" s="8"/>
      <c r="I2159" s="8" t="s">
        <v>7184</v>
      </c>
      <c r="J2159" s="8" t="s">
        <v>78</v>
      </c>
      <c r="K2159" s="8" t="s">
        <v>7175</v>
      </c>
      <c r="L2159" s="8"/>
      <c r="M2159" s="8"/>
      <c r="N2159" s="8" t="s">
        <v>62</v>
      </c>
      <c r="O2159" s="8" t="s">
        <v>63</v>
      </c>
      <c r="P2159" s="4" t="n">
        <v>69</v>
      </c>
      <c r="Q2159" s="8"/>
      <c r="R2159" s="4" t="s">
        <v>7183</v>
      </c>
      <c r="S2159" s="4"/>
    </row>
    <row r="2160" customFormat="false" ht="15" hidden="false" customHeight="false" outlineLevel="0" collapsed="false">
      <c r="A2160" s="4" t="s">
        <v>7185</v>
      </c>
      <c r="B2160" s="8" t="s">
        <v>7186</v>
      </c>
      <c r="C2160" s="8"/>
      <c r="D2160" s="8"/>
      <c r="E2160" s="8"/>
      <c r="F2160" s="8"/>
      <c r="G2160" s="8"/>
      <c r="H2160" s="8"/>
      <c r="I2160" s="8" t="s">
        <v>7187</v>
      </c>
      <c r="J2160" s="8" t="s">
        <v>78</v>
      </c>
      <c r="K2160" s="8" t="s">
        <v>7175</v>
      </c>
      <c r="L2160" s="8"/>
      <c r="M2160" s="8"/>
      <c r="N2160" s="8" t="s">
        <v>62</v>
      </c>
      <c r="O2160" s="8" t="s">
        <v>63</v>
      </c>
      <c r="P2160" s="4" t="n">
        <v>69</v>
      </c>
      <c r="Q2160" s="8"/>
      <c r="R2160" s="4" t="s">
        <v>7186</v>
      </c>
      <c r="S2160" s="4"/>
    </row>
    <row r="2161" customFormat="false" ht="15" hidden="false" customHeight="false" outlineLevel="0" collapsed="false">
      <c r="A2161" s="4" t="s">
        <v>7188</v>
      </c>
      <c r="B2161" s="8" t="s">
        <v>7189</v>
      </c>
      <c r="C2161" s="8"/>
      <c r="D2161" s="8"/>
      <c r="E2161" s="8"/>
      <c r="F2161" s="8"/>
      <c r="G2161" s="8"/>
      <c r="H2161" s="8"/>
      <c r="I2161" s="8" t="s">
        <v>7190</v>
      </c>
      <c r="J2161" s="8" t="s">
        <v>78</v>
      </c>
      <c r="K2161" s="8" t="s">
        <v>7175</v>
      </c>
      <c r="L2161" s="8"/>
      <c r="M2161" s="8"/>
      <c r="N2161" s="8" t="s">
        <v>62</v>
      </c>
      <c r="O2161" s="8" t="s">
        <v>63</v>
      </c>
      <c r="P2161" s="4" t="n">
        <v>69</v>
      </c>
      <c r="Q2161" s="8"/>
      <c r="R2161" s="4" t="s">
        <v>7189</v>
      </c>
      <c r="S2161" s="4"/>
    </row>
    <row r="2162" customFormat="false" ht="15" hidden="false" customHeight="false" outlineLevel="0" collapsed="false">
      <c r="A2162" s="4" t="s">
        <v>7191</v>
      </c>
      <c r="B2162" s="8" t="s">
        <v>7192</v>
      </c>
      <c r="C2162" s="8"/>
      <c r="D2162" s="8"/>
      <c r="E2162" s="8"/>
      <c r="F2162" s="8"/>
      <c r="G2162" s="8"/>
      <c r="H2162" s="8"/>
      <c r="I2162" s="8" t="s">
        <v>7193</v>
      </c>
      <c r="J2162" s="8" t="s">
        <v>78</v>
      </c>
      <c r="K2162" s="8" t="s">
        <v>7175</v>
      </c>
      <c r="L2162" s="8"/>
      <c r="M2162" s="8"/>
      <c r="N2162" s="8" t="s">
        <v>62</v>
      </c>
      <c r="O2162" s="8" t="s">
        <v>63</v>
      </c>
      <c r="P2162" s="4" t="n">
        <v>69</v>
      </c>
      <c r="Q2162" s="8"/>
      <c r="R2162" s="4" t="s">
        <v>7192</v>
      </c>
      <c r="S2162" s="4"/>
    </row>
    <row r="2163" customFormat="false" ht="15" hidden="false" customHeight="false" outlineLevel="0" collapsed="false">
      <c r="A2163" s="4" t="s">
        <v>7194</v>
      </c>
      <c r="B2163" s="8" t="s">
        <v>7195</v>
      </c>
      <c r="C2163" s="8"/>
      <c r="D2163" s="8"/>
      <c r="E2163" s="8"/>
      <c r="F2163" s="8"/>
      <c r="G2163" s="8"/>
      <c r="H2163" s="8"/>
      <c r="I2163" s="8" t="s">
        <v>7196</v>
      </c>
      <c r="J2163" s="8" t="s">
        <v>78</v>
      </c>
      <c r="K2163" s="8" t="s">
        <v>7175</v>
      </c>
      <c r="L2163" s="8"/>
      <c r="M2163" s="8"/>
      <c r="N2163" s="8" t="s">
        <v>62</v>
      </c>
      <c r="O2163" s="8" t="s">
        <v>63</v>
      </c>
      <c r="P2163" s="4" t="n">
        <v>69</v>
      </c>
      <c r="Q2163" s="8"/>
      <c r="R2163" s="4" t="s">
        <v>7195</v>
      </c>
      <c r="S2163" s="4"/>
    </row>
    <row r="2164" customFormat="false" ht="15" hidden="false" customHeight="false" outlineLevel="0" collapsed="false">
      <c r="A2164" s="4" t="s">
        <v>7197</v>
      </c>
      <c r="B2164" s="8" t="s">
        <v>7198</v>
      </c>
      <c r="C2164" s="8"/>
      <c r="D2164" s="8"/>
      <c r="E2164" s="8"/>
      <c r="F2164" s="8"/>
      <c r="G2164" s="8"/>
      <c r="H2164" s="8"/>
      <c r="I2164" s="8" t="s">
        <v>7199</v>
      </c>
      <c r="J2164" s="8" t="s">
        <v>78</v>
      </c>
      <c r="K2164" s="8" t="s">
        <v>7175</v>
      </c>
      <c r="L2164" s="8"/>
      <c r="M2164" s="8"/>
      <c r="N2164" s="8" t="s">
        <v>62</v>
      </c>
      <c r="O2164" s="8" t="s">
        <v>63</v>
      </c>
      <c r="P2164" s="4" t="n">
        <v>69</v>
      </c>
      <c r="Q2164" s="8"/>
      <c r="R2164" s="4" t="s">
        <v>7198</v>
      </c>
      <c r="S2164" s="4"/>
    </row>
    <row r="2165" customFormat="false" ht="15" hidden="false" customHeight="false" outlineLevel="0" collapsed="false">
      <c r="A2165" s="4" t="s">
        <v>7200</v>
      </c>
      <c r="B2165" s="8" t="s">
        <v>7201</v>
      </c>
      <c r="C2165" s="8"/>
      <c r="D2165" s="8"/>
      <c r="E2165" s="8"/>
      <c r="F2165" s="8"/>
      <c r="G2165" s="8"/>
      <c r="H2165" s="8"/>
      <c r="I2165" s="8" t="s">
        <v>7202</v>
      </c>
      <c r="J2165" s="8" t="s">
        <v>78</v>
      </c>
      <c r="K2165" s="8" t="s">
        <v>7175</v>
      </c>
      <c r="L2165" s="8"/>
      <c r="M2165" s="8"/>
      <c r="N2165" s="8" t="s">
        <v>62</v>
      </c>
      <c r="O2165" s="8" t="s">
        <v>63</v>
      </c>
      <c r="P2165" s="4" t="n">
        <v>69</v>
      </c>
      <c r="Q2165" s="8"/>
      <c r="R2165" s="4" t="s">
        <v>7201</v>
      </c>
      <c r="S2165" s="4"/>
    </row>
    <row r="2166" customFormat="false" ht="15" hidden="false" customHeight="false" outlineLevel="0" collapsed="false">
      <c r="A2166" s="4" t="s">
        <v>7203</v>
      </c>
      <c r="B2166" s="8" t="s">
        <v>7204</v>
      </c>
      <c r="C2166" s="8"/>
      <c r="D2166" s="8"/>
      <c r="E2166" s="8"/>
      <c r="F2166" s="8"/>
      <c r="G2166" s="8"/>
      <c r="H2166" s="8"/>
      <c r="I2166" s="8" t="s">
        <v>7205</v>
      </c>
      <c r="J2166" s="8" t="s">
        <v>78</v>
      </c>
      <c r="K2166" s="8" t="s">
        <v>7175</v>
      </c>
      <c r="L2166" s="8"/>
      <c r="M2166" s="8"/>
      <c r="N2166" s="8" t="s">
        <v>62</v>
      </c>
      <c r="O2166" s="8" t="s">
        <v>63</v>
      </c>
      <c r="P2166" s="4" t="n">
        <v>69</v>
      </c>
      <c r="Q2166" s="8"/>
      <c r="R2166" s="4" t="s">
        <v>7204</v>
      </c>
      <c r="S2166" s="4"/>
    </row>
    <row r="2167" customFormat="false" ht="15" hidden="false" customHeight="false" outlineLevel="0" collapsed="false">
      <c r="A2167" s="4" t="s">
        <v>7206</v>
      </c>
      <c r="B2167" s="8" t="s">
        <v>7207</v>
      </c>
      <c r="C2167" s="8"/>
      <c r="D2167" s="8"/>
      <c r="E2167" s="8"/>
      <c r="F2167" s="8"/>
      <c r="G2167" s="8"/>
      <c r="H2167" s="8"/>
      <c r="I2167" s="8" t="s">
        <v>7208</v>
      </c>
      <c r="J2167" s="8" t="s">
        <v>78</v>
      </c>
      <c r="K2167" s="8" t="s">
        <v>7175</v>
      </c>
      <c r="L2167" s="8"/>
      <c r="M2167" s="8"/>
      <c r="N2167" s="8" t="s">
        <v>62</v>
      </c>
      <c r="O2167" s="8" t="s">
        <v>63</v>
      </c>
      <c r="P2167" s="4" t="n">
        <v>69</v>
      </c>
      <c r="Q2167" s="8"/>
      <c r="R2167" s="4" t="s">
        <v>7207</v>
      </c>
      <c r="S2167" s="4"/>
    </row>
    <row r="2168" customFormat="false" ht="15" hidden="false" customHeight="false" outlineLevel="0" collapsed="false">
      <c r="A2168" s="4" t="s">
        <v>7209</v>
      </c>
      <c r="B2168" s="8" t="s">
        <v>7210</v>
      </c>
      <c r="C2168" s="8"/>
      <c r="D2168" s="8"/>
      <c r="E2168" s="8"/>
      <c r="F2168" s="8"/>
      <c r="G2168" s="8"/>
      <c r="H2168" s="8"/>
      <c r="I2168" s="8" t="s">
        <v>7211</v>
      </c>
      <c r="J2168" s="8" t="s">
        <v>78</v>
      </c>
      <c r="K2168" s="8" t="s">
        <v>7175</v>
      </c>
      <c r="L2168" s="8"/>
      <c r="M2168" s="8"/>
      <c r="N2168" s="8" t="s">
        <v>62</v>
      </c>
      <c r="O2168" s="8" t="s">
        <v>63</v>
      </c>
      <c r="P2168" s="4" t="n">
        <v>69</v>
      </c>
      <c r="Q2168" s="8"/>
      <c r="R2168" s="4" t="s">
        <v>7210</v>
      </c>
      <c r="S2168" s="4"/>
    </row>
    <row r="2169" customFormat="false" ht="15" hidden="false" customHeight="false" outlineLevel="0" collapsed="false">
      <c r="A2169" s="4" t="s">
        <v>7212</v>
      </c>
      <c r="B2169" s="8" t="s">
        <v>7213</v>
      </c>
      <c r="C2169" s="8"/>
      <c r="D2169" s="8"/>
      <c r="E2169" s="8"/>
      <c r="F2169" s="8"/>
      <c r="G2169" s="8"/>
      <c r="H2169" s="8"/>
      <c r="I2169" s="8" t="s">
        <v>7214</v>
      </c>
      <c r="J2169" s="8" t="s">
        <v>78</v>
      </c>
      <c r="K2169" s="8" t="s">
        <v>7175</v>
      </c>
      <c r="L2169" s="8"/>
      <c r="M2169" s="8"/>
      <c r="N2169" s="8" t="s">
        <v>62</v>
      </c>
      <c r="O2169" s="8" t="s">
        <v>63</v>
      </c>
      <c r="P2169" s="4" t="n">
        <v>69</v>
      </c>
      <c r="Q2169" s="8"/>
      <c r="R2169" s="4" t="s">
        <v>7213</v>
      </c>
      <c r="S2169" s="4"/>
    </row>
    <row r="2170" customFormat="false" ht="15" hidden="false" customHeight="false" outlineLevel="0" collapsed="false">
      <c r="A2170" s="4" t="s">
        <v>7215</v>
      </c>
      <c r="B2170" s="8" t="s">
        <v>7216</v>
      </c>
      <c r="C2170" s="8"/>
      <c r="D2170" s="8"/>
      <c r="E2170" s="8"/>
      <c r="F2170" s="8"/>
      <c r="G2170" s="8"/>
      <c r="H2170" s="8"/>
      <c r="I2170" s="8" t="s">
        <v>7217</v>
      </c>
      <c r="J2170" s="8" t="s">
        <v>78</v>
      </c>
      <c r="K2170" s="8" t="s">
        <v>7175</v>
      </c>
      <c r="L2170" s="8"/>
      <c r="M2170" s="8"/>
      <c r="N2170" s="8" t="s">
        <v>62</v>
      </c>
      <c r="O2170" s="8" t="s">
        <v>63</v>
      </c>
      <c r="P2170" s="4" t="n">
        <v>69</v>
      </c>
      <c r="Q2170" s="8"/>
      <c r="R2170" s="4" t="s">
        <v>7216</v>
      </c>
      <c r="S2170" s="4" t="n">
        <v>413</v>
      </c>
    </row>
    <row r="2171" customFormat="false" ht="15" hidden="false" customHeight="false" outlineLevel="0" collapsed="false">
      <c r="A2171" s="4" t="s">
        <v>7218</v>
      </c>
      <c r="B2171" s="8" t="s">
        <v>7219</v>
      </c>
      <c r="C2171" s="8" t="s">
        <v>58</v>
      </c>
      <c r="D2171" s="8"/>
      <c r="E2171" s="8" t="s">
        <v>60</v>
      </c>
      <c r="F2171" s="8"/>
      <c r="G2171" s="8"/>
      <c r="H2171" s="8"/>
      <c r="I2171" s="8" t="s">
        <v>1609</v>
      </c>
      <c r="J2171" s="8" t="s">
        <v>78</v>
      </c>
      <c r="K2171" s="8" t="s">
        <v>7175</v>
      </c>
      <c r="L2171" s="8"/>
      <c r="M2171" s="8"/>
      <c r="N2171" s="8" t="s">
        <v>62</v>
      </c>
      <c r="O2171" s="8" t="s">
        <v>63</v>
      </c>
      <c r="P2171" s="4" t="n">
        <v>70</v>
      </c>
      <c r="Q2171" s="8"/>
      <c r="R2171" s="4" t="s">
        <v>7220</v>
      </c>
      <c r="S2171" s="4"/>
    </row>
    <row r="2172" customFormat="false" ht="15" hidden="false" customHeight="false" outlineLevel="0" collapsed="false">
      <c r="A2172" s="4" t="s">
        <v>7221</v>
      </c>
      <c r="B2172" s="8" t="s">
        <v>7222</v>
      </c>
      <c r="C2172" s="8"/>
      <c r="D2172" s="8"/>
      <c r="E2172" s="8"/>
      <c r="F2172" s="8"/>
      <c r="G2172" s="8"/>
      <c r="H2172" s="8"/>
      <c r="I2172" s="8" t="s">
        <v>7223</v>
      </c>
      <c r="J2172" s="8" t="s">
        <v>78</v>
      </c>
      <c r="K2172" s="8" t="s">
        <v>7175</v>
      </c>
      <c r="L2172" s="8"/>
      <c r="M2172" s="8"/>
      <c r="N2172" s="8" t="s">
        <v>62</v>
      </c>
      <c r="O2172" s="8" t="s">
        <v>63</v>
      </c>
      <c r="P2172" s="4" t="n">
        <v>70</v>
      </c>
      <c r="Q2172" s="8"/>
      <c r="R2172" s="4" t="s">
        <v>7222</v>
      </c>
      <c r="S2172" s="4"/>
    </row>
    <row r="2173" customFormat="false" ht="15" hidden="false" customHeight="false" outlineLevel="0" collapsed="false">
      <c r="A2173" s="4" t="s">
        <v>7224</v>
      </c>
      <c r="B2173" s="8" t="s">
        <v>491</v>
      </c>
      <c r="C2173" s="8" t="s">
        <v>58</v>
      </c>
      <c r="D2173" s="8"/>
      <c r="E2173" s="8" t="s">
        <v>60</v>
      </c>
      <c r="F2173" s="8"/>
      <c r="G2173" s="8"/>
      <c r="H2173" s="8"/>
      <c r="I2173" s="8" t="s">
        <v>7214</v>
      </c>
      <c r="J2173" s="8" t="s">
        <v>78</v>
      </c>
      <c r="K2173" s="8" t="s">
        <v>7175</v>
      </c>
      <c r="L2173" s="8"/>
      <c r="M2173" s="8"/>
      <c r="N2173" s="8" t="s">
        <v>62</v>
      </c>
      <c r="O2173" s="8" t="s">
        <v>63</v>
      </c>
      <c r="P2173" s="4" t="n">
        <v>70</v>
      </c>
      <c r="Q2173" s="8"/>
      <c r="R2173" s="4" t="s">
        <v>493</v>
      </c>
      <c r="S2173" s="4" t="n">
        <v>523</v>
      </c>
    </row>
    <row r="2174" customFormat="false" ht="15" hidden="false" customHeight="false" outlineLevel="0" collapsed="false">
      <c r="A2174" s="4" t="s">
        <v>7225</v>
      </c>
      <c r="B2174" s="8" t="s">
        <v>7226</v>
      </c>
      <c r="C2174" s="8"/>
      <c r="D2174" s="8"/>
      <c r="E2174" s="8"/>
      <c r="F2174" s="8"/>
      <c r="G2174" s="8"/>
      <c r="H2174" s="8"/>
      <c r="I2174" s="8" t="s">
        <v>7227</v>
      </c>
      <c r="J2174" s="8" t="s">
        <v>78</v>
      </c>
      <c r="K2174" s="8" t="s">
        <v>7228</v>
      </c>
      <c r="L2174" s="8"/>
      <c r="M2174" s="8"/>
      <c r="N2174" s="8" t="s">
        <v>62</v>
      </c>
      <c r="O2174" s="8" t="s">
        <v>63</v>
      </c>
      <c r="P2174" s="4" t="n">
        <v>70</v>
      </c>
      <c r="Q2174" s="8"/>
      <c r="R2174" s="4" t="s">
        <v>7226</v>
      </c>
      <c r="S2174" s="4"/>
    </row>
    <row r="2175" customFormat="false" ht="15" hidden="false" customHeight="false" outlineLevel="0" collapsed="false">
      <c r="A2175" s="4" t="s">
        <v>7229</v>
      </c>
      <c r="B2175" s="8" t="s">
        <v>7230</v>
      </c>
      <c r="C2175" s="8"/>
      <c r="D2175" s="8"/>
      <c r="E2175" s="8" t="s">
        <v>68</v>
      </c>
      <c r="F2175" s="8" t="s">
        <v>7231</v>
      </c>
      <c r="G2175" s="8" t="s">
        <v>7232</v>
      </c>
      <c r="H2175" s="8"/>
      <c r="I2175" s="8" t="s">
        <v>7233</v>
      </c>
      <c r="J2175" s="8" t="s">
        <v>78</v>
      </c>
      <c r="K2175" s="8" t="s">
        <v>7228</v>
      </c>
      <c r="L2175" s="8"/>
      <c r="M2175" s="8"/>
      <c r="N2175" s="8" t="s">
        <v>62</v>
      </c>
      <c r="O2175" s="8" t="s">
        <v>63</v>
      </c>
      <c r="P2175" s="4" t="n">
        <v>70</v>
      </c>
      <c r="Q2175" s="8"/>
      <c r="R2175" s="4" t="s">
        <v>7230</v>
      </c>
      <c r="S2175" s="4"/>
    </row>
    <row r="2176" customFormat="false" ht="15" hidden="false" customHeight="false" outlineLevel="0" collapsed="false">
      <c r="A2176" s="4" t="s">
        <v>7234</v>
      </c>
      <c r="B2176" s="8" t="s">
        <v>7235</v>
      </c>
      <c r="C2176" s="8"/>
      <c r="D2176" s="8"/>
      <c r="E2176" s="8"/>
      <c r="F2176" s="8"/>
      <c r="G2176" s="8"/>
      <c r="H2176" s="8"/>
      <c r="I2176" s="8" t="s">
        <v>7236</v>
      </c>
      <c r="J2176" s="8" t="s">
        <v>78</v>
      </c>
      <c r="K2176" s="8" t="s">
        <v>7228</v>
      </c>
      <c r="L2176" s="8"/>
      <c r="M2176" s="8"/>
      <c r="N2176" s="8" t="s">
        <v>62</v>
      </c>
      <c r="O2176" s="8" t="s">
        <v>63</v>
      </c>
      <c r="P2176" s="4" t="n">
        <v>70</v>
      </c>
      <c r="Q2176" s="8"/>
      <c r="R2176" s="4" t="s">
        <v>7235</v>
      </c>
      <c r="S2176" s="4"/>
    </row>
    <row r="2177" customFormat="false" ht="15" hidden="false" customHeight="false" outlineLevel="0" collapsed="false">
      <c r="A2177" s="4" t="s">
        <v>7237</v>
      </c>
      <c r="B2177" s="8" t="s">
        <v>7238</v>
      </c>
      <c r="C2177" s="8"/>
      <c r="D2177" s="8"/>
      <c r="E2177" s="8" t="s">
        <v>68</v>
      </c>
      <c r="F2177" s="8" t="s">
        <v>7239</v>
      </c>
      <c r="G2177" s="8" t="s">
        <v>7240</v>
      </c>
      <c r="H2177" s="8"/>
      <c r="I2177" s="8" t="s">
        <v>7241</v>
      </c>
      <c r="J2177" s="8" t="s">
        <v>78</v>
      </c>
      <c r="K2177" s="8" t="s">
        <v>7228</v>
      </c>
      <c r="L2177" s="8"/>
      <c r="M2177" s="8"/>
      <c r="N2177" s="8" t="s">
        <v>62</v>
      </c>
      <c r="O2177" s="8" t="s">
        <v>63</v>
      </c>
      <c r="P2177" s="4" t="n">
        <v>70</v>
      </c>
      <c r="Q2177" s="8"/>
      <c r="R2177" s="4" t="s">
        <v>7238</v>
      </c>
      <c r="S2177" s="4"/>
    </row>
    <row r="2178" customFormat="false" ht="15" hidden="false" customHeight="false" outlineLevel="0" collapsed="false">
      <c r="A2178" s="4" t="s">
        <v>7242</v>
      </c>
      <c r="B2178" s="8" t="s">
        <v>4031</v>
      </c>
      <c r="C2178" s="8"/>
      <c r="D2178" s="8"/>
      <c r="E2178" s="8" t="s">
        <v>68</v>
      </c>
      <c r="F2178" s="8" t="s">
        <v>4032</v>
      </c>
      <c r="G2178" s="8" t="s">
        <v>4033</v>
      </c>
      <c r="H2178" s="8"/>
      <c r="I2178" s="8" t="s">
        <v>4034</v>
      </c>
      <c r="J2178" s="8" t="s">
        <v>78</v>
      </c>
      <c r="K2178" s="8" t="s">
        <v>7228</v>
      </c>
      <c r="L2178" s="8"/>
      <c r="M2178" s="8"/>
      <c r="N2178" s="8" t="s">
        <v>62</v>
      </c>
      <c r="O2178" s="8" t="s">
        <v>63</v>
      </c>
      <c r="P2178" s="4" t="n">
        <v>70</v>
      </c>
      <c r="Q2178" s="8"/>
      <c r="R2178" s="4" t="s">
        <v>4031</v>
      </c>
      <c r="S2178" s="4"/>
    </row>
    <row r="2179" customFormat="false" ht="15" hidden="false" customHeight="false" outlineLevel="0" collapsed="false">
      <c r="A2179" s="4" t="s">
        <v>7243</v>
      </c>
      <c r="B2179" s="8" t="s">
        <v>7244</v>
      </c>
      <c r="C2179" s="8"/>
      <c r="D2179" s="8"/>
      <c r="E2179" s="8" t="s">
        <v>68</v>
      </c>
      <c r="F2179" s="8" t="s">
        <v>7245</v>
      </c>
      <c r="G2179" s="8" t="s">
        <v>7246</v>
      </c>
      <c r="H2179" s="8"/>
      <c r="I2179" s="8" t="s">
        <v>7247</v>
      </c>
      <c r="J2179" s="8" t="s">
        <v>78</v>
      </c>
      <c r="K2179" s="8" t="s">
        <v>7228</v>
      </c>
      <c r="L2179" s="8"/>
      <c r="M2179" s="8"/>
      <c r="N2179" s="8" t="s">
        <v>62</v>
      </c>
      <c r="O2179" s="8" t="s">
        <v>63</v>
      </c>
      <c r="P2179" s="4" t="n">
        <v>70</v>
      </c>
      <c r="Q2179" s="8"/>
      <c r="R2179" s="4" t="s">
        <v>7244</v>
      </c>
      <c r="S2179" s="4"/>
    </row>
    <row r="2180" customFormat="false" ht="15" hidden="false" customHeight="false" outlineLevel="0" collapsed="false">
      <c r="A2180" s="4" t="s">
        <v>7248</v>
      </c>
      <c r="B2180" s="8" t="s">
        <v>7249</v>
      </c>
      <c r="C2180" s="8"/>
      <c r="D2180" s="8"/>
      <c r="E2180" s="8" t="s">
        <v>68</v>
      </c>
      <c r="F2180" s="8" t="s">
        <v>7250</v>
      </c>
      <c r="G2180" s="8" t="s">
        <v>7251</v>
      </c>
      <c r="H2180" s="8"/>
      <c r="I2180" s="8" t="s">
        <v>7252</v>
      </c>
      <c r="J2180" s="8" t="s">
        <v>78</v>
      </c>
      <c r="K2180" s="8" t="s">
        <v>7228</v>
      </c>
      <c r="L2180" s="8"/>
      <c r="M2180" s="8"/>
      <c r="N2180" s="8" t="s">
        <v>62</v>
      </c>
      <c r="O2180" s="8" t="s">
        <v>63</v>
      </c>
      <c r="P2180" s="4" t="n">
        <v>70</v>
      </c>
      <c r="Q2180" s="8"/>
      <c r="R2180" s="4" t="s">
        <v>7249</v>
      </c>
      <c r="S2180" s="4"/>
    </row>
    <row r="2181" customFormat="false" ht="15" hidden="false" customHeight="false" outlineLevel="0" collapsed="false">
      <c r="A2181" s="4" t="s">
        <v>7253</v>
      </c>
      <c r="B2181" s="8" t="s">
        <v>7254</v>
      </c>
      <c r="C2181" s="8"/>
      <c r="D2181" s="8"/>
      <c r="E2181" s="8" t="s">
        <v>68</v>
      </c>
      <c r="F2181" s="8" t="s">
        <v>7255</v>
      </c>
      <c r="G2181" s="8" t="s">
        <v>7256</v>
      </c>
      <c r="H2181" s="8"/>
      <c r="I2181" s="8" t="s">
        <v>7257</v>
      </c>
      <c r="J2181" s="8" t="s">
        <v>78</v>
      </c>
      <c r="K2181" s="8" t="s">
        <v>7228</v>
      </c>
      <c r="L2181" s="8"/>
      <c r="M2181" s="8"/>
      <c r="N2181" s="8" t="s">
        <v>62</v>
      </c>
      <c r="O2181" s="8" t="s">
        <v>63</v>
      </c>
      <c r="P2181" s="4" t="n">
        <v>70</v>
      </c>
      <c r="Q2181" s="8"/>
      <c r="R2181" s="4" t="s">
        <v>7254</v>
      </c>
      <c r="S2181" s="4"/>
    </row>
    <row r="2182" customFormat="false" ht="15" hidden="false" customHeight="false" outlineLevel="0" collapsed="false">
      <c r="A2182" s="4" t="s">
        <v>7258</v>
      </c>
      <c r="B2182" s="8" t="s">
        <v>7259</v>
      </c>
      <c r="C2182" s="8"/>
      <c r="D2182" s="8"/>
      <c r="E2182" s="8" t="s">
        <v>68</v>
      </c>
      <c r="F2182" s="8" t="s">
        <v>7260</v>
      </c>
      <c r="G2182" s="8" t="s">
        <v>7261</v>
      </c>
      <c r="H2182" s="8"/>
      <c r="I2182" s="8" t="s">
        <v>7262</v>
      </c>
      <c r="J2182" s="8" t="s">
        <v>78</v>
      </c>
      <c r="K2182" s="8" t="s">
        <v>7228</v>
      </c>
      <c r="L2182" s="8"/>
      <c r="M2182" s="8"/>
      <c r="N2182" s="8" t="s">
        <v>62</v>
      </c>
      <c r="O2182" s="8" t="s">
        <v>63</v>
      </c>
      <c r="P2182" s="4" t="n">
        <v>70</v>
      </c>
      <c r="Q2182" s="8"/>
      <c r="R2182" s="4" t="s">
        <v>7259</v>
      </c>
      <c r="S2182" s="4"/>
    </row>
    <row r="2183" customFormat="false" ht="15" hidden="false" customHeight="false" outlineLevel="0" collapsed="false">
      <c r="A2183" s="4" t="s">
        <v>7263</v>
      </c>
      <c r="B2183" s="8" t="s">
        <v>707</v>
      </c>
      <c r="C2183" s="8"/>
      <c r="D2183" s="8"/>
      <c r="E2183" s="8" t="s">
        <v>68</v>
      </c>
      <c r="F2183" s="8" t="s">
        <v>708</v>
      </c>
      <c r="G2183" s="8" t="s">
        <v>709</v>
      </c>
      <c r="H2183" s="8"/>
      <c r="I2183" s="8" t="s">
        <v>7264</v>
      </c>
      <c r="J2183" s="8" t="s">
        <v>78</v>
      </c>
      <c r="K2183" s="8" t="s">
        <v>7228</v>
      </c>
      <c r="L2183" s="8"/>
      <c r="M2183" s="8"/>
      <c r="N2183" s="8" t="s">
        <v>62</v>
      </c>
      <c r="O2183" s="8" t="s">
        <v>63</v>
      </c>
      <c r="P2183" s="4" t="n">
        <v>70</v>
      </c>
      <c r="Q2183" s="8"/>
      <c r="R2183" s="4" t="s">
        <v>707</v>
      </c>
      <c r="S2183" s="4" t="n">
        <v>1274</v>
      </c>
    </row>
    <row r="2184" customFormat="false" ht="15" hidden="false" customHeight="false" outlineLevel="0" collapsed="false">
      <c r="A2184" s="4" t="s">
        <v>7265</v>
      </c>
      <c r="B2184" s="8" t="s">
        <v>6028</v>
      </c>
      <c r="C2184" s="8"/>
      <c r="D2184" s="8"/>
      <c r="E2184" s="8" t="s">
        <v>68</v>
      </c>
      <c r="F2184" s="8" t="s">
        <v>6029</v>
      </c>
      <c r="G2184" s="8" t="s">
        <v>6030</v>
      </c>
      <c r="H2184" s="8"/>
      <c r="I2184" s="8" t="s">
        <v>6031</v>
      </c>
      <c r="J2184" s="8" t="s">
        <v>78</v>
      </c>
      <c r="K2184" s="8" t="s">
        <v>7228</v>
      </c>
      <c r="L2184" s="8"/>
      <c r="M2184" s="8"/>
      <c r="N2184" s="8" t="s">
        <v>62</v>
      </c>
      <c r="O2184" s="8" t="s">
        <v>63</v>
      </c>
      <c r="P2184" s="4" t="n">
        <v>70</v>
      </c>
      <c r="Q2184" s="8"/>
      <c r="R2184" s="4" t="s">
        <v>6028</v>
      </c>
      <c r="S2184" s="4"/>
    </row>
    <row r="2185" customFormat="false" ht="15" hidden="false" customHeight="false" outlineLevel="0" collapsed="false">
      <c r="A2185" s="4" t="s">
        <v>7266</v>
      </c>
      <c r="B2185" s="8" t="s">
        <v>7267</v>
      </c>
      <c r="C2185" s="8"/>
      <c r="D2185" s="8"/>
      <c r="E2185" s="8" t="s">
        <v>68</v>
      </c>
      <c r="F2185" s="8" t="s">
        <v>7268</v>
      </c>
      <c r="G2185" s="8" t="s">
        <v>7269</v>
      </c>
      <c r="H2185" s="8"/>
      <c r="I2185" s="8" t="s">
        <v>7270</v>
      </c>
      <c r="J2185" s="8" t="s">
        <v>78</v>
      </c>
      <c r="K2185" s="8" t="s">
        <v>7228</v>
      </c>
      <c r="L2185" s="8"/>
      <c r="M2185" s="8"/>
      <c r="N2185" s="8" t="s">
        <v>62</v>
      </c>
      <c r="O2185" s="8" t="s">
        <v>63</v>
      </c>
      <c r="P2185" s="4" t="n">
        <v>70</v>
      </c>
      <c r="Q2185" s="8"/>
      <c r="R2185" s="4" t="s">
        <v>7267</v>
      </c>
      <c r="S2185" s="4"/>
    </row>
    <row r="2186" customFormat="false" ht="15" hidden="false" customHeight="false" outlineLevel="0" collapsed="false">
      <c r="A2186" s="4" t="s">
        <v>7271</v>
      </c>
      <c r="B2186" s="8" t="s">
        <v>7272</v>
      </c>
      <c r="C2186" s="8"/>
      <c r="D2186" s="8"/>
      <c r="E2186" s="8" t="s">
        <v>68</v>
      </c>
      <c r="F2186" s="8" t="s">
        <v>7273</v>
      </c>
      <c r="G2186" s="8" t="s">
        <v>7274</v>
      </c>
      <c r="H2186" s="8"/>
      <c r="I2186" s="8" t="s">
        <v>7275</v>
      </c>
      <c r="J2186" s="8" t="s">
        <v>78</v>
      </c>
      <c r="K2186" s="8" t="s">
        <v>7228</v>
      </c>
      <c r="L2186" s="8"/>
      <c r="M2186" s="8"/>
      <c r="N2186" s="8" t="s">
        <v>62</v>
      </c>
      <c r="O2186" s="8" t="s">
        <v>63</v>
      </c>
      <c r="P2186" s="4" t="n">
        <v>70</v>
      </c>
      <c r="Q2186" s="8"/>
      <c r="R2186" s="4" t="s">
        <v>7272</v>
      </c>
      <c r="S2186" s="4"/>
    </row>
    <row r="2187" customFormat="false" ht="15" hidden="false" customHeight="false" outlineLevel="0" collapsed="false">
      <c r="A2187" s="4" t="s">
        <v>7276</v>
      </c>
      <c r="B2187" s="8" t="s">
        <v>7277</v>
      </c>
      <c r="C2187" s="8"/>
      <c r="D2187" s="8"/>
      <c r="E2187" s="8" t="s">
        <v>68</v>
      </c>
      <c r="F2187" s="8" t="s">
        <v>7278</v>
      </c>
      <c r="G2187" s="8" t="s">
        <v>7279</v>
      </c>
      <c r="H2187" s="8"/>
      <c r="I2187" s="8" t="s">
        <v>7280</v>
      </c>
      <c r="J2187" s="8" t="s">
        <v>78</v>
      </c>
      <c r="K2187" s="8" t="s">
        <v>7228</v>
      </c>
      <c r="L2187" s="8"/>
      <c r="M2187" s="8"/>
      <c r="N2187" s="8" t="s">
        <v>62</v>
      </c>
      <c r="O2187" s="8" t="s">
        <v>63</v>
      </c>
      <c r="P2187" s="4" t="n">
        <v>70</v>
      </c>
      <c r="Q2187" s="8"/>
      <c r="R2187" s="4" t="s">
        <v>7277</v>
      </c>
      <c r="S2187" s="4"/>
    </row>
    <row r="2188" customFormat="false" ht="15" hidden="false" customHeight="false" outlineLevel="0" collapsed="false">
      <c r="A2188" s="4" t="s">
        <v>7281</v>
      </c>
      <c r="B2188" s="8" t="s">
        <v>7282</v>
      </c>
      <c r="C2188" s="8"/>
      <c r="D2188" s="8"/>
      <c r="E2188" s="8" t="s">
        <v>68</v>
      </c>
      <c r="F2188" s="8" t="s">
        <v>7283</v>
      </c>
      <c r="G2188" s="8" t="s">
        <v>7284</v>
      </c>
      <c r="H2188" s="8"/>
      <c r="I2188" s="8" t="s">
        <v>7285</v>
      </c>
      <c r="J2188" s="8" t="s">
        <v>78</v>
      </c>
      <c r="K2188" s="8" t="s">
        <v>7228</v>
      </c>
      <c r="L2188" s="8"/>
      <c r="M2188" s="8"/>
      <c r="N2188" s="8" t="s">
        <v>62</v>
      </c>
      <c r="O2188" s="8" t="s">
        <v>63</v>
      </c>
      <c r="P2188" s="4" t="n">
        <v>70</v>
      </c>
      <c r="Q2188" s="8"/>
      <c r="R2188" s="4" t="s">
        <v>7282</v>
      </c>
      <c r="S2188" s="4"/>
    </row>
    <row r="2189" customFormat="false" ht="15" hidden="false" customHeight="false" outlineLevel="0" collapsed="false">
      <c r="A2189" s="4" t="s">
        <v>7286</v>
      </c>
      <c r="B2189" s="8" t="s">
        <v>2137</v>
      </c>
      <c r="C2189" s="8"/>
      <c r="D2189" s="8"/>
      <c r="E2189" s="8" t="s">
        <v>68</v>
      </c>
      <c r="F2189" s="8" t="s">
        <v>2138</v>
      </c>
      <c r="G2189" s="8" t="s">
        <v>2139</v>
      </c>
      <c r="H2189" s="8"/>
      <c r="I2189" s="8" t="s">
        <v>2140</v>
      </c>
      <c r="J2189" s="8" t="s">
        <v>78</v>
      </c>
      <c r="K2189" s="8" t="s">
        <v>7228</v>
      </c>
      <c r="L2189" s="8"/>
      <c r="M2189" s="8"/>
      <c r="N2189" s="8" t="s">
        <v>62</v>
      </c>
      <c r="O2189" s="8" t="s">
        <v>63</v>
      </c>
      <c r="P2189" s="4" t="n">
        <v>70</v>
      </c>
      <c r="Q2189" s="8"/>
      <c r="R2189" s="4" t="s">
        <v>2137</v>
      </c>
      <c r="S2189" s="4"/>
    </row>
    <row r="2190" customFormat="false" ht="15" hidden="false" customHeight="false" outlineLevel="0" collapsed="false">
      <c r="A2190" s="4" t="s">
        <v>7287</v>
      </c>
      <c r="B2190" s="8" t="s">
        <v>7288</v>
      </c>
      <c r="C2190" s="8"/>
      <c r="D2190" s="8"/>
      <c r="E2190" s="8" t="s">
        <v>68</v>
      </c>
      <c r="F2190" s="8" t="s">
        <v>7289</v>
      </c>
      <c r="G2190" s="8" t="s">
        <v>7290</v>
      </c>
      <c r="H2190" s="8"/>
      <c r="I2190" s="8" t="s">
        <v>7291</v>
      </c>
      <c r="J2190" s="8" t="s">
        <v>78</v>
      </c>
      <c r="K2190" s="8" t="s">
        <v>7228</v>
      </c>
      <c r="L2190" s="8"/>
      <c r="M2190" s="8"/>
      <c r="N2190" s="8" t="s">
        <v>62</v>
      </c>
      <c r="O2190" s="8" t="s">
        <v>63</v>
      </c>
      <c r="P2190" s="4" t="n">
        <v>70</v>
      </c>
      <c r="Q2190" s="8"/>
      <c r="R2190" s="4" t="s">
        <v>7288</v>
      </c>
      <c r="S2190" s="4"/>
    </row>
    <row r="2191" customFormat="false" ht="15" hidden="false" customHeight="false" outlineLevel="0" collapsed="false">
      <c r="A2191" s="4" t="s">
        <v>7292</v>
      </c>
      <c r="B2191" s="8" t="s">
        <v>7293</v>
      </c>
      <c r="C2191" s="8"/>
      <c r="D2191" s="8"/>
      <c r="E2191" s="8" t="s">
        <v>68</v>
      </c>
      <c r="F2191" s="8" t="s">
        <v>7294</v>
      </c>
      <c r="G2191" s="8" t="s">
        <v>7295</v>
      </c>
      <c r="H2191" s="8"/>
      <c r="I2191" s="8" t="s">
        <v>7296</v>
      </c>
      <c r="J2191" s="8" t="s">
        <v>78</v>
      </c>
      <c r="K2191" s="8" t="s">
        <v>7228</v>
      </c>
      <c r="L2191" s="8"/>
      <c r="M2191" s="8"/>
      <c r="N2191" s="8" t="s">
        <v>62</v>
      </c>
      <c r="O2191" s="8" t="s">
        <v>63</v>
      </c>
      <c r="P2191" s="4" t="n">
        <v>70</v>
      </c>
      <c r="Q2191" s="8"/>
      <c r="R2191" s="4" t="s">
        <v>7293</v>
      </c>
      <c r="S2191" s="4"/>
    </row>
    <row r="2192" customFormat="false" ht="15" hidden="false" customHeight="false" outlineLevel="0" collapsed="false">
      <c r="A2192" s="4" t="s">
        <v>7297</v>
      </c>
      <c r="B2192" s="8" t="s">
        <v>7298</v>
      </c>
      <c r="C2192" s="8"/>
      <c r="D2192" s="8"/>
      <c r="E2192" s="8" t="s">
        <v>68</v>
      </c>
      <c r="F2192" s="8" t="s">
        <v>7299</v>
      </c>
      <c r="G2192" s="8" t="s">
        <v>7300</v>
      </c>
      <c r="H2192" s="8"/>
      <c r="I2192" s="8" t="s">
        <v>7301</v>
      </c>
      <c r="J2192" s="8" t="s">
        <v>78</v>
      </c>
      <c r="K2192" s="8" t="s">
        <v>7228</v>
      </c>
      <c r="L2192" s="8"/>
      <c r="M2192" s="8"/>
      <c r="N2192" s="8" t="s">
        <v>62</v>
      </c>
      <c r="O2192" s="8" t="s">
        <v>63</v>
      </c>
      <c r="P2192" s="4" t="n">
        <v>70</v>
      </c>
      <c r="Q2192" s="8"/>
      <c r="R2192" s="4" t="s">
        <v>7298</v>
      </c>
      <c r="S2192" s="4"/>
    </row>
    <row r="2193" customFormat="false" ht="15" hidden="false" customHeight="false" outlineLevel="0" collapsed="false">
      <c r="A2193" s="4" t="s">
        <v>7302</v>
      </c>
      <c r="B2193" s="8" t="s">
        <v>7303</v>
      </c>
      <c r="C2193" s="8"/>
      <c r="D2193" s="8"/>
      <c r="E2193" s="8" t="s">
        <v>68</v>
      </c>
      <c r="F2193" s="8" t="s">
        <v>7304</v>
      </c>
      <c r="G2193" s="8" t="s">
        <v>7305</v>
      </c>
      <c r="H2193" s="8"/>
      <c r="I2193" s="8" t="s">
        <v>7306</v>
      </c>
      <c r="J2193" s="8" t="s">
        <v>78</v>
      </c>
      <c r="K2193" s="8" t="s">
        <v>7228</v>
      </c>
      <c r="L2193" s="8"/>
      <c r="M2193" s="8"/>
      <c r="N2193" s="8" t="s">
        <v>62</v>
      </c>
      <c r="O2193" s="8" t="s">
        <v>63</v>
      </c>
      <c r="P2193" s="4" t="n">
        <v>70</v>
      </c>
      <c r="Q2193" s="8"/>
      <c r="R2193" s="4" t="s">
        <v>7303</v>
      </c>
      <c r="S2193" s="4"/>
    </row>
    <row r="2194" customFormat="false" ht="15" hidden="false" customHeight="false" outlineLevel="0" collapsed="false">
      <c r="A2194" s="4" t="s">
        <v>7307</v>
      </c>
      <c r="B2194" s="8" t="s">
        <v>3967</v>
      </c>
      <c r="C2194" s="8"/>
      <c r="D2194" s="8"/>
      <c r="E2194" s="8" t="s">
        <v>68</v>
      </c>
      <c r="F2194" s="8" t="s">
        <v>3968</v>
      </c>
      <c r="G2194" s="8" t="s">
        <v>3969</v>
      </c>
      <c r="H2194" s="8"/>
      <c r="I2194" s="8" t="s">
        <v>7308</v>
      </c>
      <c r="J2194" s="8" t="s">
        <v>78</v>
      </c>
      <c r="K2194" s="8" t="s">
        <v>7228</v>
      </c>
      <c r="L2194" s="8"/>
      <c r="M2194" s="8"/>
      <c r="N2194" s="8" t="s">
        <v>62</v>
      </c>
      <c r="O2194" s="8" t="s">
        <v>63</v>
      </c>
      <c r="P2194" s="4" t="n">
        <v>70</v>
      </c>
      <c r="Q2194" s="8"/>
      <c r="R2194" s="4" t="s">
        <v>3967</v>
      </c>
      <c r="S2194" s="4"/>
    </row>
    <row r="2195" customFormat="false" ht="15" hidden="false" customHeight="false" outlineLevel="0" collapsed="false">
      <c r="A2195" s="4" t="s">
        <v>7309</v>
      </c>
      <c r="B2195" s="8" t="s">
        <v>7310</v>
      </c>
      <c r="C2195" s="8"/>
      <c r="D2195" s="8"/>
      <c r="E2195" s="8" t="s">
        <v>68</v>
      </c>
      <c r="F2195" s="8" t="s">
        <v>7311</v>
      </c>
      <c r="G2195" s="8" t="s">
        <v>7312</v>
      </c>
      <c r="H2195" s="8"/>
      <c r="I2195" s="8" t="s">
        <v>2171</v>
      </c>
      <c r="J2195" s="8" t="s">
        <v>78</v>
      </c>
      <c r="K2195" s="8" t="s">
        <v>7228</v>
      </c>
      <c r="L2195" s="8"/>
      <c r="M2195" s="8"/>
      <c r="N2195" s="8" t="s">
        <v>62</v>
      </c>
      <c r="O2195" s="8" t="s">
        <v>63</v>
      </c>
      <c r="P2195" s="4" t="n">
        <v>70</v>
      </c>
      <c r="Q2195" s="8"/>
      <c r="R2195" s="4" t="s">
        <v>7310</v>
      </c>
      <c r="S2195" s="4"/>
    </row>
    <row r="2196" customFormat="false" ht="15" hidden="false" customHeight="false" outlineLevel="0" collapsed="false">
      <c r="A2196" s="4" t="s">
        <v>7313</v>
      </c>
      <c r="B2196" s="8" t="s">
        <v>2173</v>
      </c>
      <c r="C2196" s="8"/>
      <c r="D2196" s="8"/>
      <c r="E2196" s="8" t="s">
        <v>68</v>
      </c>
      <c r="F2196" s="8" t="s">
        <v>2174</v>
      </c>
      <c r="G2196" s="8" t="s">
        <v>2175</v>
      </c>
      <c r="H2196" s="8"/>
      <c r="I2196" s="8" t="s">
        <v>7314</v>
      </c>
      <c r="J2196" s="8" t="s">
        <v>78</v>
      </c>
      <c r="K2196" s="8" t="s">
        <v>7228</v>
      </c>
      <c r="L2196" s="8"/>
      <c r="M2196" s="8"/>
      <c r="N2196" s="8" t="s">
        <v>62</v>
      </c>
      <c r="O2196" s="8" t="s">
        <v>63</v>
      </c>
      <c r="P2196" s="4" t="n">
        <v>70</v>
      </c>
      <c r="Q2196" s="8"/>
      <c r="R2196" s="4" t="s">
        <v>2173</v>
      </c>
      <c r="S2196" s="4"/>
    </row>
    <row r="2197" customFormat="false" ht="15" hidden="false" customHeight="false" outlineLevel="0" collapsed="false">
      <c r="A2197" s="4" t="s">
        <v>7315</v>
      </c>
      <c r="B2197" s="8" t="s">
        <v>7316</v>
      </c>
      <c r="C2197" s="8"/>
      <c r="D2197" s="8"/>
      <c r="E2197" s="8" t="s">
        <v>68</v>
      </c>
      <c r="F2197" s="8" t="s">
        <v>7317</v>
      </c>
      <c r="G2197" s="8" t="s">
        <v>7318</v>
      </c>
      <c r="H2197" s="8"/>
      <c r="I2197" s="8" t="s">
        <v>7319</v>
      </c>
      <c r="J2197" s="8" t="s">
        <v>78</v>
      </c>
      <c r="K2197" s="8" t="s">
        <v>7228</v>
      </c>
      <c r="L2197" s="8"/>
      <c r="M2197" s="8"/>
      <c r="N2197" s="8" t="s">
        <v>62</v>
      </c>
      <c r="O2197" s="8" t="s">
        <v>63</v>
      </c>
      <c r="P2197" s="4" t="n">
        <v>70</v>
      </c>
      <c r="Q2197" s="8"/>
      <c r="R2197" s="4" t="s">
        <v>7316</v>
      </c>
      <c r="S2197" s="4"/>
    </row>
    <row r="2198" customFormat="false" ht="15" hidden="false" customHeight="false" outlineLevel="0" collapsed="false">
      <c r="A2198" s="4" t="s">
        <v>7320</v>
      </c>
      <c r="B2198" s="8" t="s">
        <v>3977</v>
      </c>
      <c r="C2198" s="8"/>
      <c r="D2198" s="8"/>
      <c r="E2198" s="8" t="s">
        <v>68</v>
      </c>
      <c r="F2198" s="8" t="s">
        <v>3978</v>
      </c>
      <c r="G2198" s="8" t="s">
        <v>3979</v>
      </c>
      <c r="H2198" s="8"/>
      <c r="I2198" s="8" t="s">
        <v>3980</v>
      </c>
      <c r="J2198" s="8" t="s">
        <v>78</v>
      </c>
      <c r="K2198" s="8" t="s">
        <v>7228</v>
      </c>
      <c r="L2198" s="8"/>
      <c r="M2198" s="8"/>
      <c r="N2198" s="8" t="s">
        <v>62</v>
      </c>
      <c r="O2198" s="8" t="s">
        <v>63</v>
      </c>
      <c r="P2198" s="4" t="n">
        <v>70</v>
      </c>
      <c r="Q2198" s="8"/>
      <c r="R2198" s="4" t="s">
        <v>3977</v>
      </c>
      <c r="S2198" s="4"/>
    </row>
    <row r="2199" customFormat="false" ht="15" hidden="false" customHeight="false" outlineLevel="0" collapsed="false">
      <c r="A2199" s="4" t="s">
        <v>7321</v>
      </c>
      <c r="B2199" s="8" t="s">
        <v>3982</v>
      </c>
      <c r="C2199" s="8"/>
      <c r="D2199" s="8"/>
      <c r="E2199" s="8" t="s">
        <v>68</v>
      </c>
      <c r="F2199" s="8" t="s">
        <v>3983</v>
      </c>
      <c r="G2199" s="8" t="s">
        <v>3984</v>
      </c>
      <c r="H2199" s="8"/>
      <c r="I2199" s="8" t="s">
        <v>3985</v>
      </c>
      <c r="J2199" s="8" t="s">
        <v>78</v>
      </c>
      <c r="K2199" s="8" t="s">
        <v>7228</v>
      </c>
      <c r="L2199" s="8"/>
      <c r="M2199" s="8"/>
      <c r="N2199" s="8" t="s">
        <v>62</v>
      </c>
      <c r="O2199" s="8" t="s">
        <v>63</v>
      </c>
      <c r="P2199" s="4" t="n">
        <v>70</v>
      </c>
      <c r="Q2199" s="8"/>
      <c r="R2199" s="4" t="s">
        <v>3982</v>
      </c>
      <c r="S2199" s="4"/>
    </row>
    <row r="2200" customFormat="false" ht="15" hidden="false" customHeight="false" outlineLevel="0" collapsed="false">
      <c r="A2200" s="4" t="s">
        <v>7322</v>
      </c>
      <c r="B2200" s="8" t="s">
        <v>7323</v>
      </c>
      <c r="C2200" s="8"/>
      <c r="D2200" s="8"/>
      <c r="E2200" s="8" t="s">
        <v>68</v>
      </c>
      <c r="F2200" s="8" t="s">
        <v>7324</v>
      </c>
      <c r="G2200" s="8" t="s">
        <v>7325</v>
      </c>
      <c r="H2200" s="8"/>
      <c r="I2200" s="8" t="s">
        <v>7326</v>
      </c>
      <c r="J2200" s="8" t="s">
        <v>78</v>
      </c>
      <c r="K2200" s="8" t="s">
        <v>7228</v>
      </c>
      <c r="L2200" s="8"/>
      <c r="M2200" s="8"/>
      <c r="N2200" s="8" t="s">
        <v>62</v>
      </c>
      <c r="O2200" s="8" t="s">
        <v>63</v>
      </c>
      <c r="P2200" s="4" t="n">
        <v>70</v>
      </c>
      <c r="Q2200" s="8"/>
      <c r="R2200" s="4" t="s">
        <v>7323</v>
      </c>
      <c r="S2200" s="4"/>
    </row>
    <row r="2201" customFormat="false" ht="15" hidden="false" customHeight="false" outlineLevel="0" collapsed="false">
      <c r="A2201" s="4" t="s">
        <v>7327</v>
      </c>
      <c r="B2201" s="8" t="s">
        <v>7328</v>
      </c>
      <c r="C2201" s="8"/>
      <c r="D2201" s="8"/>
      <c r="E2201" s="8" t="s">
        <v>68</v>
      </c>
      <c r="F2201" s="8" t="s">
        <v>7329</v>
      </c>
      <c r="G2201" s="8" t="s">
        <v>7330</v>
      </c>
      <c r="H2201" s="8"/>
      <c r="I2201" s="8" t="s">
        <v>7331</v>
      </c>
      <c r="J2201" s="8" t="s">
        <v>78</v>
      </c>
      <c r="K2201" s="8" t="s">
        <v>7228</v>
      </c>
      <c r="L2201" s="8"/>
      <c r="M2201" s="8"/>
      <c r="N2201" s="8" t="s">
        <v>62</v>
      </c>
      <c r="O2201" s="8" t="s">
        <v>63</v>
      </c>
      <c r="P2201" s="4" t="n">
        <v>70</v>
      </c>
      <c r="Q2201" s="8"/>
      <c r="R2201" s="4" t="s">
        <v>7328</v>
      </c>
      <c r="S2201" s="4"/>
    </row>
    <row r="2202" customFormat="false" ht="15" hidden="false" customHeight="false" outlineLevel="0" collapsed="false">
      <c r="A2202" s="4" t="s">
        <v>7332</v>
      </c>
      <c r="B2202" s="8" t="s">
        <v>7333</v>
      </c>
      <c r="C2202" s="8"/>
      <c r="D2202" s="8"/>
      <c r="E2202" s="8" t="s">
        <v>68</v>
      </c>
      <c r="F2202" s="8" t="s">
        <v>7334</v>
      </c>
      <c r="G2202" s="8" t="s">
        <v>7335</v>
      </c>
      <c r="H2202" s="8"/>
      <c r="I2202" s="8" t="s">
        <v>7336</v>
      </c>
      <c r="J2202" s="8" t="s">
        <v>78</v>
      </c>
      <c r="K2202" s="8" t="s">
        <v>7228</v>
      </c>
      <c r="L2202" s="8"/>
      <c r="M2202" s="8"/>
      <c r="N2202" s="8" t="s">
        <v>62</v>
      </c>
      <c r="O2202" s="8" t="s">
        <v>63</v>
      </c>
      <c r="P2202" s="4" t="n">
        <v>70</v>
      </c>
      <c r="Q2202" s="8"/>
      <c r="R2202" s="4" t="s">
        <v>7333</v>
      </c>
      <c r="S2202" s="4"/>
    </row>
    <row r="2203" customFormat="false" ht="26.85" hidden="false" customHeight="false" outlineLevel="0" collapsed="false">
      <c r="A2203" s="4" t="s">
        <v>7337</v>
      </c>
      <c r="B2203" s="8" t="s">
        <v>7338</v>
      </c>
      <c r="C2203" s="8"/>
      <c r="D2203" s="8"/>
      <c r="E2203" s="8" t="s">
        <v>68</v>
      </c>
      <c r="F2203" s="8" t="s">
        <v>7339</v>
      </c>
      <c r="G2203" s="8" t="s">
        <v>7340</v>
      </c>
      <c r="H2203" s="8"/>
      <c r="I2203" s="8" t="s">
        <v>7341</v>
      </c>
      <c r="J2203" s="8" t="s">
        <v>78</v>
      </c>
      <c r="K2203" s="8" t="s">
        <v>7228</v>
      </c>
      <c r="L2203" s="8"/>
      <c r="M2203" s="8"/>
      <c r="N2203" s="8" t="s">
        <v>62</v>
      </c>
      <c r="O2203" s="8" t="s">
        <v>63</v>
      </c>
      <c r="P2203" s="4" t="n">
        <v>70</v>
      </c>
      <c r="Q2203" s="8"/>
      <c r="R2203" s="4" t="s">
        <v>7338</v>
      </c>
      <c r="S2203" s="4"/>
    </row>
    <row r="2204" customFormat="false" ht="15" hidden="false" customHeight="false" outlineLevel="0" collapsed="false">
      <c r="A2204" s="4" t="s">
        <v>7342</v>
      </c>
      <c r="B2204" s="8" t="s">
        <v>4925</v>
      </c>
      <c r="C2204" s="8"/>
      <c r="D2204" s="8"/>
      <c r="E2204" s="8" t="s">
        <v>68</v>
      </c>
      <c r="F2204" s="8" t="s">
        <v>4926</v>
      </c>
      <c r="G2204" s="8" t="s">
        <v>4927</v>
      </c>
      <c r="H2204" s="8"/>
      <c r="I2204" s="8" t="s">
        <v>4928</v>
      </c>
      <c r="J2204" s="8" t="s">
        <v>78</v>
      </c>
      <c r="K2204" s="8" t="s">
        <v>7228</v>
      </c>
      <c r="L2204" s="8"/>
      <c r="M2204" s="8"/>
      <c r="N2204" s="8" t="s">
        <v>62</v>
      </c>
      <c r="O2204" s="8" t="s">
        <v>63</v>
      </c>
      <c r="P2204" s="4" t="n">
        <v>70</v>
      </c>
      <c r="Q2204" s="8"/>
      <c r="R2204" s="4" t="s">
        <v>4925</v>
      </c>
      <c r="S2204" s="4"/>
    </row>
    <row r="2205" customFormat="false" ht="15" hidden="false" customHeight="false" outlineLevel="0" collapsed="false">
      <c r="A2205" s="4" t="s">
        <v>7343</v>
      </c>
      <c r="B2205" s="8" t="s">
        <v>7344</v>
      </c>
      <c r="C2205" s="8"/>
      <c r="D2205" s="8"/>
      <c r="E2205" s="8" t="s">
        <v>68</v>
      </c>
      <c r="F2205" s="8" t="s">
        <v>7345</v>
      </c>
      <c r="G2205" s="8" t="s">
        <v>2193</v>
      </c>
      <c r="H2205" s="8"/>
      <c r="I2205" s="8" t="s">
        <v>2194</v>
      </c>
      <c r="J2205" s="8" t="s">
        <v>78</v>
      </c>
      <c r="K2205" s="8" t="s">
        <v>7228</v>
      </c>
      <c r="L2205" s="8"/>
      <c r="M2205" s="8"/>
      <c r="N2205" s="8" t="s">
        <v>62</v>
      </c>
      <c r="O2205" s="8" t="s">
        <v>63</v>
      </c>
      <c r="P2205" s="4" t="n">
        <v>70</v>
      </c>
      <c r="Q2205" s="8"/>
      <c r="R2205" s="4" t="s">
        <v>7344</v>
      </c>
      <c r="S2205" s="4"/>
    </row>
    <row r="2206" customFormat="false" ht="15" hidden="false" customHeight="false" outlineLevel="0" collapsed="false">
      <c r="A2206" s="4" t="s">
        <v>7346</v>
      </c>
      <c r="B2206" s="8" t="s">
        <v>4104</v>
      </c>
      <c r="C2206" s="8"/>
      <c r="D2206" s="8"/>
      <c r="E2206" s="8" t="s">
        <v>68</v>
      </c>
      <c r="F2206" s="8" t="s">
        <v>4105</v>
      </c>
      <c r="G2206" s="8" t="s">
        <v>4106</v>
      </c>
      <c r="H2206" s="8"/>
      <c r="I2206" s="8" t="s">
        <v>7347</v>
      </c>
      <c r="J2206" s="8" t="s">
        <v>78</v>
      </c>
      <c r="K2206" s="8" t="s">
        <v>7228</v>
      </c>
      <c r="L2206" s="8"/>
      <c r="M2206" s="8"/>
      <c r="N2206" s="8" t="s">
        <v>62</v>
      </c>
      <c r="O2206" s="8" t="s">
        <v>63</v>
      </c>
      <c r="P2206" s="4" t="n">
        <v>70</v>
      </c>
      <c r="Q2206" s="8"/>
      <c r="R2206" s="4" t="s">
        <v>4104</v>
      </c>
      <c r="S2206" s="4"/>
    </row>
    <row r="2207" customFormat="false" ht="15" hidden="false" customHeight="false" outlineLevel="0" collapsed="false">
      <c r="A2207" s="4" t="s">
        <v>7348</v>
      </c>
      <c r="B2207" s="8" t="s">
        <v>7349</v>
      </c>
      <c r="C2207" s="8"/>
      <c r="D2207" s="8"/>
      <c r="E2207" s="8" t="s">
        <v>68</v>
      </c>
      <c r="F2207" s="8" t="s">
        <v>7350</v>
      </c>
      <c r="G2207" s="8" t="s">
        <v>7351</v>
      </c>
      <c r="H2207" s="8"/>
      <c r="I2207" s="8" t="s">
        <v>7352</v>
      </c>
      <c r="J2207" s="8" t="s">
        <v>78</v>
      </c>
      <c r="K2207" s="8" t="s">
        <v>7228</v>
      </c>
      <c r="L2207" s="8"/>
      <c r="M2207" s="8"/>
      <c r="N2207" s="8" t="s">
        <v>62</v>
      </c>
      <c r="O2207" s="8" t="s">
        <v>63</v>
      </c>
      <c r="P2207" s="4" t="n">
        <v>70</v>
      </c>
      <c r="Q2207" s="8"/>
      <c r="R2207" s="4" t="s">
        <v>7349</v>
      </c>
      <c r="S2207" s="4"/>
    </row>
    <row r="2208" customFormat="false" ht="15" hidden="false" customHeight="false" outlineLevel="0" collapsed="false">
      <c r="A2208" s="4" t="s">
        <v>7353</v>
      </c>
      <c r="B2208" s="8" t="s">
        <v>2219</v>
      </c>
      <c r="C2208" s="8"/>
      <c r="D2208" s="8"/>
      <c r="E2208" s="8" t="s">
        <v>68</v>
      </c>
      <c r="F2208" s="8" t="s">
        <v>2220</v>
      </c>
      <c r="G2208" s="8" t="s">
        <v>2221</v>
      </c>
      <c r="H2208" s="8"/>
      <c r="I2208" s="8" t="s">
        <v>2222</v>
      </c>
      <c r="J2208" s="8" t="s">
        <v>78</v>
      </c>
      <c r="K2208" s="8" t="s">
        <v>7228</v>
      </c>
      <c r="L2208" s="8"/>
      <c r="M2208" s="8"/>
      <c r="N2208" s="8" t="s">
        <v>62</v>
      </c>
      <c r="O2208" s="8" t="s">
        <v>63</v>
      </c>
      <c r="P2208" s="4" t="n">
        <v>70</v>
      </c>
      <c r="Q2208" s="8"/>
      <c r="R2208" s="4" t="s">
        <v>2219</v>
      </c>
      <c r="S2208" s="4" t="n">
        <v>596</v>
      </c>
    </row>
    <row r="2209" customFormat="false" ht="15" hidden="false" customHeight="false" outlineLevel="0" collapsed="false">
      <c r="A2209" s="4" t="s">
        <v>7354</v>
      </c>
      <c r="B2209" s="8" t="s">
        <v>7355</v>
      </c>
      <c r="C2209" s="8"/>
      <c r="D2209" s="8"/>
      <c r="E2209" s="8" t="s">
        <v>68</v>
      </c>
      <c r="F2209" s="8" t="s">
        <v>7356</v>
      </c>
      <c r="G2209" s="8" t="s">
        <v>7357</v>
      </c>
      <c r="H2209" s="8"/>
      <c r="I2209" s="8" t="s">
        <v>7358</v>
      </c>
      <c r="J2209" s="8" t="s">
        <v>78</v>
      </c>
      <c r="K2209" s="8" t="s">
        <v>7228</v>
      </c>
      <c r="L2209" s="8"/>
      <c r="M2209" s="8"/>
      <c r="N2209" s="8" t="s">
        <v>62</v>
      </c>
      <c r="O2209" s="8" t="s">
        <v>63</v>
      </c>
      <c r="P2209" s="4" t="n">
        <v>70</v>
      </c>
      <c r="Q2209" s="8"/>
      <c r="R2209" s="4" t="s">
        <v>7355</v>
      </c>
      <c r="S2209" s="4"/>
    </row>
    <row r="2210" customFormat="false" ht="15" hidden="false" customHeight="false" outlineLevel="0" collapsed="false">
      <c r="A2210" s="4" t="s">
        <v>7359</v>
      </c>
      <c r="B2210" s="8" t="s">
        <v>7360</v>
      </c>
      <c r="C2210" s="8"/>
      <c r="D2210" s="8"/>
      <c r="E2210" s="8" t="s">
        <v>68</v>
      </c>
      <c r="F2210" s="8" t="s">
        <v>7361</v>
      </c>
      <c r="G2210" s="8" t="s">
        <v>7362</v>
      </c>
      <c r="H2210" s="8"/>
      <c r="I2210" s="8" t="s">
        <v>7363</v>
      </c>
      <c r="J2210" s="8" t="s">
        <v>78</v>
      </c>
      <c r="K2210" s="8" t="s">
        <v>7228</v>
      </c>
      <c r="L2210" s="8"/>
      <c r="M2210" s="8"/>
      <c r="N2210" s="8" t="s">
        <v>62</v>
      </c>
      <c r="O2210" s="8" t="s">
        <v>63</v>
      </c>
      <c r="P2210" s="4" t="n">
        <v>70</v>
      </c>
      <c r="Q2210" s="8"/>
      <c r="R2210" s="4" t="s">
        <v>7360</v>
      </c>
      <c r="S2210" s="4"/>
    </row>
    <row r="2211" customFormat="false" ht="15" hidden="false" customHeight="false" outlineLevel="0" collapsed="false">
      <c r="A2211" s="4" t="s">
        <v>7364</v>
      </c>
      <c r="B2211" s="8" t="s">
        <v>2800</v>
      </c>
      <c r="C2211" s="8"/>
      <c r="D2211" s="8"/>
      <c r="E2211" s="8" t="s">
        <v>68</v>
      </c>
      <c r="F2211" s="8" t="s">
        <v>2801</v>
      </c>
      <c r="G2211" s="8" t="s">
        <v>2802</v>
      </c>
      <c r="H2211" s="8"/>
      <c r="I2211" s="8" t="s">
        <v>2803</v>
      </c>
      <c r="J2211" s="8" t="s">
        <v>78</v>
      </c>
      <c r="K2211" s="8" t="s">
        <v>7228</v>
      </c>
      <c r="L2211" s="8"/>
      <c r="M2211" s="8"/>
      <c r="N2211" s="8" t="s">
        <v>62</v>
      </c>
      <c r="O2211" s="8" t="s">
        <v>63</v>
      </c>
      <c r="P2211" s="4" t="n">
        <v>70</v>
      </c>
      <c r="Q2211" s="8"/>
      <c r="R2211" s="4" t="s">
        <v>2800</v>
      </c>
      <c r="S2211" s="4"/>
    </row>
    <row r="2212" customFormat="false" ht="15" hidden="false" customHeight="false" outlineLevel="0" collapsed="false">
      <c r="A2212" s="4" t="s">
        <v>7365</v>
      </c>
      <c r="B2212" s="8" t="s">
        <v>7366</v>
      </c>
      <c r="C2212" s="8"/>
      <c r="D2212" s="8"/>
      <c r="E2212" s="8" t="s">
        <v>68</v>
      </c>
      <c r="F2212" s="8" t="s">
        <v>7367</v>
      </c>
      <c r="G2212" s="8" t="s">
        <v>7368</v>
      </c>
      <c r="H2212" s="8"/>
      <c r="I2212" s="8" t="s">
        <v>7369</v>
      </c>
      <c r="J2212" s="8" t="s">
        <v>78</v>
      </c>
      <c r="K2212" s="8" t="s">
        <v>7228</v>
      </c>
      <c r="L2212" s="8"/>
      <c r="M2212" s="8"/>
      <c r="N2212" s="8" t="s">
        <v>62</v>
      </c>
      <c r="O2212" s="8" t="s">
        <v>63</v>
      </c>
      <c r="P2212" s="4" t="n">
        <v>70</v>
      </c>
      <c r="Q2212" s="8"/>
      <c r="R2212" s="4" t="s">
        <v>7366</v>
      </c>
      <c r="S2212" s="4"/>
    </row>
    <row r="2213" customFormat="false" ht="15" hidden="false" customHeight="false" outlineLevel="0" collapsed="false">
      <c r="A2213" s="4" t="s">
        <v>7370</v>
      </c>
      <c r="B2213" s="8" t="s">
        <v>7371</v>
      </c>
      <c r="C2213" s="8"/>
      <c r="D2213" s="8"/>
      <c r="E2213" s="8" t="s">
        <v>68</v>
      </c>
      <c r="F2213" s="8" t="s">
        <v>7372</v>
      </c>
      <c r="G2213" s="8" t="s">
        <v>7373</v>
      </c>
      <c r="H2213" s="8"/>
      <c r="I2213" s="8" t="s">
        <v>7374</v>
      </c>
      <c r="J2213" s="8" t="s">
        <v>78</v>
      </c>
      <c r="K2213" s="8" t="s">
        <v>7228</v>
      </c>
      <c r="L2213" s="8"/>
      <c r="M2213" s="8"/>
      <c r="N2213" s="8" t="s">
        <v>62</v>
      </c>
      <c r="O2213" s="8" t="s">
        <v>63</v>
      </c>
      <c r="P2213" s="4" t="n">
        <v>71</v>
      </c>
      <c r="Q2213" s="8"/>
      <c r="R2213" s="4" t="s">
        <v>7371</v>
      </c>
      <c r="S2213" s="4"/>
    </row>
    <row r="2214" customFormat="false" ht="15" hidden="false" customHeight="false" outlineLevel="0" collapsed="false">
      <c r="A2214" s="4" t="s">
        <v>7375</v>
      </c>
      <c r="B2214" s="8" t="s">
        <v>7376</v>
      </c>
      <c r="C2214" s="8"/>
      <c r="D2214" s="8"/>
      <c r="E2214" s="8" t="s">
        <v>68</v>
      </c>
      <c r="F2214" s="8" t="s">
        <v>7377</v>
      </c>
      <c r="G2214" s="8" t="s">
        <v>7378</v>
      </c>
      <c r="H2214" s="8"/>
      <c r="I2214" s="8" t="s">
        <v>7379</v>
      </c>
      <c r="J2214" s="8" t="s">
        <v>78</v>
      </c>
      <c r="K2214" s="8" t="s">
        <v>7228</v>
      </c>
      <c r="L2214" s="8"/>
      <c r="M2214" s="8"/>
      <c r="N2214" s="8" t="s">
        <v>62</v>
      </c>
      <c r="O2214" s="8" t="s">
        <v>63</v>
      </c>
      <c r="P2214" s="4" t="n">
        <v>71</v>
      </c>
      <c r="Q2214" s="8"/>
      <c r="R2214" s="4" t="s">
        <v>7376</v>
      </c>
      <c r="S2214" s="4"/>
    </row>
    <row r="2215" customFormat="false" ht="15" hidden="false" customHeight="false" outlineLevel="0" collapsed="false">
      <c r="A2215" s="4" t="s">
        <v>7380</v>
      </c>
      <c r="B2215" s="8" t="s">
        <v>7381</v>
      </c>
      <c r="C2215" s="8"/>
      <c r="D2215" s="8"/>
      <c r="E2215" s="8" t="s">
        <v>68</v>
      </c>
      <c r="F2215" s="8" t="s">
        <v>7382</v>
      </c>
      <c r="G2215" s="8" t="s">
        <v>7383</v>
      </c>
      <c r="H2215" s="8"/>
      <c r="I2215" s="8" t="s">
        <v>7384</v>
      </c>
      <c r="J2215" s="8" t="s">
        <v>78</v>
      </c>
      <c r="K2215" s="8" t="s">
        <v>7228</v>
      </c>
      <c r="L2215" s="8"/>
      <c r="M2215" s="8"/>
      <c r="N2215" s="8" t="s">
        <v>62</v>
      </c>
      <c r="O2215" s="8" t="s">
        <v>63</v>
      </c>
      <c r="P2215" s="4" t="n">
        <v>71</v>
      </c>
      <c r="Q2215" s="8"/>
      <c r="R2215" s="4" t="s">
        <v>7381</v>
      </c>
      <c r="S2215" s="4"/>
    </row>
    <row r="2216" customFormat="false" ht="15" hidden="false" customHeight="false" outlineLevel="0" collapsed="false">
      <c r="A2216" s="4" t="s">
        <v>7385</v>
      </c>
      <c r="B2216" s="8" t="s">
        <v>7386</v>
      </c>
      <c r="C2216" s="8"/>
      <c r="D2216" s="8"/>
      <c r="E2216" s="8" t="s">
        <v>68</v>
      </c>
      <c r="F2216" s="8" t="s">
        <v>7387</v>
      </c>
      <c r="G2216" s="8" t="s">
        <v>7388</v>
      </c>
      <c r="H2216" s="8"/>
      <c r="I2216" s="8" t="s">
        <v>7389</v>
      </c>
      <c r="J2216" s="8" t="s">
        <v>78</v>
      </c>
      <c r="K2216" s="8" t="s">
        <v>7228</v>
      </c>
      <c r="L2216" s="8"/>
      <c r="M2216" s="8"/>
      <c r="N2216" s="8" t="s">
        <v>62</v>
      </c>
      <c r="O2216" s="8" t="s">
        <v>63</v>
      </c>
      <c r="P2216" s="4" t="n">
        <v>71</v>
      </c>
      <c r="Q2216" s="8"/>
      <c r="R2216" s="4" t="s">
        <v>7386</v>
      </c>
      <c r="S2216" s="4"/>
    </row>
    <row r="2217" customFormat="false" ht="15" hidden="false" customHeight="false" outlineLevel="0" collapsed="false">
      <c r="A2217" s="4" t="s">
        <v>7390</v>
      </c>
      <c r="B2217" s="8" t="s">
        <v>4121</v>
      </c>
      <c r="C2217" s="8"/>
      <c r="D2217" s="8"/>
      <c r="E2217" s="8" t="s">
        <v>68</v>
      </c>
      <c r="F2217" s="8" t="s">
        <v>4122</v>
      </c>
      <c r="G2217" s="8" t="s">
        <v>4123</v>
      </c>
      <c r="H2217" s="8"/>
      <c r="I2217" s="8" t="s">
        <v>7391</v>
      </c>
      <c r="J2217" s="8" t="s">
        <v>78</v>
      </c>
      <c r="K2217" s="8" t="s">
        <v>7228</v>
      </c>
      <c r="L2217" s="8"/>
      <c r="M2217" s="8"/>
      <c r="N2217" s="8" t="s">
        <v>62</v>
      </c>
      <c r="O2217" s="8" t="s">
        <v>63</v>
      </c>
      <c r="P2217" s="4" t="n">
        <v>71</v>
      </c>
      <c r="Q2217" s="8"/>
      <c r="R2217" s="4" t="s">
        <v>4121</v>
      </c>
      <c r="S2217" s="4"/>
    </row>
    <row r="2218" customFormat="false" ht="15" hidden="false" customHeight="false" outlineLevel="0" collapsed="false">
      <c r="A2218" s="4" t="s">
        <v>7392</v>
      </c>
      <c r="B2218" s="8" t="s">
        <v>7393</v>
      </c>
      <c r="C2218" s="8"/>
      <c r="D2218" s="8"/>
      <c r="E2218" s="8" t="s">
        <v>68</v>
      </c>
      <c r="F2218" s="8" t="s">
        <v>7394</v>
      </c>
      <c r="G2218" s="8" t="s">
        <v>7395</v>
      </c>
      <c r="H2218" s="8"/>
      <c r="I2218" s="8" t="s">
        <v>7396</v>
      </c>
      <c r="J2218" s="8" t="s">
        <v>78</v>
      </c>
      <c r="K2218" s="8" t="s">
        <v>7228</v>
      </c>
      <c r="L2218" s="8"/>
      <c r="M2218" s="8"/>
      <c r="N2218" s="8" t="s">
        <v>62</v>
      </c>
      <c r="O2218" s="8" t="s">
        <v>63</v>
      </c>
      <c r="P2218" s="4" t="n">
        <v>71</v>
      </c>
      <c r="Q2218" s="8"/>
      <c r="R2218" s="4" t="s">
        <v>7393</v>
      </c>
      <c r="S2218" s="4"/>
    </row>
    <row r="2219" customFormat="false" ht="15" hidden="false" customHeight="false" outlineLevel="0" collapsed="false">
      <c r="A2219" s="4" t="s">
        <v>7397</v>
      </c>
      <c r="B2219" s="8" t="s">
        <v>7398</v>
      </c>
      <c r="C2219" s="8"/>
      <c r="D2219" s="8"/>
      <c r="E2219" s="8" t="s">
        <v>68</v>
      </c>
      <c r="F2219" s="8" t="s">
        <v>7399</v>
      </c>
      <c r="G2219" s="8" t="s">
        <v>7400</v>
      </c>
      <c r="H2219" s="8"/>
      <c r="I2219" s="8" t="s">
        <v>2255</v>
      </c>
      <c r="J2219" s="8" t="s">
        <v>78</v>
      </c>
      <c r="K2219" s="8" t="s">
        <v>7228</v>
      </c>
      <c r="L2219" s="8"/>
      <c r="M2219" s="8"/>
      <c r="N2219" s="8" t="s">
        <v>62</v>
      </c>
      <c r="O2219" s="8" t="s">
        <v>63</v>
      </c>
      <c r="P2219" s="4" t="n">
        <v>71</v>
      </c>
      <c r="Q2219" s="8"/>
      <c r="R2219" s="4" t="s">
        <v>7398</v>
      </c>
      <c r="S2219" s="4"/>
    </row>
    <row r="2220" customFormat="false" ht="15" hidden="false" customHeight="false" outlineLevel="0" collapsed="false">
      <c r="A2220" s="4" t="s">
        <v>7401</v>
      </c>
      <c r="B2220" s="8" t="s">
        <v>7402</v>
      </c>
      <c r="C2220" s="8"/>
      <c r="D2220" s="8"/>
      <c r="E2220" s="8" t="s">
        <v>68</v>
      </c>
      <c r="F2220" s="8" t="s">
        <v>7403</v>
      </c>
      <c r="G2220" s="8" t="s">
        <v>7404</v>
      </c>
      <c r="H2220" s="8"/>
      <c r="I2220" s="8" t="s">
        <v>7405</v>
      </c>
      <c r="J2220" s="8" t="s">
        <v>78</v>
      </c>
      <c r="K2220" s="8" t="s">
        <v>7228</v>
      </c>
      <c r="L2220" s="8"/>
      <c r="M2220" s="8"/>
      <c r="N2220" s="8" t="s">
        <v>62</v>
      </c>
      <c r="O2220" s="8" t="s">
        <v>63</v>
      </c>
      <c r="P2220" s="4" t="n">
        <v>71</v>
      </c>
      <c r="Q2220" s="8"/>
      <c r="R2220" s="4" t="s">
        <v>7402</v>
      </c>
      <c r="S2220" s="4" t="n">
        <v>880</v>
      </c>
    </row>
    <row r="2221" customFormat="false" ht="15" hidden="false" customHeight="false" outlineLevel="0" collapsed="false">
      <c r="A2221" s="4" t="s">
        <v>7406</v>
      </c>
      <c r="B2221" s="8" t="s">
        <v>7407</v>
      </c>
      <c r="C2221" s="8"/>
      <c r="D2221" s="8"/>
      <c r="E2221" s="8" t="s">
        <v>68</v>
      </c>
      <c r="F2221" s="8" t="s">
        <v>7408</v>
      </c>
      <c r="G2221" s="8" t="s">
        <v>7409</v>
      </c>
      <c r="H2221" s="8"/>
      <c r="I2221" s="8" t="s">
        <v>7410</v>
      </c>
      <c r="J2221" s="8" t="s">
        <v>78</v>
      </c>
      <c r="K2221" s="8" t="s">
        <v>7228</v>
      </c>
      <c r="L2221" s="8"/>
      <c r="M2221" s="8"/>
      <c r="N2221" s="8" t="s">
        <v>62</v>
      </c>
      <c r="O2221" s="8" t="s">
        <v>63</v>
      </c>
      <c r="P2221" s="4" t="n">
        <v>71</v>
      </c>
      <c r="Q2221" s="8"/>
      <c r="R2221" s="4" t="s">
        <v>7407</v>
      </c>
      <c r="S2221" s="4"/>
    </row>
    <row r="2222" customFormat="false" ht="15" hidden="false" customHeight="false" outlineLevel="0" collapsed="false">
      <c r="A2222" s="4" t="s">
        <v>7411</v>
      </c>
      <c r="B2222" s="8" t="s">
        <v>7412</v>
      </c>
      <c r="C2222" s="8"/>
      <c r="D2222" s="8"/>
      <c r="E2222" s="8" t="s">
        <v>68</v>
      </c>
      <c r="F2222" s="8" t="s">
        <v>7413</v>
      </c>
      <c r="G2222" s="8" t="s">
        <v>7414</v>
      </c>
      <c r="H2222" s="8"/>
      <c r="I2222" s="8" t="s">
        <v>7415</v>
      </c>
      <c r="J2222" s="8" t="s">
        <v>78</v>
      </c>
      <c r="K2222" s="8" t="s">
        <v>7228</v>
      </c>
      <c r="L2222" s="8"/>
      <c r="M2222" s="8"/>
      <c r="N2222" s="8" t="s">
        <v>62</v>
      </c>
      <c r="O2222" s="8" t="s">
        <v>63</v>
      </c>
      <c r="P2222" s="4" t="n">
        <v>71</v>
      </c>
      <c r="Q2222" s="8"/>
      <c r="R2222" s="4" t="s">
        <v>7412</v>
      </c>
      <c r="S2222" s="4"/>
    </row>
    <row r="2223" customFormat="false" ht="15" hidden="false" customHeight="false" outlineLevel="0" collapsed="false">
      <c r="A2223" s="4" t="s">
        <v>7416</v>
      </c>
      <c r="B2223" s="8" t="s">
        <v>7417</v>
      </c>
      <c r="C2223" s="8"/>
      <c r="D2223" s="8"/>
      <c r="E2223" s="8" t="s">
        <v>68</v>
      </c>
      <c r="F2223" s="8" t="s">
        <v>7418</v>
      </c>
      <c r="G2223" s="8" t="s">
        <v>7419</v>
      </c>
      <c r="H2223" s="8"/>
      <c r="I2223" s="8" t="s">
        <v>7420</v>
      </c>
      <c r="J2223" s="8" t="s">
        <v>78</v>
      </c>
      <c r="K2223" s="8" t="s">
        <v>7228</v>
      </c>
      <c r="L2223" s="8"/>
      <c r="M2223" s="8"/>
      <c r="N2223" s="8" t="s">
        <v>62</v>
      </c>
      <c r="O2223" s="8" t="s">
        <v>63</v>
      </c>
      <c r="P2223" s="4" t="n">
        <v>71</v>
      </c>
      <c r="Q2223" s="8"/>
      <c r="R2223" s="4" t="s">
        <v>7417</v>
      </c>
      <c r="S2223" s="4"/>
    </row>
    <row r="2224" customFormat="false" ht="15" hidden="false" customHeight="false" outlineLevel="0" collapsed="false">
      <c r="A2224" s="4" t="s">
        <v>7421</v>
      </c>
      <c r="B2224" s="8" t="s">
        <v>5699</v>
      </c>
      <c r="C2224" s="8"/>
      <c r="D2224" s="8"/>
      <c r="E2224" s="8" t="s">
        <v>68</v>
      </c>
      <c r="F2224" s="8" t="s">
        <v>5700</v>
      </c>
      <c r="G2224" s="8" t="s">
        <v>5701</v>
      </c>
      <c r="H2224" s="8"/>
      <c r="I2224" s="8" t="s">
        <v>5702</v>
      </c>
      <c r="J2224" s="8" t="s">
        <v>78</v>
      </c>
      <c r="K2224" s="8" t="s">
        <v>7228</v>
      </c>
      <c r="L2224" s="8"/>
      <c r="M2224" s="8"/>
      <c r="N2224" s="8" t="s">
        <v>62</v>
      </c>
      <c r="O2224" s="8" t="s">
        <v>63</v>
      </c>
      <c r="P2224" s="4" t="n">
        <v>71</v>
      </c>
      <c r="Q2224" s="8"/>
      <c r="R2224" s="4" t="s">
        <v>5699</v>
      </c>
      <c r="S2224" s="4"/>
    </row>
    <row r="2225" customFormat="false" ht="15" hidden="false" customHeight="false" outlineLevel="0" collapsed="false">
      <c r="A2225" s="4" t="s">
        <v>7422</v>
      </c>
      <c r="B2225" s="8" t="s">
        <v>7423</v>
      </c>
      <c r="C2225" s="8"/>
      <c r="D2225" s="8"/>
      <c r="E2225" s="8" t="s">
        <v>68</v>
      </c>
      <c r="F2225" s="8" t="s">
        <v>7424</v>
      </c>
      <c r="G2225" s="8" t="s">
        <v>7232</v>
      </c>
      <c r="H2225" s="8"/>
      <c r="I2225" s="8" t="s">
        <v>7425</v>
      </c>
      <c r="J2225" s="8" t="s">
        <v>78</v>
      </c>
      <c r="K2225" s="8" t="s">
        <v>7228</v>
      </c>
      <c r="L2225" s="8"/>
      <c r="M2225" s="8"/>
      <c r="N2225" s="8" t="s">
        <v>62</v>
      </c>
      <c r="O2225" s="8" t="s">
        <v>63</v>
      </c>
      <c r="P2225" s="4" t="n">
        <v>71</v>
      </c>
      <c r="Q2225" s="8"/>
      <c r="R2225" s="4" t="s">
        <v>7423</v>
      </c>
      <c r="S2225" s="4"/>
    </row>
    <row r="2226" customFormat="false" ht="15" hidden="false" customHeight="false" outlineLevel="0" collapsed="false">
      <c r="A2226" s="4" t="s">
        <v>7426</v>
      </c>
      <c r="B2226" s="8" t="s">
        <v>7427</v>
      </c>
      <c r="C2226" s="8"/>
      <c r="D2226" s="8"/>
      <c r="E2226" s="8" t="s">
        <v>68</v>
      </c>
      <c r="F2226" s="8" t="s">
        <v>7428</v>
      </c>
      <c r="G2226" s="8" t="s">
        <v>7429</v>
      </c>
      <c r="H2226" s="8"/>
      <c r="I2226" s="8" t="s">
        <v>7430</v>
      </c>
      <c r="J2226" s="8" t="s">
        <v>78</v>
      </c>
      <c r="K2226" s="8" t="s">
        <v>7228</v>
      </c>
      <c r="L2226" s="8"/>
      <c r="M2226" s="8"/>
      <c r="N2226" s="8" t="s">
        <v>62</v>
      </c>
      <c r="O2226" s="8" t="s">
        <v>63</v>
      </c>
      <c r="P2226" s="4" t="n">
        <v>71</v>
      </c>
      <c r="Q2226" s="8"/>
      <c r="R2226" s="4" t="s">
        <v>7427</v>
      </c>
      <c r="S2226" s="4"/>
    </row>
    <row r="2227" customFormat="false" ht="15" hidden="false" customHeight="false" outlineLevel="0" collapsed="false">
      <c r="A2227" s="4" t="s">
        <v>7431</v>
      </c>
      <c r="B2227" s="8" t="s">
        <v>742</v>
      </c>
      <c r="C2227" s="8"/>
      <c r="D2227" s="8"/>
      <c r="E2227" s="8" t="s">
        <v>68</v>
      </c>
      <c r="F2227" s="8" t="s">
        <v>743</v>
      </c>
      <c r="G2227" s="8" t="s">
        <v>744</v>
      </c>
      <c r="H2227" s="8"/>
      <c r="I2227" s="8" t="s">
        <v>7432</v>
      </c>
      <c r="J2227" s="8" t="s">
        <v>78</v>
      </c>
      <c r="K2227" s="8" t="s">
        <v>7228</v>
      </c>
      <c r="L2227" s="8"/>
      <c r="M2227" s="8"/>
      <c r="N2227" s="8" t="s">
        <v>62</v>
      </c>
      <c r="O2227" s="8" t="s">
        <v>63</v>
      </c>
      <c r="P2227" s="4" t="n">
        <v>71</v>
      </c>
      <c r="Q2227" s="8"/>
      <c r="R2227" s="4" t="s">
        <v>742</v>
      </c>
      <c r="S2227" s="4"/>
    </row>
    <row r="2228" customFormat="false" ht="15" hidden="false" customHeight="false" outlineLevel="0" collapsed="false">
      <c r="A2228" s="4" t="s">
        <v>7433</v>
      </c>
      <c r="B2228" s="8" t="s">
        <v>5986</v>
      </c>
      <c r="C2228" s="8"/>
      <c r="D2228" s="8"/>
      <c r="E2228" s="8" t="s">
        <v>68</v>
      </c>
      <c r="F2228" s="8" t="s">
        <v>5987</v>
      </c>
      <c r="G2228" s="8" t="s">
        <v>5988</v>
      </c>
      <c r="H2228" s="8"/>
      <c r="I2228" s="8" t="s">
        <v>7434</v>
      </c>
      <c r="J2228" s="8" t="s">
        <v>78</v>
      </c>
      <c r="K2228" s="8" t="s">
        <v>7228</v>
      </c>
      <c r="L2228" s="8"/>
      <c r="M2228" s="8"/>
      <c r="N2228" s="8" t="s">
        <v>62</v>
      </c>
      <c r="O2228" s="8" t="s">
        <v>63</v>
      </c>
      <c r="P2228" s="4" t="n">
        <v>71</v>
      </c>
      <c r="Q2228" s="8"/>
      <c r="R2228" s="4" t="s">
        <v>5986</v>
      </c>
      <c r="S2228" s="4"/>
    </row>
    <row r="2229" customFormat="false" ht="15" hidden="false" customHeight="false" outlineLevel="0" collapsed="false">
      <c r="A2229" s="4" t="s">
        <v>7435</v>
      </c>
      <c r="B2229" s="8" t="s">
        <v>7436</v>
      </c>
      <c r="C2229" s="8"/>
      <c r="D2229" s="8"/>
      <c r="E2229" s="8" t="s">
        <v>68</v>
      </c>
      <c r="F2229" s="8" t="s">
        <v>7437</v>
      </c>
      <c r="G2229" s="8" t="s">
        <v>7438</v>
      </c>
      <c r="H2229" s="8"/>
      <c r="I2229" s="8" t="s">
        <v>6036</v>
      </c>
      <c r="J2229" s="8" t="s">
        <v>78</v>
      </c>
      <c r="K2229" s="8" t="s">
        <v>7228</v>
      </c>
      <c r="L2229" s="8"/>
      <c r="M2229" s="8"/>
      <c r="N2229" s="8" t="s">
        <v>62</v>
      </c>
      <c r="O2229" s="8" t="s">
        <v>63</v>
      </c>
      <c r="P2229" s="4" t="n">
        <v>71</v>
      </c>
      <c r="Q2229" s="8"/>
      <c r="R2229" s="4" t="s">
        <v>7436</v>
      </c>
      <c r="S2229" s="4"/>
    </row>
    <row r="2230" customFormat="false" ht="15" hidden="false" customHeight="false" outlineLevel="0" collapsed="false">
      <c r="A2230" s="4" t="s">
        <v>7439</v>
      </c>
      <c r="B2230" s="8" t="s">
        <v>7440</v>
      </c>
      <c r="C2230" s="8"/>
      <c r="D2230" s="8"/>
      <c r="E2230" s="8" t="s">
        <v>68</v>
      </c>
      <c r="F2230" s="8" t="s">
        <v>7441</v>
      </c>
      <c r="G2230" s="8" t="s">
        <v>7442</v>
      </c>
      <c r="H2230" s="8"/>
      <c r="I2230" s="8" t="s">
        <v>7443</v>
      </c>
      <c r="J2230" s="8" t="s">
        <v>78</v>
      </c>
      <c r="K2230" s="8" t="s">
        <v>7228</v>
      </c>
      <c r="L2230" s="8"/>
      <c r="M2230" s="8"/>
      <c r="N2230" s="8" t="s">
        <v>62</v>
      </c>
      <c r="O2230" s="8" t="s">
        <v>63</v>
      </c>
      <c r="P2230" s="4" t="n">
        <v>71</v>
      </c>
      <c r="Q2230" s="8"/>
      <c r="R2230" s="4" t="s">
        <v>7440</v>
      </c>
      <c r="S2230" s="4"/>
    </row>
    <row r="2231" customFormat="false" ht="15" hidden="false" customHeight="false" outlineLevel="0" collapsed="false">
      <c r="A2231" s="4" t="s">
        <v>7444</v>
      </c>
      <c r="B2231" s="8" t="s">
        <v>5991</v>
      </c>
      <c r="C2231" s="8"/>
      <c r="D2231" s="8"/>
      <c r="E2231" s="8" t="s">
        <v>68</v>
      </c>
      <c r="F2231" s="8" t="s">
        <v>5992</v>
      </c>
      <c r="G2231" s="8" t="s">
        <v>5993</v>
      </c>
      <c r="H2231" s="8"/>
      <c r="I2231" s="8" t="s">
        <v>7445</v>
      </c>
      <c r="J2231" s="8" t="s">
        <v>78</v>
      </c>
      <c r="K2231" s="8" t="s">
        <v>7228</v>
      </c>
      <c r="L2231" s="8"/>
      <c r="M2231" s="8"/>
      <c r="N2231" s="8" t="s">
        <v>62</v>
      </c>
      <c r="O2231" s="8" t="s">
        <v>63</v>
      </c>
      <c r="P2231" s="4" t="n">
        <v>71</v>
      </c>
      <c r="Q2231" s="8"/>
      <c r="R2231" s="4" t="s">
        <v>5991</v>
      </c>
      <c r="S2231" s="4"/>
    </row>
    <row r="2232" customFormat="false" ht="15" hidden="false" customHeight="false" outlineLevel="0" collapsed="false">
      <c r="A2232" s="4" t="s">
        <v>7446</v>
      </c>
      <c r="B2232" s="8" t="s">
        <v>7447</v>
      </c>
      <c r="C2232" s="8"/>
      <c r="D2232" s="8"/>
      <c r="E2232" s="8" t="s">
        <v>68</v>
      </c>
      <c r="F2232" s="8" t="s">
        <v>7448</v>
      </c>
      <c r="G2232" s="8" t="s">
        <v>7449</v>
      </c>
      <c r="H2232" s="8"/>
      <c r="I2232" s="8" t="s">
        <v>7450</v>
      </c>
      <c r="J2232" s="8" t="s">
        <v>78</v>
      </c>
      <c r="K2232" s="8" t="s">
        <v>7228</v>
      </c>
      <c r="L2232" s="8"/>
      <c r="M2232" s="8"/>
      <c r="N2232" s="8" t="s">
        <v>62</v>
      </c>
      <c r="O2232" s="8" t="s">
        <v>63</v>
      </c>
      <c r="P2232" s="4" t="n">
        <v>71</v>
      </c>
      <c r="Q2232" s="8"/>
      <c r="R2232" s="4" t="s">
        <v>7447</v>
      </c>
      <c r="S2232" s="4"/>
    </row>
    <row r="2233" customFormat="false" ht="15" hidden="false" customHeight="false" outlineLevel="0" collapsed="false">
      <c r="A2233" s="4" t="s">
        <v>7451</v>
      </c>
      <c r="B2233" s="8" t="s">
        <v>7452</v>
      </c>
      <c r="C2233" s="8"/>
      <c r="D2233" s="8"/>
      <c r="E2233" s="8" t="s">
        <v>68</v>
      </c>
      <c r="F2233" s="8" t="s">
        <v>7453</v>
      </c>
      <c r="G2233" s="8" t="s">
        <v>7454</v>
      </c>
      <c r="H2233" s="8"/>
      <c r="I2233" s="8" t="s">
        <v>7455</v>
      </c>
      <c r="J2233" s="8" t="s">
        <v>78</v>
      </c>
      <c r="K2233" s="8" t="s">
        <v>7228</v>
      </c>
      <c r="L2233" s="8"/>
      <c r="M2233" s="8"/>
      <c r="N2233" s="8" t="s">
        <v>62</v>
      </c>
      <c r="O2233" s="8" t="s">
        <v>63</v>
      </c>
      <c r="P2233" s="4" t="n">
        <v>71</v>
      </c>
      <c r="Q2233" s="8"/>
      <c r="R2233" s="4" t="s">
        <v>7452</v>
      </c>
      <c r="S2233" s="4"/>
    </row>
    <row r="2234" customFormat="false" ht="15" hidden="false" customHeight="false" outlineLevel="0" collapsed="false">
      <c r="A2234" s="4" t="s">
        <v>7456</v>
      </c>
      <c r="B2234" s="8" t="s">
        <v>4145</v>
      </c>
      <c r="C2234" s="8"/>
      <c r="D2234" s="8"/>
      <c r="E2234" s="8" t="s">
        <v>68</v>
      </c>
      <c r="F2234" s="8" t="s">
        <v>4146</v>
      </c>
      <c r="G2234" s="8" t="s">
        <v>4147</v>
      </c>
      <c r="H2234" s="8"/>
      <c r="I2234" s="8" t="s">
        <v>7457</v>
      </c>
      <c r="J2234" s="8" t="s">
        <v>78</v>
      </c>
      <c r="K2234" s="8" t="s">
        <v>7228</v>
      </c>
      <c r="L2234" s="8"/>
      <c r="M2234" s="8"/>
      <c r="N2234" s="8" t="s">
        <v>62</v>
      </c>
      <c r="O2234" s="8" t="s">
        <v>63</v>
      </c>
      <c r="P2234" s="4" t="n">
        <v>71</v>
      </c>
      <c r="Q2234" s="8"/>
      <c r="R2234" s="4" t="s">
        <v>4145</v>
      </c>
      <c r="S2234" s="4"/>
    </row>
    <row r="2235" customFormat="false" ht="15" hidden="false" customHeight="false" outlineLevel="0" collapsed="false">
      <c r="A2235" s="4" t="s">
        <v>7458</v>
      </c>
      <c r="B2235" s="8" t="s">
        <v>7459</v>
      </c>
      <c r="C2235" s="8"/>
      <c r="D2235" s="8"/>
      <c r="E2235" s="8" t="s">
        <v>68</v>
      </c>
      <c r="F2235" s="8" t="s">
        <v>7460</v>
      </c>
      <c r="G2235" s="8" t="s">
        <v>7461</v>
      </c>
      <c r="H2235" s="8"/>
      <c r="I2235" s="8" t="s">
        <v>7462</v>
      </c>
      <c r="J2235" s="8" t="s">
        <v>78</v>
      </c>
      <c r="K2235" s="8" t="s">
        <v>7228</v>
      </c>
      <c r="L2235" s="8"/>
      <c r="M2235" s="8"/>
      <c r="N2235" s="8" t="s">
        <v>62</v>
      </c>
      <c r="O2235" s="8" t="s">
        <v>63</v>
      </c>
      <c r="P2235" s="4" t="n">
        <v>71</v>
      </c>
      <c r="Q2235" s="8"/>
      <c r="R2235" s="4" t="s">
        <v>7459</v>
      </c>
      <c r="S2235" s="4"/>
    </row>
    <row r="2236" customFormat="false" ht="15" hidden="false" customHeight="false" outlineLevel="0" collapsed="false">
      <c r="A2236" s="4" t="s">
        <v>7463</v>
      </c>
      <c r="B2236" s="8" t="s">
        <v>7464</v>
      </c>
      <c r="C2236" s="8"/>
      <c r="D2236" s="8"/>
      <c r="E2236" s="8" t="s">
        <v>68</v>
      </c>
      <c r="F2236" s="8" t="s">
        <v>7465</v>
      </c>
      <c r="G2236" s="8" t="s">
        <v>7466</v>
      </c>
      <c r="H2236" s="8"/>
      <c r="I2236" s="8" t="s">
        <v>7467</v>
      </c>
      <c r="J2236" s="8" t="s">
        <v>78</v>
      </c>
      <c r="K2236" s="8" t="s">
        <v>7228</v>
      </c>
      <c r="L2236" s="8"/>
      <c r="M2236" s="8"/>
      <c r="N2236" s="8" t="s">
        <v>62</v>
      </c>
      <c r="O2236" s="8" t="s">
        <v>63</v>
      </c>
      <c r="P2236" s="4" t="n">
        <v>71</v>
      </c>
      <c r="Q2236" s="8"/>
      <c r="R2236" s="4" t="s">
        <v>7464</v>
      </c>
      <c r="S2236" s="4"/>
    </row>
    <row r="2237" customFormat="false" ht="15" hidden="false" customHeight="false" outlineLevel="0" collapsed="false">
      <c r="A2237" s="4" t="s">
        <v>7468</v>
      </c>
      <c r="B2237" s="8" t="s">
        <v>3683</v>
      </c>
      <c r="C2237" s="8"/>
      <c r="D2237" s="8"/>
      <c r="E2237" s="8" t="s">
        <v>68</v>
      </c>
      <c r="F2237" s="8" t="s">
        <v>3684</v>
      </c>
      <c r="G2237" s="8" t="s">
        <v>2459</v>
      </c>
      <c r="H2237" s="8"/>
      <c r="I2237" s="8" t="s">
        <v>3685</v>
      </c>
      <c r="J2237" s="8" t="s">
        <v>78</v>
      </c>
      <c r="K2237" s="8" t="s">
        <v>7228</v>
      </c>
      <c r="L2237" s="8"/>
      <c r="M2237" s="8"/>
      <c r="N2237" s="8" t="s">
        <v>62</v>
      </c>
      <c r="O2237" s="8" t="s">
        <v>63</v>
      </c>
      <c r="P2237" s="4" t="n">
        <v>71</v>
      </c>
      <c r="Q2237" s="8"/>
      <c r="R2237" s="4" t="s">
        <v>3683</v>
      </c>
      <c r="S2237" s="4"/>
    </row>
    <row r="2238" customFormat="false" ht="15" hidden="false" customHeight="false" outlineLevel="0" collapsed="false">
      <c r="A2238" s="4" t="s">
        <v>7469</v>
      </c>
      <c r="B2238" s="8" t="s">
        <v>7470</v>
      </c>
      <c r="C2238" s="8"/>
      <c r="D2238" s="8"/>
      <c r="E2238" s="8" t="s">
        <v>68</v>
      </c>
      <c r="F2238" s="8" t="s">
        <v>7471</v>
      </c>
      <c r="G2238" s="8" t="s">
        <v>7472</v>
      </c>
      <c r="H2238" s="8"/>
      <c r="I2238" s="8" t="s">
        <v>2289</v>
      </c>
      <c r="J2238" s="8" t="s">
        <v>78</v>
      </c>
      <c r="K2238" s="8" t="s">
        <v>7228</v>
      </c>
      <c r="L2238" s="8"/>
      <c r="M2238" s="8"/>
      <c r="N2238" s="8" t="s">
        <v>62</v>
      </c>
      <c r="O2238" s="8" t="s">
        <v>63</v>
      </c>
      <c r="P2238" s="4" t="n">
        <v>71</v>
      </c>
      <c r="Q2238" s="8"/>
      <c r="R2238" s="4" t="s">
        <v>7470</v>
      </c>
      <c r="S2238" s="4"/>
    </row>
    <row r="2239" customFormat="false" ht="15" hidden="false" customHeight="false" outlineLevel="0" collapsed="false">
      <c r="A2239" s="4" t="s">
        <v>7473</v>
      </c>
      <c r="B2239" s="8" t="s">
        <v>7474</v>
      </c>
      <c r="C2239" s="8"/>
      <c r="D2239" s="8"/>
      <c r="E2239" s="8" t="s">
        <v>68</v>
      </c>
      <c r="F2239" s="8" t="s">
        <v>7475</v>
      </c>
      <c r="G2239" s="8" t="s">
        <v>7476</v>
      </c>
      <c r="H2239" s="8"/>
      <c r="I2239" s="8" t="s">
        <v>7477</v>
      </c>
      <c r="J2239" s="8" t="s">
        <v>78</v>
      </c>
      <c r="K2239" s="8" t="s">
        <v>7228</v>
      </c>
      <c r="L2239" s="8"/>
      <c r="M2239" s="8"/>
      <c r="N2239" s="8" t="s">
        <v>62</v>
      </c>
      <c r="O2239" s="8" t="s">
        <v>63</v>
      </c>
      <c r="P2239" s="4" t="n">
        <v>71</v>
      </c>
      <c r="Q2239" s="8"/>
      <c r="R2239" s="4" t="s">
        <v>7474</v>
      </c>
      <c r="S2239" s="4"/>
    </row>
    <row r="2240" customFormat="false" ht="15" hidden="false" customHeight="false" outlineLevel="0" collapsed="false">
      <c r="A2240" s="4" t="s">
        <v>7478</v>
      </c>
      <c r="B2240" s="8" t="s">
        <v>7479</v>
      </c>
      <c r="C2240" s="8"/>
      <c r="D2240" s="8"/>
      <c r="E2240" s="8" t="s">
        <v>68</v>
      </c>
      <c r="F2240" s="8" t="s">
        <v>7480</v>
      </c>
      <c r="G2240" s="8" t="s">
        <v>7481</v>
      </c>
      <c r="H2240" s="8"/>
      <c r="I2240" s="8" t="s">
        <v>7482</v>
      </c>
      <c r="J2240" s="8" t="s">
        <v>78</v>
      </c>
      <c r="K2240" s="8" t="s">
        <v>7228</v>
      </c>
      <c r="L2240" s="8"/>
      <c r="M2240" s="8"/>
      <c r="N2240" s="8" t="s">
        <v>62</v>
      </c>
      <c r="O2240" s="8" t="s">
        <v>63</v>
      </c>
      <c r="P2240" s="4" t="n">
        <v>71</v>
      </c>
      <c r="Q2240" s="8"/>
      <c r="R2240" s="4" t="s">
        <v>7479</v>
      </c>
      <c r="S2240" s="4"/>
    </row>
    <row r="2241" customFormat="false" ht="15" hidden="false" customHeight="false" outlineLevel="0" collapsed="false">
      <c r="A2241" s="4" t="s">
        <v>7483</v>
      </c>
      <c r="B2241" s="8" t="s">
        <v>5738</v>
      </c>
      <c r="C2241" s="8"/>
      <c r="D2241" s="8"/>
      <c r="E2241" s="8" t="s">
        <v>68</v>
      </c>
      <c r="F2241" s="8" t="s">
        <v>5739</v>
      </c>
      <c r="G2241" s="8" t="s">
        <v>5740</v>
      </c>
      <c r="H2241" s="8"/>
      <c r="I2241" s="8" t="s">
        <v>7484</v>
      </c>
      <c r="J2241" s="8" t="s">
        <v>78</v>
      </c>
      <c r="K2241" s="8" t="s">
        <v>7228</v>
      </c>
      <c r="L2241" s="8"/>
      <c r="M2241" s="8"/>
      <c r="N2241" s="8" t="s">
        <v>62</v>
      </c>
      <c r="O2241" s="8" t="s">
        <v>63</v>
      </c>
      <c r="P2241" s="4" t="n">
        <v>71</v>
      </c>
      <c r="Q2241" s="8"/>
      <c r="R2241" s="4" t="s">
        <v>5738</v>
      </c>
      <c r="S2241" s="4"/>
    </row>
    <row r="2242" customFormat="false" ht="15" hidden="false" customHeight="false" outlineLevel="0" collapsed="false">
      <c r="A2242" s="4" t="s">
        <v>7485</v>
      </c>
      <c r="B2242" s="8" t="s">
        <v>7486</v>
      </c>
      <c r="C2242" s="8"/>
      <c r="D2242" s="8"/>
      <c r="E2242" s="8" t="s">
        <v>68</v>
      </c>
      <c r="F2242" s="8" t="s">
        <v>7487</v>
      </c>
      <c r="G2242" s="8" t="s">
        <v>7488</v>
      </c>
      <c r="H2242" s="8"/>
      <c r="I2242" s="8" t="s">
        <v>7369</v>
      </c>
      <c r="J2242" s="8" t="s">
        <v>78</v>
      </c>
      <c r="K2242" s="8" t="s">
        <v>7228</v>
      </c>
      <c r="L2242" s="8"/>
      <c r="M2242" s="8"/>
      <c r="N2242" s="8" t="s">
        <v>62</v>
      </c>
      <c r="O2242" s="8" t="s">
        <v>63</v>
      </c>
      <c r="P2242" s="4" t="n">
        <v>71</v>
      </c>
      <c r="Q2242" s="8"/>
      <c r="R2242" s="4" t="s">
        <v>7486</v>
      </c>
      <c r="S2242" s="4"/>
    </row>
    <row r="2243" customFormat="false" ht="15" hidden="false" customHeight="false" outlineLevel="0" collapsed="false">
      <c r="A2243" s="4" t="s">
        <v>7489</v>
      </c>
      <c r="B2243" s="8" t="s">
        <v>7490</v>
      </c>
      <c r="C2243" s="8"/>
      <c r="D2243" s="8"/>
      <c r="E2243" s="8" t="s">
        <v>68</v>
      </c>
      <c r="F2243" s="8" t="s">
        <v>7491</v>
      </c>
      <c r="G2243" s="8" t="s">
        <v>7492</v>
      </c>
      <c r="H2243" s="8"/>
      <c r="I2243" s="8" t="s">
        <v>7493</v>
      </c>
      <c r="J2243" s="8" t="s">
        <v>78</v>
      </c>
      <c r="K2243" s="8" t="s">
        <v>7228</v>
      </c>
      <c r="L2243" s="8"/>
      <c r="M2243" s="8"/>
      <c r="N2243" s="8" t="s">
        <v>62</v>
      </c>
      <c r="O2243" s="8" t="s">
        <v>63</v>
      </c>
      <c r="P2243" s="4" t="n">
        <v>71</v>
      </c>
      <c r="Q2243" s="8"/>
      <c r="R2243" s="4" t="s">
        <v>7490</v>
      </c>
      <c r="S2243" s="4"/>
    </row>
    <row r="2244" customFormat="false" ht="15" hidden="false" customHeight="false" outlineLevel="0" collapsed="false">
      <c r="A2244" s="4" t="s">
        <v>7494</v>
      </c>
      <c r="B2244" s="8" t="s">
        <v>7495</v>
      </c>
      <c r="C2244" s="8"/>
      <c r="D2244" s="8"/>
      <c r="E2244" s="8" t="s">
        <v>68</v>
      </c>
      <c r="F2244" s="8" t="s">
        <v>7496</v>
      </c>
      <c r="G2244" s="8" t="s">
        <v>7497</v>
      </c>
      <c r="H2244" s="8"/>
      <c r="I2244" s="8" t="s">
        <v>7498</v>
      </c>
      <c r="J2244" s="8" t="s">
        <v>78</v>
      </c>
      <c r="K2244" s="8" t="s">
        <v>7228</v>
      </c>
      <c r="L2244" s="8"/>
      <c r="M2244" s="8"/>
      <c r="N2244" s="8" t="s">
        <v>62</v>
      </c>
      <c r="O2244" s="8" t="s">
        <v>63</v>
      </c>
      <c r="P2244" s="4" t="n">
        <v>71</v>
      </c>
      <c r="Q2244" s="8"/>
      <c r="R2244" s="4" t="s">
        <v>7495</v>
      </c>
      <c r="S2244" s="4"/>
    </row>
    <row r="2245" customFormat="false" ht="15" hidden="false" customHeight="false" outlineLevel="0" collapsed="false">
      <c r="A2245" s="4" t="s">
        <v>7499</v>
      </c>
      <c r="B2245" s="8" t="s">
        <v>7500</v>
      </c>
      <c r="C2245" s="8"/>
      <c r="D2245" s="8"/>
      <c r="E2245" s="8" t="s">
        <v>68</v>
      </c>
      <c r="F2245" s="8" t="s">
        <v>7501</v>
      </c>
      <c r="G2245" s="8" t="s">
        <v>7502</v>
      </c>
      <c r="H2245" s="8"/>
      <c r="I2245" s="8" t="s">
        <v>7503</v>
      </c>
      <c r="J2245" s="8" t="s">
        <v>78</v>
      </c>
      <c r="K2245" s="8" t="s">
        <v>7228</v>
      </c>
      <c r="L2245" s="8"/>
      <c r="M2245" s="8"/>
      <c r="N2245" s="8" t="s">
        <v>62</v>
      </c>
      <c r="O2245" s="8" t="s">
        <v>63</v>
      </c>
      <c r="P2245" s="4" t="n">
        <v>71</v>
      </c>
      <c r="Q2245" s="8"/>
      <c r="R2245" s="4" t="s">
        <v>7500</v>
      </c>
      <c r="S2245" s="4"/>
    </row>
    <row r="2246" customFormat="false" ht="15" hidden="false" customHeight="false" outlineLevel="0" collapsed="false">
      <c r="A2246" s="4" t="s">
        <v>7504</v>
      </c>
      <c r="B2246" s="8" t="s">
        <v>7505</v>
      </c>
      <c r="C2246" s="8"/>
      <c r="D2246" s="8"/>
      <c r="E2246" s="8" t="s">
        <v>68</v>
      </c>
      <c r="F2246" s="8" t="s">
        <v>7506</v>
      </c>
      <c r="G2246" s="8" t="s">
        <v>7507</v>
      </c>
      <c r="H2246" s="8"/>
      <c r="I2246" s="8" t="s">
        <v>7508</v>
      </c>
      <c r="J2246" s="8" t="s">
        <v>78</v>
      </c>
      <c r="K2246" s="8" t="s">
        <v>7228</v>
      </c>
      <c r="L2246" s="8"/>
      <c r="M2246" s="8"/>
      <c r="N2246" s="8" t="s">
        <v>62</v>
      </c>
      <c r="O2246" s="8" t="s">
        <v>63</v>
      </c>
      <c r="P2246" s="4" t="n">
        <v>71</v>
      </c>
      <c r="Q2246" s="8"/>
      <c r="R2246" s="4" t="s">
        <v>7505</v>
      </c>
      <c r="S2246" s="4" t="n">
        <v>1206</v>
      </c>
    </row>
    <row r="2247" customFormat="false" ht="15" hidden="false" customHeight="false" outlineLevel="0" collapsed="false">
      <c r="A2247" s="4" t="s">
        <v>7509</v>
      </c>
      <c r="B2247" s="8" t="s">
        <v>2328</v>
      </c>
      <c r="C2247" s="8"/>
      <c r="D2247" s="8"/>
      <c r="E2247" s="8" t="s">
        <v>68</v>
      </c>
      <c r="F2247" s="8" t="s">
        <v>2329</v>
      </c>
      <c r="G2247" s="8" t="s">
        <v>2330</v>
      </c>
      <c r="H2247" s="8"/>
      <c r="I2247" s="8" t="s">
        <v>2472</v>
      </c>
      <c r="J2247" s="8" t="s">
        <v>78</v>
      </c>
      <c r="K2247" s="8" t="s">
        <v>7228</v>
      </c>
      <c r="L2247" s="8"/>
      <c r="M2247" s="8"/>
      <c r="N2247" s="8" t="s">
        <v>62</v>
      </c>
      <c r="O2247" s="8" t="s">
        <v>63</v>
      </c>
      <c r="P2247" s="4" t="n">
        <v>71</v>
      </c>
      <c r="Q2247" s="8"/>
      <c r="R2247" s="4" t="s">
        <v>2328</v>
      </c>
      <c r="S2247" s="4" t="n">
        <v>646</v>
      </c>
    </row>
    <row r="2248" customFormat="false" ht="15" hidden="false" customHeight="false" outlineLevel="0" collapsed="false">
      <c r="A2248" s="4" t="s">
        <v>7510</v>
      </c>
      <c r="B2248" s="8" t="s">
        <v>7511</v>
      </c>
      <c r="C2248" s="8"/>
      <c r="D2248" s="8"/>
      <c r="E2248" s="8" t="s">
        <v>68</v>
      </c>
      <c r="F2248" s="8" t="s">
        <v>7512</v>
      </c>
      <c r="G2248" s="8" t="s">
        <v>7513</v>
      </c>
      <c r="H2248" s="8"/>
      <c r="I2248" s="8" t="s">
        <v>7514</v>
      </c>
      <c r="J2248" s="8" t="s">
        <v>78</v>
      </c>
      <c r="K2248" s="8" t="s">
        <v>7228</v>
      </c>
      <c r="L2248" s="8"/>
      <c r="M2248" s="8"/>
      <c r="N2248" s="8" t="s">
        <v>62</v>
      </c>
      <c r="O2248" s="8" t="s">
        <v>63</v>
      </c>
      <c r="P2248" s="4" t="n">
        <v>71</v>
      </c>
      <c r="Q2248" s="8"/>
      <c r="R2248" s="4" t="s">
        <v>7511</v>
      </c>
      <c r="S2248" s="4"/>
    </row>
    <row r="2249" customFormat="false" ht="15" hidden="false" customHeight="false" outlineLevel="0" collapsed="false">
      <c r="A2249" s="4"/>
      <c r="B2249" s="8"/>
      <c r="C2249" s="8"/>
      <c r="D2249" s="8"/>
      <c r="E2249" s="8"/>
      <c r="F2249" s="8"/>
      <c r="G2249" s="8"/>
      <c r="H2249" s="8"/>
      <c r="I2249" s="8"/>
      <c r="J2249" s="8"/>
      <c r="K2249" s="8"/>
      <c r="L2249" s="8"/>
      <c r="M2249" s="8"/>
      <c r="N2249" s="8"/>
      <c r="O2249" s="8"/>
      <c r="P2249" s="4"/>
      <c r="Q2249" s="8"/>
      <c r="R2249" s="4"/>
      <c r="S2249" s="4"/>
    </row>
    <row r="2250" customFormat="false" ht="15" hidden="false" customHeight="false" outlineLevel="0" collapsed="false">
      <c r="A2250" s="4"/>
      <c r="B2250" s="8"/>
      <c r="C2250" s="8"/>
      <c r="D2250" s="8"/>
      <c r="E2250" s="8"/>
      <c r="F2250" s="8"/>
      <c r="G2250" s="8"/>
      <c r="H2250" s="8"/>
      <c r="I2250" s="8"/>
      <c r="J2250" s="8"/>
      <c r="K2250" s="8"/>
      <c r="L2250" s="8"/>
      <c r="M2250" s="8"/>
      <c r="N2250" s="8"/>
      <c r="O2250" s="8"/>
      <c r="P2250" s="4"/>
      <c r="Q2250" s="8"/>
      <c r="R2250" s="4"/>
      <c r="S2250" s="4"/>
    </row>
    <row r="2251" customFormat="false" ht="15" hidden="false" customHeight="false" outlineLevel="0" collapsed="false">
      <c r="A2251" s="4"/>
      <c r="B2251" s="8"/>
      <c r="C2251" s="8"/>
      <c r="D2251" s="8"/>
      <c r="E2251" s="8"/>
      <c r="F2251" s="8"/>
      <c r="G2251" s="8"/>
      <c r="H2251" s="8"/>
      <c r="I2251" s="8"/>
      <c r="J2251" s="8"/>
      <c r="K2251" s="8"/>
      <c r="L2251" s="8"/>
      <c r="M2251" s="8"/>
      <c r="N2251" s="8"/>
      <c r="O2251" s="8"/>
      <c r="P2251" s="4"/>
      <c r="Q2251" s="8"/>
      <c r="R2251" s="4"/>
      <c r="S2251" s="4"/>
    </row>
    <row r="2252" customFormat="false" ht="15" hidden="false" customHeight="false" outlineLevel="0" collapsed="false">
      <c r="A2252" s="4"/>
      <c r="B2252" s="8"/>
      <c r="C2252" s="8"/>
      <c r="D2252" s="8"/>
      <c r="E2252" s="8"/>
      <c r="F2252" s="8"/>
      <c r="G2252" s="8"/>
      <c r="H2252" s="8"/>
      <c r="I2252" s="8"/>
      <c r="J2252" s="8"/>
      <c r="K2252" s="8"/>
      <c r="L2252" s="8"/>
      <c r="M2252" s="8"/>
      <c r="N2252" s="8"/>
      <c r="O2252" s="8"/>
      <c r="P2252" s="4"/>
      <c r="Q2252" s="8"/>
      <c r="R2252" s="4"/>
      <c r="S2252" s="4"/>
    </row>
    <row r="2253" customFormat="false" ht="15" hidden="false" customHeight="false" outlineLevel="0" collapsed="false">
      <c r="A2253" s="4"/>
      <c r="B2253" s="8"/>
      <c r="C2253" s="8"/>
      <c r="D2253" s="8"/>
      <c r="E2253" s="8"/>
      <c r="F2253" s="8"/>
      <c r="G2253" s="8"/>
      <c r="H2253" s="8"/>
      <c r="I2253" s="8"/>
      <c r="J2253" s="8"/>
      <c r="K2253" s="8"/>
      <c r="L2253" s="8"/>
      <c r="M2253" s="8"/>
      <c r="N2253" s="8"/>
      <c r="O2253" s="8"/>
      <c r="P2253" s="4"/>
      <c r="Q2253" s="8"/>
      <c r="R2253" s="4"/>
      <c r="S2253" s="4"/>
    </row>
    <row r="2254" customFormat="false" ht="15" hidden="false" customHeight="false" outlineLevel="0" collapsed="false">
      <c r="A2254" s="4"/>
      <c r="B2254" s="8"/>
      <c r="C2254" s="8"/>
      <c r="D2254" s="8"/>
      <c r="E2254" s="8"/>
      <c r="F2254" s="8"/>
      <c r="G2254" s="8"/>
      <c r="H2254" s="8"/>
      <c r="I2254" s="8"/>
      <c r="J2254" s="8"/>
      <c r="K2254" s="8"/>
      <c r="L2254" s="8"/>
      <c r="M2254" s="8"/>
      <c r="N2254" s="8"/>
      <c r="O2254" s="8"/>
      <c r="P2254" s="4"/>
      <c r="Q2254" s="8"/>
      <c r="R2254" s="4"/>
      <c r="S2254" s="4"/>
    </row>
    <row r="2255" customFormat="false" ht="15" hidden="false" customHeight="false" outlineLevel="0" collapsed="false">
      <c r="A2255" s="4"/>
      <c r="B2255" s="8"/>
      <c r="C2255" s="8"/>
      <c r="D2255" s="8"/>
      <c r="E2255" s="8"/>
      <c r="F2255" s="8"/>
      <c r="G2255" s="8"/>
      <c r="H2255" s="8"/>
      <c r="I2255" s="8"/>
      <c r="J2255" s="8"/>
      <c r="K2255" s="8"/>
      <c r="L2255" s="8"/>
      <c r="M2255" s="8"/>
      <c r="N2255" s="8"/>
      <c r="O2255" s="8"/>
      <c r="P2255" s="4"/>
      <c r="Q2255" s="8"/>
      <c r="R2255" s="4"/>
      <c r="S2255" s="4"/>
    </row>
    <row r="2256" customFormat="false" ht="15" hidden="false" customHeight="false" outlineLevel="0" collapsed="false">
      <c r="A2256" s="4"/>
      <c r="B2256" s="8"/>
      <c r="C2256" s="8"/>
      <c r="D2256" s="8"/>
      <c r="E2256" s="8"/>
      <c r="F2256" s="8"/>
      <c r="G2256" s="8"/>
      <c r="H2256" s="8"/>
      <c r="I2256" s="8"/>
      <c r="J2256" s="8"/>
      <c r="K2256" s="8"/>
      <c r="L2256" s="8"/>
      <c r="M2256" s="8"/>
      <c r="N2256" s="8"/>
      <c r="O2256" s="8"/>
      <c r="P2256" s="4"/>
      <c r="Q2256" s="8"/>
      <c r="R2256" s="4"/>
      <c r="S2256" s="4"/>
    </row>
    <row r="2257" customFormat="false" ht="15" hidden="false" customHeight="false" outlineLevel="0" collapsed="false">
      <c r="A2257" s="4"/>
      <c r="B2257" s="8"/>
      <c r="C2257" s="8"/>
      <c r="D2257" s="8"/>
      <c r="E2257" s="8"/>
      <c r="F2257" s="8"/>
      <c r="G2257" s="8"/>
      <c r="H2257" s="8"/>
      <c r="I2257" s="8"/>
      <c r="J2257" s="8"/>
      <c r="K2257" s="8"/>
      <c r="L2257" s="8"/>
      <c r="M2257" s="8"/>
      <c r="N2257" s="8"/>
      <c r="O2257" s="8"/>
      <c r="P2257" s="4"/>
      <c r="Q2257" s="8"/>
      <c r="R2257" s="4"/>
      <c r="S2257" s="4"/>
    </row>
    <row r="2258" customFormat="false" ht="15" hidden="false" customHeight="false" outlineLevel="0" collapsed="false">
      <c r="A2258" s="4"/>
      <c r="B2258" s="8"/>
      <c r="C2258" s="8"/>
      <c r="D2258" s="8"/>
      <c r="E2258" s="8"/>
      <c r="F2258" s="8"/>
      <c r="G2258" s="8"/>
      <c r="H2258" s="8"/>
      <c r="I2258" s="8"/>
      <c r="J2258" s="8"/>
      <c r="K2258" s="8"/>
      <c r="L2258" s="8"/>
      <c r="M2258" s="8"/>
      <c r="N2258" s="8"/>
      <c r="O2258" s="8"/>
      <c r="P2258" s="4"/>
      <c r="Q2258" s="8"/>
      <c r="R2258" s="4"/>
      <c r="S2258" s="4"/>
    </row>
    <row r="2259" customFormat="false" ht="15" hidden="false" customHeight="false" outlineLevel="0" collapsed="false">
      <c r="A2259" s="4"/>
      <c r="B2259" s="8"/>
      <c r="C2259" s="8"/>
      <c r="D2259" s="8"/>
      <c r="E2259" s="8"/>
      <c r="F2259" s="8"/>
      <c r="G2259" s="8"/>
      <c r="H2259" s="8"/>
      <c r="I2259" s="8"/>
      <c r="J2259" s="8"/>
      <c r="K2259" s="8"/>
      <c r="L2259" s="8"/>
      <c r="M2259" s="8"/>
      <c r="N2259" s="8"/>
      <c r="O2259" s="8"/>
      <c r="P2259" s="4"/>
      <c r="Q2259" s="8"/>
      <c r="R2259" s="4"/>
      <c r="S2259" s="4"/>
    </row>
    <row r="2260" customFormat="false" ht="15" hidden="false" customHeight="false" outlineLevel="0" collapsed="false">
      <c r="A2260" s="4"/>
      <c r="B2260" s="8"/>
      <c r="C2260" s="8"/>
      <c r="D2260" s="8"/>
      <c r="E2260" s="8"/>
      <c r="F2260" s="8"/>
      <c r="G2260" s="8"/>
      <c r="H2260" s="8"/>
      <c r="I2260" s="8"/>
      <c r="J2260" s="8"/>
      <c r="K2260" s="8"/>
      <c r="L2260" s="8"/>
      <c r="M2260" s="8"/>
      <c r="N2260" s="8"/>
      <c r="O2260" s="8"/>
      <c r="P2260" s="4"/>
      <c r="Q2260" s="8"/>
      <c r="R2260" s="4"/>
      <c r="S2260" s="4"/>
    </row>
    <row r="2261" customFormat="false" ht="15" hidden="false" customHeight="false" outlineLevel="0" collapsed="false">
      <c r="A2261" s="4"/>
      <c r="B2261" s="8"/>
      <c r="C2261" s="8"/>
      <c r="D2261" s="8"/>
      <c r="E2261" s="8"/>
      <c r="F2261" s="8"/>
      <c r="G2261" s="8"/>
      <c r="H2261" s="8"/>
      <c r="I2261" s="8"/>
      <c r="J2261" s="8"/>
      <c r="K2261" s="8"/>
      <c r="L2261" s="8"/>
      <c r="M2261" s="8"/>
      <c r="N2261" s="8"/>
      <c r="O2261" s="8"/>
      <c r="P2261" s="4"/>
      <c r="Q2261" s="8"/>
      <c r="R2261" s="4"/>
      <c r="S2261" s="4"/>
    </row>
    <row r="2262" customFormat="false" ht="15" hidden="false" customHeight="false" outlineLevel="0" collapsed="false">
      <c r="A2262" s="4"/>
      <c r="B2262" s="8"/>
      <c r="C2262" s="8"/>
      <c r="D2262" s="8"/>
      <c r="E2262" s="8"/>
      <c r="F2262" s="8"/>
      <c r="G2262" s="8"/>
      <c r="H2262" s="8"/>
      <c r="I2262" s="8"/>
      <c r="J2262" s="8"/>
      <c r="K2262" s="8"/>
      <c r="L2262" s="8"/>
      <c r="M2262" s="8"/>
      <c r="N2262" s="8"/>
      <c r="O2262" s="8"/>
      <c r="P2262" s="4"/>
      <c r="Q2262" s="8"/>
      <c r="R2262" s="4"/>
      <c r="S2262" s="4"/>
    </row>
    <row r="2263" customFormat="false" ht="15" hidden="false" customHeight="false" outlineLevel="0" collapsed="false">
      <c r="A2263" s="4"/>
      <c r="B2263" s="8"/>
      <c r="C2263" s="8"/>
      <c r="D2263" s="8"/>
      <c r="E2263" s="8"/>
      <c r="F2263" s="8"/>
      <c r="G2263" s="8"/>
      <c r="H2263" s="8"/>
      <c r="I2263" s="8"/>
      <c r="J2263" s="8"/>
      <c r="K2263" s="8"/>
      <c r="L2263" s="8"/>
      <c r="M2263" s="8"/>
      <c r="N2263" s="8"/>
      <c r="O2263" s="8"/>
      <c r="P2263" s="4"/>
      <c r="Q2263" s="8"/>
      <c r="R2263" s="4"/>
      <c r="S2263" s="4"/>
    </row>
    <row r="2264" customFormat="false" ht="15" hidden="false" customHeight="false" outlineLevel="0" collapsed="false">
      <c r="A2264" s="4"/>
      <c r="B2264" s="8"/>
      <c r="C2264" s="8"/>
      <c r="D2264" s="8"/>
      <c r="E2264" s="8"/>
      <c r="F2264" s="8"/>
      <c r="G2264" s="8"/>
      <c r="H2264" s="8"/>
      <c r="I2264" s="8"/>
      <c r="J2264" s="8"/>
      <c r="K2264" s="8"/>
      <c r="L2264" s="8"/>
      <c r="M2264" s="8"/>
      <c r="N2264" s="8"/>
      <c r="O2264" s="8"/>
      <c r="P2264" s="4"/>
      <c r="Q2264" s="8"/>
      <c r="R2264" s="4"/>
      <c r="S2264" s="4"/>
    </row>
    <row r="2265" customFormat="false" ht="15" hidden="false" customHeight="false" outlineLevel="0" collapsed="false">
      <c r="A2265" s="4"/>
      <c r="B2265" s="8"/>
      <c r="C2265" s="8"/>
      <c r="D2265" s="8"/>
      <c r="E2265" s="8"/>
      <c r="F2265" s="8"/>
      <c r="G2265" s="8"/>
      <c r="H2265" s="8"/>
      <c r="I2265" s="8"/>
      <c r="J2265" s="8"/>
      <c r="K2265" s="8"/>
      <c r="L2265" s="8"/>
      <c r="M2265" s="8"/>
      <c r="N2265" s="8"/>
      <c r="O2265" s="8"/>
      <c r="P2265" s="4"/>
      <c r="Q2265" s="8"/>
      <c r="R2265" s="4"/>
      <c r="S2265" s="4"/>
    </row>
    <row r="2266" customFormat="false" ht="15" hidden="false" customHeight="false" outlineLevel="0" collapsed="false">
      <c r="A2266" s="4"/>
      <c r="B2266" s="8"/>
      <c r="C2266" s="8"/>
      <c r="D2266" s="8"/>
      <c r="E2266" s="8"/>
      <c r="F2266" s="8"/>
      <c r="G2266" s="8"/>
      <c r="H2266" s="8"/>
      <c r="I2266" s="8"/>
      <c r="J2266" s="8"/>
      <c r="K2266" s="8"/>
      <c r="L2266" s="8"/>
      <c r="M2266" s="8"/>
      <c r="N2266" s="8"/>
      <c r="O2266" s="8"/>
      <c r="P2266" s="4"/>
      <c r="Q2266" s="8"/>
      <c r="R2266" s="4"/>
      <c r="S2266" s="4"/>
    </row>
    <row r="2267" customFormat="false" ht="15" hidden="false" customHeight="false" outlineLevel="0" collapsed="false">
      <c r="A2267" s="4"/>
      <c r="B2267" s="8"/>
      <c r="C2267" s="8"/>
      <c r="D2267" s="8"/>
      <c r="E2267" s="8"/>
      <c r="F2267" s="8"/>
      <c r="G2267" s="8"/>
      <c r="H2267" s="8"/>
      <c r="I2267" s="8"/>
      <c r="J2267" s="8"/>
      <c r="K2267" s="8"/>
      <c r="L2267" s="8"/>
      <c r="M2267" s="8"/>
      <c r="N2267" s="8"/>
      <c r="O2267" s="8"/>
      <c r="P2267" s="4"/>
      <c r="Q2267" s="8"/>
      <c r="R2267" s="4"/>
      <c r="S2267" s="4"/>
    </row>
    <row r="2268" customFormat="false" ht="15" hidden="false" customHeight="false" outlineLevel="0" collapsed="false">
      <c r="A2268" s="4"/>
      <c r="B2268" s="8"/>
      <c r="C2268" s="8"/>
      <c r="D2268" s="8"/>
      <c r="E2268" s="8"/>
      <c r="F2268" s="8"/>
      <c r="G2268" s="8"/>
      <c r="H2268" s="8"/>
      <c r="I2268" s="8"/>
      <c r="J2268" s="8"/>
      <c r="K2268" s="8"/>
      <c r="L2268" s="8"/>
      <c r="M2268" s="8"/>
      <c r="N2268" s="8"/>
      <c r="O2268" s="8"/>
      <c r="P2268" s="4"/>
      <c r="Q2268" s="8"/>
      <c r="R2268" s="4"/>
      <c r="S2268" s="4"/>
    </row>
    <row r="2269" customFormat="false" ht="15" hidden="false" customHeight="false" outlineLevel="0" collapsed="false">
      <c r="A2269" s="4"/>
      <c r="B2269" s="8"/>
      <c r="C2269" s="8"/>
      <c r="D2269" s="8"/>
      <c r="E2269" s="8"/>
      <c r="F2269" s="8"/>
      <c r="G2269" s="8"/>
      <c r="H2269" s="8"/>
      <c r="I2269" s="8"/>
      <c r="J2269" s="8"/>
      <c r="K2269" s="8"/>
      <c r="L2269" s="8"/>
      <c r="M2269" s="8"/>
      <c r="N2269" s="8"/>
      <c r="O2269" s="8"/>
      <c r="P2269" s="4"/>
      <c r="Q2269" s="8"/>
      <c r="R2269" s="4"/>
      <c r="S2269" s="4"/>
    </row>
    <row r="2270" customFormat="false" ht="15" hidden="false" customHeight="false" outlineLevel="0" collapsed="false">
      <c r="A2270" s="4"/>
      <c r="B2270" s="8"/>
      <c r="C2270" s="8"/>
      <c r="D2270" s="8"/>
      <c r="E2270" s="8"/>
      <c r="F2270" s="8"/>
      <c r="G2270" s="8"/>
      <c r="H2270" s="8"/>
      <c r="I2270" s="8"/>
      <c r="J2270" s="8"/>
      <c r="K2270" s="8"/>
      <c r="L2270" s="8"/>
      <c r="M2270" s="8"/>
      <c r="N2270" s="8"/>
      <c r="O2270" s="8"/>
      <c r="P2270" s="4"/>
      <c r="Q2270" s="8"/>
      <c r="R2270" s="4"/>
      <c r="S2270" s="4"/>
    </row>
    <row r="2271" customFormat="false" ht="15" hidden="false" customHeight="false" outlineLevel="0" collapsed="false">
      <c r="A2271" s="4"/>
      <c r="B2271" s="8"/>
      <c r="C2271" s="8"/>
      <c r="D2271" s="8"/>
      <c r="E2271" s="8"/>
      <c r="F2271" s="8"/>
      <c r="G2271" s="8"/>
      <c r="H2271" s="8"/>
      <c r="I2271" s="8"/>
      <c r="J2271" s="8"/>
      <c r="K2271" s="8"/>
      <c r="L2271" s="8"/>
      <c r="M2271" s="8"/>
      <c r="N2271" s="8"/>
      <c r="O2271" s="8"/>
      <c r="P2271" s="4"/>
      <c r="Q2271" s="8"/>
      <c r="R2271" s="4"/>
      <c r="S2271" s="4"/>
    </row>
    <row r="2272" customFormat="false" ht="15" hidden="false" customHeight="false" outlineLevel="0" collapsed="false">
      <c r="A2272" s="4"/>
      <c r="B2272" s="8"/>
      <c r="C2272" s="8"/>
      <c r="D2272" s="8"/>
      <c r="E2272" s="8"/>
      <c r="F2272" s="8"/>
      <c r="G2272" s="8"/>
      <c r="H2272" s="8"/>
      <c r="I2272" s="8"/>
      <c r="J2272" s="8"/>
      <c r="K2272" s="8"/>
      <c r="L2272" s="8"/>
      <c r="M2272" s="8"/>
      <c r="N2272" s="8"/>
      <c r="O2272" s="8"/>
      <c r="P2272" s="4"/>
      <c r="Q2272" s="8"/>
      <c r="R2272" s="4"/>
      <c r="S2272" s="4"/>
    </row>
    <row r="2273" customFormat="false" ht="15" hidden="false" customHeight="false" outlineLevel="0" collapsed="false">
      <c r="A2273" s="4"/>
      <c r="B2273" s="8"/>
      <c r="C2273" s="8"/>
      <c r="D2273" s="8"/>
      <c r="E2273" s="8"/>
      <c r="F2273" s="8"/>
      <c r="G2273" s="8"/>
      <c r="H2273" s="8"/>
      <c r="I2273" s="8"/>
      <c r="J2273" s="8"/>
      <c r="K2273" s="8"/>
      <c r="L2273" s="8"/>
      <c r="M2273" s="8"/>
      <c r="N2273" s="8"/>
      <c r="O2273" s="8"/>
      <c r="P2273" s="4"/>
      <c r="Q2273" s="8"/>
      <c r="R2273" s="4"/>
      <c r="S2273" s="4"/>
    </row>
    <row r="2274" customFormat="false" ht="15" hidden="false" customHeight="false" outlineLevel="0" collapsed="false">
      <c r="A2274" s="4"/>
      <c r="B2274" s="8"/>
      <c r="C2274" s="8"/>
      <c r="D2274" s="8"/>
      <c r="E2274" s="8"/>
      <c r="F2274" s="8"/>
      <c r="G2274" s="8"/>
      <c r="H2274" s="8"/>
      <c r="I2274" s="8"/>
      <c r="J2274" s="8"/>
      <c r="K2274" s="8"/>
      <c r="L2274" s="8"/>
      <c r="M2274" s="8"/>
      <c r="N2274" s="8"/>
      <c r="O2274" s="8"/>
      <c r="P2274" s="4"/>
      <c r="Q2274" s="8"/>
      <c r="R2274" s="4"/>
      <c r="S2274" s="4"/>
    </row>
    <row r="2275" customFormat="false" ht="15" hidden="false" customHeight="false" outlineLevel="0" collapsed="false">
      <c r="A2275" s="4"/>
      <c r="B2275" s="8"/>
      <c r="C2275" s="8"/>
      <c r="D2275" s="8"/>
      <c r="E2275" s="8"/>
      <c r="F2275" s="8"/>
      <c r="G2275" s="8"/>
      <c r="H2275" s="8"/>
      <c r="I2275" s="8"/>
      <c r="J2275" s="8"/>
      <c r="K2275" s="8"/>
      <c r="L2275" s="8"/>
      <c r="M2275" s="8"/>
      <c r="N2275" s="8"/>
      <c r="O2275" s="8"/>
      <c r="P2275" s="4"/>
      <c r="Q2275" s="8"/>
      <c r="R2275" s="4"/>
      <c r="S2275" s="4"/>
    </row>
    <row r="2276" customFormat="false" ht="15" hidden="false" customHeight="false" outlineLevel="0" collapsed="false">
      <c r="A2276" s="4"/>
      <c r="B2276" s="8"/>
      <c r="C2276" s="8"/>
      <c r="D2276" s="8"/>
      <c r="E2276" s="8"/>
      <c r="F2276" s="8"/>
      <c r="G2276" s="8"/>
      <c r="H2276" s="8"/>
      <c r="I2276" s="8"/>
      <c r="J2276" s="8"/>
      <c r="K2276" s="8"/>
      <c r="L2276" s="8"/>
      <c r="M2276" s="8"/>
      <c r="N2276" s="8"/>
      <c r="O2276" s="8"/>
      <c r="P2276" s="4"/>
      <c r="Q2276" s="8"/>
      <c r="R2276" s="4"/>
      <c r="S2276" s="4"/>
    </row>
    <row r="2277" customFormat="false" ht="15" hidden="false" customHeight="false" outlineLevel="0" collapsed="false">
      <c r="A2277" s="4"/>
      <c r="B2277" s="8"/>
      <c r="C2277" s="8"/>
      <c r="D2277" s="8"/>
      <c r="E2277" s="8"/>
      <c r="F2277" s="8"/>
      <c r="G2277" s="8"/>
      <c r="H2277" s="8"/>
      <c r="I2277" s="8"/>
      <c r="J2277" s="8"/>
      <c r="K2277" s="8"/>
      <c r="L2277" s="8"/>
      <c r="M2277" s="8"/>
      <c r="N2277" s="8"/>
      <c r="O2277" s="8"/>
      <c r="P2277" s="4"/>
      <c r="Q2277" s="8"/>
      <c r="R2277" s="4"/>
      <c r="S2277" s="4"/>
    </row>
    <row r="2278" customFormat="false" ht="15" hidden="false" customHeight="false" outlineLevel="0" collapsed="false">
      <c r="A2278" s="4"/>
      <c r="B2278" s="8"/>
      <c r="C2278" s="8"/>
      <c r="D2278" s="8"/>
      <c r="E2278" s="8"/>
      <c r="F2278" s="8"/>
      <c r="G2278" s="8"/>
      <c r="H2278" s="8"/>
      <c r="I2278" s="8"/>
      <c r="J2278" s="8"/>
      <c r="K2278" s="8"/>
      <c r="L2278" s="8"/>
      <c r="M2278" s="8"/>
      <c r="N2278" s="8"/>
      <c r="O2278" s="8"/>
      <c r="P2278" s="4"/>
      <c r="Q2278" s="8"/>
      <c r="R2278" s="4"/>
      <c r="S2278" s="4"/>
    </row>
    <row r="2279" customFormat="false" ht="15" hidden="false" customHeight="false" outlineLevel="0" collapsed="false">
      <c r="A2279" s="4"/>
      <c r="B2279" s="8"/>
      <c r="C2279" s="8"/>
      <c r="D2279" s="8"/>
      <c r="E2279" s="8"/>
      <c r="F2279" s="8"/>
      <c r="G2279" s="8"/>
      <c r="H2279" s="8"/>
      <c r="I2279" s="8"/>
      <c r="J2279" s="8"/>
      <c r="K2279" s="8"/>
      <c r="L2279" s="8"/>
      <c r="M2279" s="8"/>
      <c r="N2279" s="8"/>
      <c r="O2279" s="8"/>
      <c r="P2279" s="4"/>
      <c r="Q2279" s="8"/>
      <c r="R2279" s="4"/>
      <c r="S2279" s="4"/>
    </row>
    <row r="2280" customFormat="false" ht="15" hidden="false" customHeight="false" outlineLevel="0" collapsed="false">
      <c r="A2280" s="4"/>
      <c r="B2280" s="8"/>
      <c r="C2280" s="8"/>
      <c r="D2280" s="8"/>
      <c r="E2280" s="8"/>
      <c r="F2280" s="8"/>
      <c r="G2280" s="8"/>
      <c r="H2280" s="8"/>
      <c r="I2280" s="8"/>
      <c r="J2280" s="8"/>
      <c r="K2280" s="8"/>
      <c r="L2280" s="8"/>
      <c r="M2280" s="8"/>
      <c r="N2280" s="8"/>
      <c r="O2280" s="8"/>
      <c r="P2280" s="4"/>
      <c r="Q2280" s="8"/>
      <c r="R2280" s="4"/>
      <c r="S2280" s="4"/>
    </row>
    <row r="2281" customFormat="false" ht="15" hidden="false" customHeight="false" outlineLevel="0" collapsed="false">
      <c r="A2281" s="4"/>
      <c r="B2281" s="8"/>
      <c r="C2281" s="8"/>
      <c r="D2281" s="8"/>
      <c r="E2281" s="8"/>
      <c r="F2281" s="8"/>
      <c r="G2281" s="8"/>
      <c r="H2281" s="8"/>
      <c r="I2281" s="8"/>
      <c r="J2281" s="8"/>
      <c r="K2281" s="8"/>
      <c r="L2281" s="8"/>
      <c r="M2281" s="8"/>
      <c r="N2281" s="8"/>
      <c r="O2281" s="8"/>
      <c r="P2281" s="4"/>
      <c r="Q2281" s="8"/>
      <c r="R2281" s="4"/>
      <c r="S2281" s="4"/>
    </row>
    <row r="2282" customFormat="false" ht="15" hidden="false" customHeight="false" outlineLevel="0" collapsed="false">
      <c r="A2282" s="4"/>
      <c r="B2282" s="8"/>
      <c r="C2282" s="8"/>
      <c r="D2282" s="8"/>
      <c r="E2282" s="8"/>
      <c r="F2282" s="8"/>
      <c r="G2282" s="8"/>
      <c r="H2282" s="8"/>
      <c r="I2282" s="8"/>
      <c r="J2282" s="8"/>
      <c r="K2282" s="8"/>
      <c r="L2282" s="8"/>
      <c r="M2282" s="8"/>
      <c r="N2282" s="8"/>
      <c r="O2282" s="8"/>
      <c r="P2282" s="4"/>
      <c r="Q2282" s="8"/>
      <c r="R2282" s="4"/>
      <c r="S2282" s="4"/>
    </row>
    <row r="2283" customFormat="false" ht="15" hidden="false" customHeight="false" outlineLevel="0" collapsed="false">
      <c r="A2283" s="4"/>
      <c r="B2283" s="8"/>
      <c r="C2283" s="8"/>
      <c r="D2283" s="8"/>
      <c r="E2283" s="8"/>
      <c r="F2283" s="8"/>
      <c r="G2283" s="8"/>
      <c r="H2283" s="8"/>
      <c r="I2283" s="8"/>
      <c r="J2283" s="8"/>
      <c r="K2283" s="8"/>
      <c r="L2283" s="8"/>
      <c r="M2283" s="8"/>
      <c r="N2283" s="8"/>
      <c r="O2283" s="8"/>
      <c r="P2283" s="4"/>
      <c r="Q2283" s="8"/>
      <c r="R2283" s="4"/>
      <c r="S2283" s="4"/>
    </row>
    <row r="2284" customFormat="false" ht="15" hidden="false" customHeight="false" outlineLevel="0" collapsed="false">
      <c r="A2284" s="4"/>
      <c r="B2284" s="8"/>
      <c r="C2284" s="8"/>
      <c r="D2284" s="8"/>
      <c r="E2284" s="8"/>
      <c r="F2284" s="8"/>
      <c r="G2284" s="8"/>
      <c r="H2284" s="8"/>
      <c r="I2284" s="8"/>
      <c r="J2284" s="8"/>
      <c r="K2284" s="8"/>
      <c r="L2284" s="8"/>
      <c r="M2284" s="8"/>
      <c r="N2284" s="8"/>
      <c r="O2284" s="8"/>
      <c r="P2284" s="4"/>
      <c r="Q2284" s="8"/>
      <c r="R2284" s="4"/>
      <c r="S2284" s="4"/>
    </row>
    <row r="2285" customFormat="false" ht="15" hidden="false" customHeight="false" outlineLevel="0" collapsed="false">
      <c r="A2285" s="4"/>
      <c r="B2285" s="8"/>
      <c r="C2285" s="8"/>
      <c r="D2285" s="8"/>
      <c r="E2285" s="8"/>
      <c r="F2285" s="8"/>
      <c r="G2285" s="8"/>
      <c r="H2285" s="8"/>
      <c r="I2285" s="8"/>
      <c r="J2285" s="8"/>
      <c r="K2285" s="8"/>
      <c r="L2285" s="8"/>
      <c r="M2285" s="8"/>
      <c r="N2285" s="8"/>
      <c r="O2285" s="8"/>
      <c r="P2285" s="4"/>
      <c r="Q2285" s="8"/>
      <c r="R2285" s="4"/>
      <c r="S2285" s="4"/>
    </row>
    <row r="2286" customFormat="false" ht="15" hidden="false" customHeight="false" outlineLevel="0" collapsed="false">
      <c r="A2286" s="4"/>
      <c r="B2286" s="8"/>
      <c r="C2286" s="8"/>
      <c r="D2286" s="8"/>
      <c r="E2286" s="8"/>
      <c r="F2286" s="8"/>
      <c r="G2286" s="8"/>
      <c r="H2286" s="8"/>
      <c r="I2286" s="8"/>
      <c r="J2286" s="8"/>
      <c r="K2286" s="8"/>
      <c r="L2286" s="8"/>
      <c r="M2286" s="8"/>
      <c r="N2286" s="8"/>
      <c r="O2286" s="8"/>
      <c r="P2286" s="4"/>
      <c r="Q2286" s="8"/>
      <c r="R2286" s="4"/>
      <c r="S2286" s="4"/>
    </row>
    <row r="2287" customFormat="false" ht="15" hidden="false" customHeight="false" outlineLevel="0" collapsed="false">
      <c r="A2287" s="4"/>
      <c r="B2287" s="8"/>
      <c r="C2287" s="8"/>
      <c r="D2287" s="8"/>
      <c r="E2287" s="8"/>
      <c r="F2287" s="8"/>
      <c r="G2287" s="8"/>
      <c r="H2287" s="8"/>
      <c r="I2287" s="8"/>
      <c r="J2287" s="8"/>
      <c r="K2287" s="8"/>
      <c r="L2287" s="8"/>
      <c r="M2287" s="8"/>
      <c r="N2287" s="8"/>
      <c r="O2287" s="8"/>
      <c r="P2287" s="4"/>
      <c r="Q2287" s="8"/>
      <c r="R2287" s="4"/>
      <c r="S2287" s="4"/>
    </row>
    <row r="2288" customFormat="false" ht="15" hidden="false" customHeight="false" outlineLevel="0" collapsed="false">
      <c r="A2288" s="4"/>
      <c r="B2288" s="8"/>
      <c r="C2288" s="8"/>
      <c r="D2288" s="8"/>
      <c r="E2288" s="8"/>
      <c r="F2288" s="8"/>
      <c r="G2288" s="8"/>
      <c r="H2288" s="8"/>
      <c r="I2288" s="8"/>
      <c r="J2288" s="8"/>
      <c r="K2288" s="8"/>
      <c r="L2288" s="8"/>
      <c r="M2288" s="8"/>
      <c r="N2288" s="8"/>
      <c r="O2288" s="8"/>
      <c r="P2288" s="4"/>
      <c r="Q2288" s="8"/>
      <c r="R2288" s="4"/>
      <c r="S2288" s="4"/>
    </row>
    <row r="2289" customFormat="false" ht="15" hidden="false" customHeight="false" outlineLevel="0" collapsed="false">
      <c r="A2289" s="4"/>
      <c r="B2289" s="8"/>
      <c r="C2289" s="8"/>
      <c r="D2289" s="8"/>
      <c r="E2289" s="8"/>
      <c r="F2289" s="8"/>
      <c r="G2289" s="8"/>
      <c r="H2289" s="8"/>
      <c r="I2289" s="8"/>
      <c r="J2289" s="8"/>
      <c r="K2289" s="8"/>
      <c r="L2289" s="8"/>
      <c r="M2289" s="8"/>
      <c r="N2289" s="8"/>
      <c r="O2289" s="8"/>
      <c r="P2289" s="4"/>
      <c r="Q2289" s="8"/>
      <c r="R2289" s="4"/>
      <c r="S2289" s="4"/>
    </row>
    <row r="2290" customFormat="false" ht="15" hidden="false" customHeight="false" outlineLevel="0" collapsed="false">
      <c r="A2290" s="4"/>
      <c r="B2290" s="8"/>
      <c r="C2290" s="8"/>
      <c r="D2290" s="8"/>
      <c r="E2290" s="8"/>
      <c r="F2290" s="8"/>
      <c r="G2290" s="8"/>
      <c r="H2290" s="8"/>
      <c r="I2290" s="8"/>
      <c r="J2290" s="8"/>
      <c r="K2290" s="8"/>
      <c r="L2290" s="8"/>
      <c r="M2290" s="8"/>
      <c r="N2290" s="8"/>
      <c r="O2290" s="8"/>
      <c r="P2290" s="4"/>
      <c r="Q2290" s="8"/>
      <c r="R2290" s="4"/>
      <c r="S2290" s="4"/>
    </row>
    <row r="2291" customFormat="false" ht="15" hidden="false" customHeight="false" outlineLevel="0" collapsed="false">
      <c r="A2291" s="4"/>
      <c r="B2291" s="8"/>
      <c r="C2291" s="8"/>
      <c r="D2291" s="8"/>
      <c r="E2291" s="8"/>
      <c r="F2291" s="8"/>
      <c r="G2291" s="8"/>
      <c r="H2291" s="8"/>
      <c r="I2291" s="8"/>
      <c r="J2291" s="8"/>
      <c r="K2291" s="8"/>
      <c r="L2291" s="8"/>
      <c r="M2291" s="8"/>
      <c r="N2291" s="8"/>
      <c r="O2291" s="8"/>
      <c r="P2291" s="4"/>
      <c r="Q2291" s="8"/>
      <c r="R2291" s="4"/>
      <c r="S2291" s="4"/>
    </row>
    <row r="2292" customFormat="false" ht="15" hidden="false" customHeight="false" outlineLevel="0" collapsed="false">
      <c r="A2292" s="4"/>
      <c r="B2292" s="8"/>
      <c r="C2292" s="8"/>
      <c r="D2292" s="8"/>
      <c r="E2292" s="8"/>
      <c r="F2292" s="8"/>
      <c r="G2292" s="8"/>
      <c r="H2292" s="8"/>
      <c r="I2292" s="8"/>
      <c r="J2292" s="8"/>
      <c r="K2292" s="8"/>
      <c r="L2292" s="8"/>
      <c r="M2292" s="8"/>
      <c r="N2292" s="8"/>
      <c r="O2292" s="8"/>
      <c r="P2292" s="4"/>
      <c r="Q2292" s="8"/>
      <c r="R2292" s="4"/>
      <c r="S2292" s="4"/>
    </row>
    <row r="2293" customFormat="false" ht="15" hidden="false" customHeight="false" outlineLevel="0" collapsed="false">
      <c r="A2293" s="4"/>
      <c r="B2293" s="8"/>
      <c r="C2293" s="8"/>
      <c r="D2293" s="8"/>
      <c r="E2293" s="8"/>
      <c r="F2293" s="8"/>
      <c r="G2293" s="8"/>
      <c r="H2293" s="8"/>
      <c r="I2293" s="8"/>
      <c r="J2293" s="8"/>
      <c r="K2293" s="8"/>
      <c r="L2293" s="8"/>
      <c r="M2293" s="8"/>
      <c r="N2293" s="8"/>
      <c r="O2293" s="8"/>
      <c r="P2293" s="4"/>
      <c r="Q2293" s="8"/>
      <c r="R2293" s="4"/>
      <c r="S2293" s="4"/>
    </row>
    <row r="2294" customFormat="false" ht="15" hidden="false" customHeight="false" outlineLevel="0" collapsed="false">
      <c r="A2294" s="4"/>
      <c r="B2294" s="8"/>
      <c r="C2294" s="8"/>
      <c r="D2294" s="8"/>
      <c r="E2294" s="8"/>
      <c r="F2294" s="8"/>
      <c r="G2294" s="8"/>
      <c r="H2294" s="8"/>
      <c r="I2294" s="8"/>
      <c r="J2294" s="8"/>
      <c r="K2294" s="8"/>
      <c r="L2294" s="8"/>
      <c r="M2294" s="8"/>
      <c r="N2294" s="8"/>
      <c r="O2294" s="8"/>
      <c r="P2294" s="4"/>
      <c r="Q2294" s="8"/>
      <c r="R2294" s="4"/>
      <c r="S2294" s="4"/>
    </row>
    <row r="2295" customFormat="false" ht="15" hidden="false" customHeight="false" outlineLevel="0" collapsed="false">
      <c r="A2295" s="4"/>
      <c r="B2295" s="8"/>
      <c r="C2295" s="8"/>
      <c r="D2295" s="8"/>
      <c r="E2295" s="8"/>
      <c r="F2295" s="8"/>
      <c r="G2295" s="8"/>
      <c r="H2295" s="8"/>
      <c r="I2295" s="8"/>
      <c r="J2295" s="8"/>
      <c r="K2295" s="8"/>
      <c r="L2295" s="8"/>
      <c r="M2295" s="8"/>
      <c r="N2295" s="8"/>
      <c r="O2295" s="8"/>
      <c r="P2295" s="4"/>
      <c r="Q2295" s="8"/>
      <c r="R2295" s="4"/>
      <c r="S2295" s="4"/>
    </row>
    <row r="2296" customFormat="false" ht="15" hidden="false" customHeight="false" outlineLevel="0" collapsed="false">
      <c r="A2296" s="4"/>
      <c r="B2296" s="8"/>
      <c r="C2296" s="8"/>
      <c r="D2296" s="8"/>
      <c r="E2296" s="8"/>
      <c r="F2296" s="8"/>
      <c r="G2296" s="8"/>
      <c r="H2296" s="8"/>
      <c r="I2296" s="8"/>
      <c r="J2296" s="8"/>
      <c r="K2296" s="8"/>
      <c r="L2296" s="8"/>
      <c r="M2296" s="8"/>
      <c r="N2296" s="8"/>
      <c r="O2296" s="8"/>
      <c r="P2296" s="4"/>
      <c r="Q2296" s="8"/>
      <c r="R2296" s="4"/>
      <c r="S2296" s="4"/>
    </row>
    <row r="2297" customFormat="false" ht="15" hidden="false" customHeight="false" outlineLevel="0" collapsed="false">
      <c r="A2297" s="4"/>
      <c r="B2297" s="8"/>
      <c r="C2297" s="8"/>
      <c r="D2297" s="8"/>
      <c r="E2297" s="8"/>
      <c r="F2297" s="8"/>
      <c r="G2297" s="8"/>
      <c r="H2297" s="8"/>
      <c r="I2297" s="8"/>
      <c r="J2297" s="8"/>
      <c r="K2297" s="8"/>
      <c r="L2297" s="8"/>
      <c r="M2297" s="8"/>
      <c r="N2297" s="8"/>
      <c r="O2297" s="8"/>
      <c r="P2297" s="4"/>
      <c r="Q2297" s="8"/>
      <c r="R2297" s="4"/>
      <c r="S2297" s="4"/>
    </row>
    <row r="2298" customFormat="false" ht="15" hidden="false" customHeight="false" outlineLevel="0" collapsed="false">
      <c r="A2298" s="4"/>
      <c r="B2298" s="8"/>
      <c r="C2298" s="8"/>
      <c r="D2298" s="8"/>
      <c r="E2298" s="8"/>
      <c r="F2298" s="8"/>
      <c r="G2298" s="8"/>
      <c r="H2298" s="8"/>
      <c r="I2298" s="8"/>
      <c r="J2298" s="8"/>
      <c r="K2298" s="8"/>
      <c r="L2298" s="8"/>
      <c r="M2298" s="8"/>
      <c r="N2298" s="8"/>
      <c r="O2298" s="8"/>
      <c r="P2298" s="4"/>
      <c r="Q2298" s="8"/>
      <c r="R2298" s="4"/>
      <c r="S2298" s="4"/>
    </row>
    <row r="2299" customFormat="false" ht="15" hidden="false" customHeight="false" outlineLevel="0" collapsed="false">
      <c r="A2299" s="4"/>
      <c r="B2299" s="8"/>
      <c r="C2299" s="8"/>
      <c r="D2299" s="8"/>
      <c r="E2299" s="8"/>
      <c r="F2299" s="8"/>
      <c r="G2299" s="8"/>
      <c r="H2299" s="8"/>
      <c r="I2299" s="8"/>
      <c r="J2299" s="8"/>
      <c r="K2299" s="8"/>
      <c r="L2299" s="8"/>
      <c r="M2299" s="8"/>
      <c r="N2299" s="8"/>
      <c r="O2299" s="8"/>
      <c r="P2299" s="4"/>
      <c r="Q2299" s="8"/>
      <c r="R2299" s="4"/>
      <c r="S2299" s="4"/>
    </row>
    <row r="2300" customFormat="false" ht="15" hidden="false" customHeight="false" outlineLevel="0" collapsed="false">
      <c r="A2300" s="4"/>
      <c r="B2300" s="8"/>
      <c r="C2300" s="8"/>
      <c r="D2300" s="8"/>
      <c r="E2300" s="8"/>
      <c r="F2300" s="8"/>
      <c r="G2300" s="8"/>
      <c r="H2300" s="8"/>
      <c r="I2300" s="8"/>
      <c r="J2300" s="8"/>
      <c r="K2300" s="8"/>
      <c r="L2300" s="8"/>
      <c r="M2300" s="8"/>
      <c r="N2300" s="8"/>
      <c r="O2300" s="8"/>
      <c r="P2300" s="4"/>
      <c r="Q2300" s="8"/>
      <c r="R2300" s="4"/>
      <c r="S2300" s="4"/>
    </row>
    <row r="2301" customFormat="false" ht="15" hidden="false" customHeight="false" outlineLevel="0" collapsed="false">
      <c r="A2301" s="4"/>
      <c r="B2301" s="8"/>
      <c r="C2301" s="8"/>
      <c r="D2301" s="8"/>
      <c r="E2301" s="8"/>
      <c r="F2301" s="8"/>
      <c r="G2301" s="8"/>
      <c r="H2301" s="8"/>
      <c r="I2301" s="8"/>
      <c r="J2301" s="8"/>
      <c r="K2301" s="8"/>
      <c r="L2301" s="8"/>
      <c r="M2301" s="8"/>
      <c r="N2301" s="8"/>
      <c r="O2301" s="8"/>
      <c r="P2301" s="4"/>
      <c r="Q2301" s="8"/>
      <c r="R2301" s="4"/>
      <c r="S2301" s="4"/>
    </row>
    <row r="2302" customFormat="false" ht="15" hidden="false" customHeight="false" outlineLevel="0" collapsed="false">
      <c r="A2302" s="4"/>
      <c r="B2302" s="8"/>
      <c r="C2302" s="8"/>
      <c r="D2302" s="8"/>
      <c r="E2302" s="8"/>
      <c r="F2302" s="8"/>
      <c r="G2302" s="8"/>
      <c r="H2302" s="8"/>
      <c r="I2302" s="8"/>
      <c r="J2302" s="8"/>
      <c r="K2302" s="8"/>
      <c r="L2302" s="8"/>
      <c r="M2302" s="8"/>
      <c r="N2302" s="8"/>
      <c r="O2302" s="8"/>
      <c r="P2302" s="4"/>
      <c r="Q2302" s="8"/>
      <c r="R2302" s="4"/>
      <c r="S2302" s="4"/>
    </row>
    <row r="2303" customFormat="false" ht="15" hidden="false" customHeight="false" outlineLevel="0" collapsed="false">
      <c r="A2303" s="4"/>
      <c r="B2303" s="8"/>
      <c r="C2303" s="8"/>
      <c r="D2303" s="8"/>
      <c r="E2303" s="8"/>
      <c r="F2303" s="8"/>
      <c r="G2303" s="8"/>
      <c r="H2303" s="8"/>
      <c r="I2303" s="8"/>
      <c r="J2303" s="8"/>
      <c r="K2303" s="8"/>
      <c r="L2303" s="8"/>
      <c r="M2303" s="8"/>
      <c r="N2303" s="8"/>
      <c r="O2303" s="8"/>
      <c r="P2303" s="4"/>
      <c r="Q2303" s="8"/>
      <c r="R2303" s="4"/>
      <c r="S2303" s="4"/>
    </row>
    <row r="2304" customFormat="false" ht="15" hidden="false" customHeight="false" outlineLevel="0" collapsed="false">
      <c r="A2304" s="4"/>
      <c r="B2304" s="8"/>
      <c r="C2304" s="8"/>
      <c r="D2304" s="8"/>
      <c r="E2304" s="8"/>
      <c r="F2304" s="8"/>
      <c r="G2304" s="8"/>
      <c r="H2304" s="8"/>
      <c r="I2304" s="8"/>
      <c r="J2304" s="8"/>
      <c r="K2304" s="8"/>
      <c r="L2304" s="8"/>
      <c r="M2304" s="8"/>
      <c r="N2304" s="8"/>
      <c r="O2304" s="8"/>
      <c r="P2304" s="4"/>
      <c r="Q2304" s="8"/>
      <c r="R2304" s="4"/>
      <c r="S2304" s="4"/>
    </row>
    <row r="2305" customFormat="false" ht="15" hidden="false" customHeight="false" outlineLevel="0" collapsed="false">
      <c r="A2305" s="4"/>
      <c r="B2305" s="8"/>
      <c r="C2305" s="8"/>
      <c r="D2305" s="8"/>
      <c r="E2305" s="8"/>
      <c r="F2305" s="8"/>
      <c r="G2305" s="8"/>
      <c r="H2305" s="8"/>
      <c r="I2305" s="8"/>
      <c r="J2305" s="8"/>
      <c r="K2305" s="8"/>
      <c r="L2305" s="8"/>
      <c r="M2305" s="8"/>
      <c r="N2305" s="8"/>
      <c r="O2305" s="8"/>
      <c r="P2305" s="4"/>
      <c r="Q2305" s="8"/>
      <c r="R2305" s="4"/>
      <c r="S2305" s="4"/>
    </row>
    <row r="2306" customFormat="false" ht="15" hidden="false" customHeight="false" outlineLevel="0" collapsed="false">
      <c r="A2306" s="4"/>
      <c r="B2306" s="8"/>
      <c r="C2306" s="8"/>
      <c r="D2306" s="8"/>
      <c r="E2306" s="8"/>
      <c r="F2306" s="8"/>
      <c r="G2306" s="8"/>
      <c r="H2306" s="8"/>
      <c r="I2306" s="8"/>
      <c r="J2306" s="8"/>
      <c r="K2306" s="8"/>
      <c r="L2306" s="8"/>
      <c r="M2306" s="8"/>
      <c r="N2306" s="8"/>
      <c r="O2306" s="8"/>
      <c r="P2306" s="4"/>
      <c r="Q2306" s="8"/>
      <c r="R2306" s="4"/>
      <c r="S2306" s="4"/>
    </row>
    <row r="2307" customFormat="false" ht="15" hidden="false" customHeight="false" outlineLevel="0" collapsed="false">
      <c r="A2307" s="4"/>
      <c r="B2307" s="8"/>
      <c r="C2307" s="8"/>
      <c r="D2307" s="8"/>
      <c r="E2307" s="8"/>
      <c r="F2307" s="8"/>
      <c r="G2307" s="8"/>
      <c r="H2307" s="8"/>
      <c r="I2307" s="8"/>
      <c r="J2307" s="8"/>
      <c r="K2307" s="8"/>
      <c r="L2307" s="8"/>
      <c r="M2307" s="8"/>
      <c r="N2307" s="8"/>
      <c r="O2307" s="8"/>
      <c r="P2307" s="4"/>
      <c r="Q2307" s="8"/>
      <c r="R2307" s="4"/>
      <c r="S2307" s="4"/>
    </row>
    <row r="2308" customFormat="false" ht="15" hidden="false" customHeight="false" outlineLevel="0" collapsed="false">
      <c r="A2308" s="4"/>
      <c r="B2308" s="8"/>
      <c r="C2308" s="8"/>
      <c r="D2308" s="8"/>
      <c r="E2308" s="8"/>
      <c r="F2308" s="8"/>
      <c r="G2308" s="8"/>
      <c r="H2308" s="8"/>
      <c r="I2308" s="8"/>
      <c r="J2308" s="8"/>
      <c r="K2308" s="8"/>
      <c r="L2308" s="8"/>
      <c r="M2308" s="8"/>
      <c r="N2308" s="8"/>
      <c r="O2308" s="8"/>
      <c r="P2308" s="4"/>
      <c r="Q2308" s="8"/>
      <c r="R2308" s="4"/>
      <c r="S2308" s="4"/>
    </row>
    <row r="2309" customFormat="false" ht="15" hidden="false" customHeight="false" outlineLevel="0" collapsed="false">
      <c r="A2309" s="4"/>
      <c r="B2309" s="8"/>
      <c r="C2309" s="8"/>
      <c r="D2309" s="8"/>
      <c r="E2309" s="8"/>
      <c r="F2309" s="8"/>
      <c r="G2309" s="8"/>
      <c r="H2309" s="8"/>
      <c r="I2309" s="8"/>
      <c r="J2309" s="8"/>
      <c r="K2309" s="8"/>
      <c r="L2309" s="8"/>
      <c r="M2309" s="8"/>
      <c r="N2309" s="8"/>
      <c r="O2309" s="8"/>
      <c r="P2309" s="4"/>
      <c r="Q2309" s="8"/>
      <c r="R2309" s="4"/>
      <c r="S2309" s="4"/>
    </row>
    <row r="2310" customFormat="false" ht="15" hidden="false" customHeight="false" outlineLevel="0" collapsed="false">
      <c r="A2310" s="4"/>
      <c r="B2310" s="8"/>
      <c r="C2310" s="8"/>
      <c r="D2310" s="8"/>
      <c r="E2310" s="8"/>
      <c r="F2310" s="8"/>
      <c r="G2310" s="8"/>
      <c r="H2310" s="8"/>
      <c r="I2310" s="8"/>
      <c r="J2310" s="8"/>
      <c r="K2310" s="8"/>
      <c r="L2310" s="8"/>
      <c r="M2310" s="8"/>
      <c r="N2310" s="8"/>
      <c r="O2310" s="8"/>
      <c r="P2310" s="4"/>
      <c r="Q2310" s="8"/>
      <c r="R2310" s="4"/>
      <c r="S2310" s="4"/>
    </row>
    <row r="2311" customFormat="false" ht="15" hidden="false" customHeight="false" outlineLevel="0" collapsed="false">
      <c r="A2311" s="4"/>
      <c r="B2311" s="8"/>
      <c r="C2311" s="8"/>
      <c r="D2311" s="8"/>
      <c r="E2311" s="8"/>
      <c r="F2311" s="8"/>
      <c r="G2311" s="8"/>
      <c r="H2311" s="8"/>
      <c r="I2311" s="8"/>
      <c r="J2311" s="8"/>
      <c r="K2311" s="8"/>
      <c r="L2311" s="8"/>
      <c r="M2311" s="8"/>
      <c r="N2311" s="8"/>
      <c r="O2311" s="8"/>
      <c r="P2311" s="4"/>
      <c r="Q2311" s="8"/>
      <c r="R2311" s="4"/>
      <c r="S2311" s="4"/>
    </row>
    <row r="2312" customFormat="false" ht="15" hidden="false" customHeight="false" outlineLevel="0" collapsed="false">
      <c r="A2312" s="4"/>
      <c r="B2312" s="8"/>
      <c r="C2312" s="8"/>
      <c r="D2312" s="8"/>
      <c r="E2312" s="8"/>
      <c r="F2312" s="8"/>
      <c r="G2312" s="8"/>
      <c r="H2312" s="8"/>
      <c r="I2312" s="8"/>
      <c r="J2312" s="8"/>
      <c r="K2312" s="8"/>
      <c r="L2312" s="8"/>
      <c r="M2312" s="8"/>
      <c r="N2312" s="8"/>
      <c r="O2312" s="8"/>
      <c r="P2312" s="4"/>
      <c r="Q2312" s="8"/>
      <c r="R2312" s="4"/>
      <c r="S2312" s="4"/>
    </row>
    <row r="2313" customFormat="false" ht="15" hidden="false" customHeight="false" outlineLevel="0" collapsed="false">
      <c r="A2313" s="4"/>
      <c r="B2313" s="8"/>
      <c r="C2313" s="8"/>
      <c r="D2313" s="8"/>
      <c r="E2313" s="8"/>
      <c r="F2313" s="8"/>
      <c r="G2313" s="8"/>
      <c r="H2313" s="8"/>
      <c r="I2313" s="8"/>
      <c r="J2313" s="8"/>
      <c r="K2313" s="8"/>
      <c r="L2313" s="8"/>
      <c r="M2313" s="8"/>
      <c r="N2313" s="8"/>
      <c r="O2313" s="8"/>
      <c r="P2313" s="4"/>
      <c r="Q2313" s="8"/>
      <c r="R2313" s="4"/>
      <c r="S2313" s="4"/>
    </row>
    <row r="2314" customFormat="false" ht="15" hidden="false" customHeight="false" outlineLevel="0" collapsed="false">
      <c r="A2314" s="4"/>
      <c r="B2314" s="8"/>
      <c r="C2314" s="8"/>
      <c r="D2314" s="8"/>
      <c r="E2314" s="8"/>
      <c r="F2314" s="8"/>
      <c r="G2314" s="8"/>
      <c r="H2314" s="8"/>
      <c r="I2314" s="8"/>
      <c r="J2314" s="8"/>
      <c r="K2314" s="8"/>
      <c r="L2314" s="8"/>
      <c r="M2314" s="8"/>
      <c r="N2314" s="8"/>
      <c r="O2314" s="8"/>
      <c r="P2314" s="4"/>
      <c r="Q2314" s="8"/>
      <c r="R2314" s="4"/>
      <c r="S2314" s="4"/>
    </row>
    <row r="2315" customFormat="false" ht="15" hidden="false" customHeight="false" outlineLevel="0" collapsed="false">
      <c r="A2315" s="4"/>
      <c r="B2315" s="8"/>
      <c r="C2315" s="8"/>
      <c r="D2315" s="8"/>
      <c r="E2315" s="8"/>
      <c r="F2315" s="8"/>
      <c r="G2315" s="8"/>
      <c r="H2315" s="8"/>
      <c r="I2315" s="8"/>
      <c r="J2315" s="8"/>
      <c r="K2315" s="8"/>
      <c r="L2315" s="8"/>
      <c r="M2315" s="8"/>
      <c r="N2315" s="8"/>
      <c r="O2315" s="8"/>
      <c r="P2315" s="4"/>
      <c r="Q2315" s="8"/>
      <c r="R2315" s="4"/>
      <c r="S2315" s="4"/>
    </row>
    <row r="2316" customFormat="false" ht="15" hidden="false" customHeight="false" outlineLevel="0" collapsed="false">
      <c r="A2316" s="4"/>
      <c r="B2316" s="8"/>
      <c r="C2316" s="8"/>
      <c r="D2316" s="8"/>
      <c r="E2316" s="8"/>
      <c r="F2316" s="8"/>
      <c r="G2316" s="8"/>
      <c r="H2316" s="8"/>
      <c r="I2316" s="8"/>
      <c r="J2316" s="8"/>
      <c r="K2316" s="8"/>
      <c r="L2316" s="8"/>
      <c r="M2316" s="8"/>
      <c r="N2316" s="8"/>
      <c r="O2316" s="8"/>
      <c r="P2316" s="4"/>
      <c r="Q2316" s="8"/>
      <c r="R2316" s="4"/>
      <c r="S2316" s="4"/>
    </row>
    <row r="2317" customFormat="false" ht="15" hidden="false" customHeight="false" outlineLevel="0" collapsed="false">
      <c r="A2317" s="4"/>
      <c r="B2317" s="8"/>
      <c r="C2317" s="8"/>
      <c r="D2317" s="8"/>
      <c r="E2317" s="8"/>
      <c r="F2317" s="8"/>
      <c r="G2317" s="8"/>
      <c r="H2317" s="8"/>
      <c r="I2317" s="8"/>
      <c r="J2317" s="8"/>
      <c r="K2317" s="8"/>
      <c r="L2317" s="8"/>
      <c r="M2317" s="8"/>
      <c r="N2317" s="8"/>
      <c r="O2317" s="8"/>
      <c r="P2317" s="4"/>
      <c r="Q2317" s="8"/>
      <c r="R2317" s="4"/>
      <c r="S2317" s="4"/>
    </row>
    <row r="2318" customFormat="false" ht="15" hidden="false" customHeight="false" outlineLevel="0" collapsed="false">
      <c r="A2318" s="4"/>
      <c r="B2318" s="8"/>
      <c r="C2318" s="8"/>
      <c r="D2318" s="8"/>
      <c r="E2318" s="8"/>
      <c r="F2318" s="8"/>
      <c r="G2318" s="8"/>
      <c r="H2318" s="8"/>
      <c r="I2318" s="8"/>
      <c r="J2318" s="8"/>
      <c r="K2318" s="8"/>
      <c r="L2318" s="8"/>
      <c r="M2318" s="8"/>
      <c r="N2318" s="8"/>
      <c r="O2318" s="8"/>
      <c r="P2318" s="4"/>
      <c r="Q2318" s="8"/>
      <c r="R2318" s="4"/>
      <c r="S2318" s="4"/>
    </row>
    <row r="2319" customFormat="false" ht="15" hidden="false" customHeight="false" outlineLevel="0" collapsed="false">
      <c r="A2319" s="4"/>
      <c r="B2319" s="8"/>
      <c r="C2319" s="8"/>
      <c r="D2319" s="8"/>
      <c r="E2319" s="8"/>
      <c r="F2319" s="8"/>
      <c r="G2319" s="8"/>
      <c r="H2319" s="8"/>
      <c r="I2319" s="8"/>
      <c r="J2319" s="8"/>
      <c r="K2319" s="8"/>
      <c r="L2319" s="8"/>
      <c r="M2319" s="8"/>
      <c r="N2319" s="8"/>
      <c r="O2319" s="8"/>
      <c r="P2319" s="4"/>
      <c r="Q2319" s="8"/>
      <c r="R2319" s="4"/>
      <c r="S2319" s="4"/>
    </row>
    <row r="2320" customFormat="false" ht="15" hidden="false" customHeight="false" outlineLevel="0" collapsed="false">
      <c r="A2320" s="4"/>
      <c r="B2320" s="8"/>
      <c r="C2320" s="8"/>
      <c r="D2320" s="8"/>
      <c r="E2320" s="8"/>
      <c r="F2320" s="8"/>
      <c r="G2320" s="8"/>
      <c r="H2320" s="8"/>
      <c r="I2320" s="8"/>
      <c r="J2320" s="8"/>
      <c r="K2320" s="8"/>
      <c r="L2320" s="8"/>
      <c r="M2320" s="8"/>
      <c r="N2320" s="8"/>
      <c r="O2320" s="8"/>
      <c r="P2320" s="4"/>
      <c r="Q2320" s="8"/>
      <c r="R2320" s="4"/>
      <c r="S2320" s="4"/>
    </row>
    <row r="2321" customFormat="false" ht="15" hidden="false" customHeight="false" outlineLevel="0" collapsed="false">
      <c r="A2321" s="4"/>
      <c r="B2321" s="8"/>
      <c r="C2321" s="8"/>
      <c r="D2321" s="8"/>
      <c r="E2321" s="8"/>
      <c r="F2321" s="8"/>
      <c r="G2321" s="8"/>
      <c r="H2321" s="8"/>
      <c r="I2321" s="8"/>
      <c r="J2321" s="8"/>
      <c r="K2321" s="8"/>
      <c r="L2321" s="8"/>
      <c r="M2321" s="8"/>
      <c r="N2321" s="8"/>
      <c r="O2321" s="8"/>
      <c r="P2321" s="4"/>
      <c r="Q2321" s="8"/>
      <c r="R2321" s="4"/>
      <c r="S2321" s="4"/>
    </row>
    <row r="2322" customFormat="false" ht="15" hidden="false" customHeight="false" outlineLevel="0" collapsed="false">
      <c r="A2322" s="4"/>
      <c r="B2322" s="8"/>
      <c r="C2322" s="8"/>
      <c r="D2322" s="8"/>
      <c r="E2322" s="8"/>
      <c r="F2322" s="8"/>
      <c r="G2322" s="8"/>
      <c r="H2322" s="8"/>
      <c r="I2322" s="8"/>
      <c r="J2322" s="8"/>
      <c r="K2322" s="8"/>
      <c r="L2322" s="8"/>
      <c r="M2322" s="8"/>
      <c r="N2322" s="8"/>
      <c r="O2322" s="8"/>
      <c r="P2322" s="4"/>
      <c r="Q2322" s="8"/>
      <c r="R2322" s="4"/>
      <c r="S2322" s="4"/>
    </row>
    <row r="2323" customFormat="false" ht="15" hidden="false" customHeight="false" outlineLevel="0" collapsed="false">
      <c r="A2323" s="4"/>
      <c r="B2323" s="8"/>
      <c r="C2323" s="8"/>
      <c r="D2323" s="8"/>
      <c r="E2323" s="8"/>
      <c r="F2323" s="8"/>
      <c r="G2323" s="8"/>
      <c r="H2323" s="8"/>
      <c r="I2323" s="8"/>
      <c r="J2323" s="8"/>
      <c r="K2323" s="8"/>
      <c r="L2323" s="8"/>
      <c r="M2323" s="8"/>
      <c r="N2323" s="8"/>
      <c r="O2323" s="8"/>
      <c r="P2323" s="4"/>
      <c r="Q2323" s="8"/>
      <c r="R2323" s="4"/>
      <c r="S2323" s="4"/>
    </row>
    <row r="2324" customFormat="false" ht="15" hidden="false" customHeight="false" outlineLevel="0" collapsed="false">
      <c r="A2324" s="4"/>
      <c r="B2324" s="8"/>
      <c r="C2324" s="8"/>
      <c r="D2324" s="8"/>
      <c r="E2324" s="8"/>
      <c r="F2324" s="8"/>
      <c r="G2324" s="8"/>
      <c r="H2324" s="8"/>
      <c r="I2324" s="8"/>
      <c r="J2324" s="8"/>
      <c r="K2324" s="8"/>
      <c r="L2324" s="8"/>
      <c r="M2324" s="8"/>
      <c r="N2324" s="8"/>
      <c r="O2324" s="8"/>
      <c r="P2324" s="4"/>
      <c r="Q2324" s="8"/>
      <c r="R2324" s="4"/>
      <c r="S2324" s="4"/>
    </row>
    <row r="2325" customFormat="false" ht="15" hidden="false" customHeight="false" outlineLevel="0" collapsed="false">
      <c r="A2325" s="4"/>
      <c r="B2325" s="8"/>
      <c r="C2325" s="8"/>
      <c r="D2325" s="8"/>
      <c r="E2325" s="8"/>
      <c r="F2325" s="8"/>
      <c r="G2325" s="8"/>
      <c r="H2325" s="8"/>
      <c r="I2325" s="8"/>
      <c r="J2325" s="8"/>
      <c r="K2325" s="8"/>
      <c r="L2325" s="8"/>
      <c r="M2325" s="8"/>
      <c r="N2325" s="8"/>
      <c r="O2325" s="8"/>
      <c r="P2325" s="4"/>
      <c r="Q2325" s="8"/>
      <c r="R2325" s="4"/>
      <c r="S2325" s="4"/>
    </row>
    <row r="2326" customFormat="false" ht="15" hidden="false" customHeight="false" outlineLevel="0" collapsed="false">
      <c r="A2326" s="4"/>
      <c r="B2326" s="8"/>
      <c r="C2326" s="8"/>
      <c r="D2326" s="8"/>
      <c r="E2326" s="8"/>
      <c r="F2326" s="8"/>
      <c r="G2326" s="8"/>
      <c r="H2326" s="8"/>
      <c r="I2326" s="8"/>
      <c r="J2326" s="8"/>
      <c r="K2326" s="8"/>
      <c r="L2326" s="8"/>
      <c r="M2326" s="8"/>
      <c r="N2326" s="8"/>
      <c r="O2326" s="8"/>
      <c r="P2326" s="4"/>
      <c r="Q2326" s="8"/>
      <c r="R2326" s="4"/>
      <c r="S2326" s="4"/>
    </row>
    <row r="2327" customFormat="false" ht="15" hidden="false" customHeight="false" outlineLevel="0" collapsed="false">
      <c r="A2327" s="4"/>
      <c r="B2327" s="8"/>
      <c r="C2327" s="8"/>
      <c r="D2327" s="8"/>
      <c r="E2327" s="8"/>
      <c r="F2327" s="8"/>
      <c r="G2327" s="8"/>
      <c r="H2327" s="8"/>
      <c r="I2327" s="8"/>
      <c r="J2327" s="8"/>
      <c r="K2327" s="8"/>
      <c r="L2327" s="8"/>
      <c r="M2327" s="8"/>
      <c r="N2327" s="8"/>
      <c r="O2327" s="8"/>
      <c r="P2327" s="4"/>
      <c r="Q2327" s="8"/>
      <c r="R2327" s="4"/>
      <c r="S2327" s="4"/>
    </row>
    <row r="2328" customFormat="false" ht="15" hidden="false" customHeight="false" outlineLevel="0" collapsed="false">
      <c r="A2328" s="4"/>
      <c r="B2328" s="8"/>
      <c r="C2328" s="8"/>
      <c r="D2328" s="8"/>
      <c r="E2328" s="8"/>
      <c r="F2328" s="8"/>
      <c r="G2328" s="8"/>
      <c r="H2328" s="8"/>
      <c r="I2328" s="8"/>
      <c r="J2328" s="8"/>
      <c r="K2328" s="8"/>
      <c r="L2328" s="8"/>
      <c r="M2328" s="8"/>
      <c r="N2328" s="8"/>
      <c r="O2328" s="8"/>
      <c r="P2328" s="4"/>
      <c r="Q2328" s="8"/>
      <c r="R2328" s="4"/>
      <c r="S2328" s="4"/>
    </row>
    <row r="2329" customFormat="false" ht="15" hidden="false" customHeight="false" outlineLevel="0" collapsed="false">
      <c r="A2329" s="4"/>
      <c r="B2329" s="8"/>
      <c r="C2329" s="8"/>
      <c r="D2329" s="8"/>
      <c r="E2329" s="8"/>
      <c r="F2329" s="8"/>
      <c r="G2329" s="8"/>
      <c r="H2329" s="8"/>
      <c r="I2329" s="8"/>
      <c r="J2329" s="8"/>
      <c r="K2329" s="8"/>
      <c r="L2329" s="8"/>
      <c r="M2329" s="8"/>
      <c r="N2329" s="8"/>
      <c r="O2329" s="8"/>
      <c r="P2329" s="4"/>
      <c r="Q2329" s="8"/>
      <c r="R2329" s="4"/>
      <c r="S2329" s="4"/>
    </row>
    <row r="2330" customFormat="false" ht="15" hidden="false" customHeight="false" outlineLevel="0" collapsed="false">
      <c r="A2330" s="4"/>
      <c r="B2330" s="8"/>
      <c r="C2330" s="8"/>
      <c r="D2330" s="8"/>
      <c r="E2330" s="8"/>
      <c r="F2330" s="8"/>
      <c r="G2330" s="8"/>
      <c r="H2330" s="8"/>
      <c r="I2330" s="8"/>
      <c r="J2330" s="8"/>
      <c r="K2330" s="8"/>
      <c r="L2330" s="8"/>
      <c r="M2330" s="8"/>
      <c r="N2330" s="8"/>
      <c r="O2330" s="8"/>
      <c r="P2330" s="4"/>
      <c r="Q2330" s="8"/>
      <c r="R2330" s="4"/>
      <c r="S2330" s="4"/>
    </row>
    <row r="2331" customFormat="false" ht="15" hidden="false" customHeight="false" outlineLevel="0" collapsed="false">
      <c r="A2331" s="4"/>
      <c r="B2331" s="8"/>
      <c r="C2331" s="8"/>
      <c r="D2331" s="8"/>
      <c r="E2331" s="8"/>
      <c r="F2331" s="8"/>
      <c r="G2331" s="8"/>
      <c r="H2331" s="8"/>
      <c r="I2331" s="8"/>
      <c r="J2331" s="8"/>
      <c r="K2331" s="8"/>
      <c r="L2331" s="8"/>
      <c r="M2331" s="8"/>
      <c r="N2331" s="8"/>
      <c r="O2331" s="8"/>
      <c r="P2331" s="4"/>
      <c r="Q2331" s="8"/>
      <c r="R2331" s="4"/>
      <c r="S2331" s="4"/>
    </row>
    <row r="2332" customFormat="false" ht="15" hidden="false" customHeight="false" outlineLevel="0" collapsed="false">
      <c r="A2332" s="4"/>
      <c r="B2332" s="8"/>
      <c r="C2332" s="8"/>
      <c r="D2332" s="8"/>
      <c r="E2332" s="8"/>
      <c r="F2332" s="8"/>
      <c r="G2332" s="8"/>
      <c r="H2332" s="8"/>
      <c r="I2332" s="8"/>
      <c r="J2332" s="8"/>
      <c r="K2332" s="8"/>
      <c r="L2332" s="8"/>
      <c r="M2332" s="8"/>
      <c r="N2332" s="8"/>
      <c r="O2332" s="8"/>
      <c r="P2332" s="4"/>
      <c r="Q2332" s="8"/>
      <c r="R2332" s="4"/>
      <c r="S2332" s="4"/>
    </row>
    <row r="2333" customFormat="false" ht="15" hidden="false" customHeight="false" outlineLevel="0" collapsed="false">
      <c r="A2333" s="4"/>
      <c r="B2333" s="8"/>
      <c r="C2333" s="8"/>
      <c r="D2333" s="8"/>
      <c r="E2333" s="8"/>
      <c r="F2333" s="8"/>
      <c r="G2333" s="8"/>
      <c r="H2333" s="8"/>
      <c r="I2333" s="8"/>
      <c r="J2333" s="8"/>
      <c r="K2333" s="8"/>
      <c r="L2333" s="8"/>
      <c r="M2333" s="8"/>
      <c r="N2333" s="8"/>
      <c r="O2333" s="8"/>
      <c r="P2333" s="4"/>
      <c r="Q2333" s="8"/>
      <c r="R2333" s="4"/>
      <c r="S2333" s="4"/>
    </row>
    <row r="2334" customFormat="false" ht="15" hidden="false" customHeight="false" outlineLevel="0" collapsed="false">
      <c r="A2334" s="4"/>
      <c r="B2334" s="8"/>
      <c r="C2334" s="8"/>
      <c r="D2334" s="8"/>
      <c r="E2334" s="8"/>
      <c r="F2334" s="8"/>
      <c r="G2334" s="8"/>
      <c r="H2334" s="8"/>
      <c r="I2334" s="8"/>
      <c r="J2334" s="8"/>
      <c r="K2334" s="8"/>
      <c r="L2334" s="8"/>
      <c r="M2334" s="8"/>
      <c r="N2334" s="8"/>
      <c r="O2334" s="8"/>
      <c r="P2334" s="4"/>
      <c r="Q2334" s="8"/>
      <c r="R2334" s="4"/>
      <c r="S2334" s="4"/>
    </row>
    <row r="2335" customFormat="false" ht="15" hidden="false" customHeight="false" outlineLevel="0" collapsed="false">
      <c r="A2335" s="4"/>
      <c r="B2335" s="8"/>
      <c r="C2335" s="8"/>
      <c r="D2335" s="8"/>
      <c r="E2335" s="8"/>
      <c r="F2335" s="8"/>
      <c r="G2335" s="8"/>
      <c r="H2335" s="8"/>
      <c r="I2335" s="8"/>
      <c r="J2335" s="8"/>
      <c r="K2335" s="8"/>
      <c r="L2335" s="8"/>
      <c r="M2335" s="8"/>
      <c r="N2335" s="8"/>
      <c r="O2335" s="8"/>
      <c r="P2335" s="4"/>
      <c r="Q2335" s="8"/>
      <c r="R2335" s="4"/>
      <c r="S2335" s="4"/>
    </row>
    <row r="2336" customFormat="false" ht="15" hidden="false" customHeight="false" outlineLevel="0" collapsed="false">
      <c r="A2336" s="4"/>
      <c r="B2336" s="8"/>
      <c r="C2336" s="8"/>
      <c r="D2336" s="8"/>
      <c r="E2336" s="8"/>
      <c r="F2336" s="8"/>
      <c r="G2336" s="8"/>
      <c r="H2336" s="8"/>
      <c r="I2336" s="8"/>
      <c r="J2336" s="8"/>
      <c r="K2336" s="8"/>
      <c r="L2336" s="8"/>
      <c r="M2336" s="8"/>
      <c r="N2336" s="8"/>
      <c r="O2336" s="8"/>
      <c r="P2336" s="4"/>
      <c r="Q2336" s="8"/>
      <c r="R2336" s="4"/>
      <c r="S2336" s="4"/>
    </row>
    <row r="2337" customFormat="false" ht="15" hidden="false" customHeight="false" outlineLevel="0" collapsed="false">
      <c r="A2337" s="4"/>
      <c r="B2337" s="8"/>
      <c r="C2337" s="8"/>
      <c r="D2337" s="8"/>
      <c r="E2337" s="8"/>
      <c r="F2337" s="8"/>
      <c r="G2337" s="8"/>
      <c r="H2337" s="8"/>
      <c r="I2337" s="8"/>
      <c r="J2337" s="8"/>
      <c r="K2337" s="8"/>
      <c r="L2337" s="8"/>
      <c r="M2337" s="8"/>
      <c r="N2337" s="8"/>
      <c r="O2337" s="8"/>
      <c r="P2337" s="4"/>
      <c r="Q2337" s="8"/>
      <c r="R2337" s="4"/>
      <c r="S2337" s="4"/>
    </row>
    <row r="2338" customFormat="false" ht="15" hidden="false" customHeight="false" outlineLevel="0" collapsed="false">
      <c r="A2338" s="4"/>
      <c r="B2338" s="8"/>
      <c r="C2338" s="8"/>
      <c r="D2338" s="8"/>
      <c r="E2338" s="8"/>
      <c r="F2338" s="8"/>
      <c r="G2338" s="8"/>
      <c r="H2338" s="8"/>
      <c r="I2338" s="8"/>
      <c r="J2338" s="8"/>
      <c r="K2338" s="8"/>
      <c r="L2338" s="8"/>
      <c r="M2338" s="8"/>
      <c r="N2338" s="8"/>
      <c r="O2338" s="8"/>
      <c r="P2338" s="4"/>
      <c r="Q2338" s="8"/>
      <c r="R2338" s="4"/>
      <c r="S2338" s="4"/>
    </row>
    <row r="2339" customFormat="false" ht="15" hidden="false" customHeight="false" outlineLevel="0" collapsed="false">
      <c r="A2339" s="4"/>
      <c r="B2339" s="8"/>
      <c r="C2339" s="8"/>
      <c r="D2339" s="8"/>
      <c r="E2339" s="8"/>
      <c r="F2339" s="8"/>
      <c r="G2339" s="8"/>
      <c r="H2339" s="8"/>
      <c r="I2339" s="8"/>
      <c r="J2339" s="8"/>
      <c r="K2339" s="8"/>
      <c r="L2339" s="8"/>
      <c r="M2339" s="8"/>
      <c r="N2339" s="8"/>
      <c r="O2339" s="8"/>
      <c r="P2339" s="4"/>
      <c r="Q2339" s="8"/>
      <c r="R2339" s="4"/>
      <c r="S2339" s="4"/>
    </row>
    <row r="2340" customFormat="false" ht="15" hidden="false" customHeight="false" outlineLevel="0" collapsed="false">
      <c r="A2340" s="4"/>
      <c r="B2340" s="8"/>
      <c r="C2340" s="8"/>
      <c r="D2340" s="8"/>
      <c r="E2340" s="8"/>
      <c r="F2340" s="8"/>
      <c r="G2340" s="8"/>
      <c r="H2340" s="8"/>
      <c r="I2340" s="8"/>
      <c r="J2340" s="8"/>
      <c r="K2340" s="8"/>
      <c r="L2340" s="8"/>
      <c r="M2340" s="8"/>
      <c r="N2340" s="8"/>
      <c r="O2340" s="8"/>
      <c r="P2340" s="4"/>
      <c r="Q2340" s="8"/>
      <c r="R2340" s="4"/>
      <c r="S2340" s="4"/>
    </row>
    <row r="2341" customFormat="false" ht="15" hidden="false" customHeight="false" outlineLevel="0" collapsed="false">
      <c r="A2341" s="4"/>
      <c r="B2341" s="8"/>
      <c r="C2341" s="8"/>
      <c r="D2341" s="8"/>
      <c r="E2341" s="8"/>
      <c r="F2341" s="8"/>
      <c r="G2341" s="8"/>
      <c r="H2341" s="8"/>
      <c r="I2341" s="8"/>
      <c r="J2341" s="8"/>
      <c r="K2341" s="8"/>
      <c r="L2341" s="8"/>
      <c r="M2341" s="8"/>
      <c r="N2341" s="8"/>
      <c r="O2341" s="8"/>
      <c r="P2341" s="4"/>
      <c r="Q2341" s="8"/>
      <c r="R2341" s="4"/>
      <c r="S2341" s="4"/>
    </row>
    <row r="2342" customFormat="false" ht="15" hidden="false" customHeight="false" outlineLevel="0" collapsed="false">
      <c r="A2342" s="4"/>
      <c r="B2342" s="8"/>
      <c r="C2342" s="8"/>
      <c r="D2342" s="8"/>
      <c r="E2342" s="8"/>
      <c r="F2342" s="8"/>
      <c r="G2342" s="8"/>
      <c r="H2342" s="8"/>
      <c r="I2342" s="8"/>
      <c r="J2342" s="8"/>
      <c r="K2342" s="8"/>
      <c r="L2342" s="8"/>
      <c r="M2342" s="8"/>
      <c r="N2342" s="8"/>
      <c r="O2342" s="8"/>
      <c r="P2342" s="4"/>
      <c r="Q2342" s="8"/>
      <c r="R2342" s="4"/>
      <c r="S2342" s="4"/>
    </row>
    <row r="2343" customFormat="false" ht="15" hidden="false" customHeight="false" outlineLevel="0" collapsed="false">
      <c r="A2343" s="4"/>
      <c r="B2343" s="8"/>
      <c r="C2343" s="8"/>
      <c r="D2343" s="8"/>
      <c r="E2343" s="8"/>
      <c r="F2343" s="8"/>
      <c r="G2343" s="8"/>
      <c r="H2343" s="8"/>
      <c r="I2343" s="8"/>
      <c r="J2343" s="8"/>
      <c r="K2343" s="8"/>
      <c r="L2343" s="8"/>
      <c r="M2343" s="8"/>
      <c r="N2343" s="8"/>
      <c r="O2343" s="8"/>
      <c r="P2343" s="4"/>
      <c r="Q2343" s="8"/>
      <c r="R2343" s="4"/>
      <c r="S2343" s="4"/>
    </row>
    <row r="2344" customFormat="false" ht="15" hidden="false" customHeight="false" outlineLevel="0" collapsed="false">
      <c r="A2344" s="4"/>
      <c r="B2344" s="8"/>
      <c r="C2344" s="8"/>
      <c r="D2344" s="8"/>
      <c r="E2344" s="8"/>
      <c r="F2344" s="8"/>
      <c r="G2344" s="8"/>
      <c r="H2344" s="8"/>
      <c r="I2344" s="8"/>
      <c r="J2344" s="8"/>
      <c r="K2344" s="8"/>
      <c r="L2344" s="8"/>
      <c r="M2344" s="8"/>
      <c r="N2344" s="8"/>
      <c r="O2344" s="8"/>
      <c r="P2344" s="4"/>
      <c r="Q2344" s="8"/>
      <c r="R2344" s="4"/>
      <c r="S2344" s="4"/>
    </row>
    <row r="2345" customFormat="false" ht="15" hidden="false" customHeight="false" outlineLevel="0" collapsed="false">
      <c r="A2345" s="4"/>
      <c r="B2345" s="8"/>
      <c r="C2345" s="8"/>
      <c r="D2345" s="8"/>
      <c r="E2345" s="8"/>
      <c r="F2345" s="8"/>
      <c r="G2345" s="8"/>
      <c r="H2345" s="8"/>
      <c r="I2345" s="8"/>
      <c r="J2345" s="8"/>
      <c r="K2345" s="8"/>
      <c r="L2345" s="8"/>
      <c r="M2345" s="8"/>
      <c r="N2345" s="8"/>
      <c r="O2345" s="8"/>
      <c r="P2345" s="4"/>
      <c r="Q2345" s="8"/>
      <c r="R2345" s="4"/>
      <c r="S2345" s="4"/>
    </row>
    <row r="2346" customFormat="false" ht="15" hidden="false" customHeight="false" outlineLevel="0" collapsed="false">
      <c r="A2346" s="4"/>
      <c r="B2346" s="8"/>
      <c r="C2346" s="8"/>
      <c r="D2346" s="8"/>
      <c r="E2346" s="8"/>
      <c r="F2346" s="8"/>
      <c r="G2346" s="8"/>
      <c r="H2346" s="8"/>
      <c r="I2346" s="8"/>
      <c r="J2346" s="8"/>
      <c r="K2346" s="8"/>
      <c r="L2346" s="8"/>
      <c r="M2346" s="8"/>
      <c r="N2346" s="8"/>
      <c r="O2346" s="8"/>
      <c r="P2346" s="4"/>
      <c r="Q2346" s="8"/>
      <c r="R2346" s="4"/>
      <c r="S2346" s="4"/>
    </row>
    <row r="2347" customFormat="false" ht="15" hidden="false" customHeight="false" outlineLevel="0" collapsed="false">
      <c r="A2347" s="4"/>
      <c r="B2347" s="8"/>
      <c r="C2347" s="8"/>
      <c r="D2347" s="8"/>
      <c r="E2347" s="8"/>
      <c r="F2347" s="8"/>
      <c r="G2347" s="8"/>
      <c r="H2347" s="8"/>
      <c r="I2347" s="8"/>
      <c r="J2347" s="8"/>
      <c r="K2347" s="8"/>
      <c r="L2347" s="8"/>
      <c r="M2347" s="8"/>
      <c r="N2347" s="8"/>
      <c r="O2347" s="8"/>
      <c r="P2347" s="4"/>
      <c r="Q2347" s="8"/>
      <c r="R2347" s="4"/>
      <c r="S2347" s="4"/>
    </row>
    <row r="2348" customFormat="false" ht="15" hidden="false" customHeight="false" outlineLevel="0" collapsed="false">
      <c r="A2348" s="4"/>
      <c r="B2348" s="8"/>
      <c r="C2348" s="8"/>
      <c r="D2348" s="8"/>
      <c r="E2348" s="8"/>
      <c r="F2348" s="8"/>
      <c r="G2348" s="8"/>
      <c r="H2348" s="8"/>
      <c r="I2348" s="8"/>
      <c r="J2348" s="8"/>
      <c r="K2348" s="8"/>
      <c r="L2348" s="8"/>
      <c r="M2348" s="8"/>
      <c r="N2348" s="8"/>
      <c r="O2348" s="8"/>
      <c r="P2348" s="4"/>
      <c r="Q2348" s="8"/>
      <c r="R2348" s="4"/>
      <c r="S2348" s="4"/>
    </row>
    <row r="2349" customFormat="false" ht="15" hidden="false" customHeight="false" outlineLevel="0" collapsed="false">
      <c r="A2349" s="4"/>
      <c r="B2349" s="8"/>
      <c r="C2349" s="8"/>
      <c r="D2349" s="8"/>
      <c r="E2349" s="8"/>
      <c r="F2349" s="8"/>
      <c r="G2349" s="8"/>
      <c r="H2349" s="8"/>
      <c r="I2349" s="8"/>
      <c r="J2349" s="8"/>
      <c r="K2349" s="8"/>
      <c r="L2349" s="8"/>
      <c r="M2349" s="8"/>
      <c r="N2349" s="8"/>
      <c r="O2349" s="8"/>
      <c r="P2349" s="4"/>
      <c r="Q2349" s="8"/>
      <c r="R2349" s="4"/>
      <c r="S2349" s="4"/>
    </row>
    <row r="2350" customFormat="false" ht="15" hidden="false" customHeight="false" outlineLevel="0" collapsed="false">
      <c r="A2350" s="4"/>
      <c r="B2350" s="8"/>
      <c r="C2350" s="8"/>
      <c r="D2350" s="8"/>
      <c r="E2350" s="8"/>
      <c r="F2350" s="8"/>
      <c r="G2350" s="8"/>
      <c r="H2350" s="8"/>
      <c r="I2350" s="8"/>
      <c r="J2350" s="8"/>
      <c r="K2350" s="8"/>
      <c r="L2350" s="8"/>
      <c r="M2350" s="8"/>
      <c r="N2350" s="8"/>
      <c r="O2350" s="8"/>
      <c r="P2350" s="4"/>
      <c r="Q2350" s="8"/>
      <c r="R2350" s="4"/>
      <c r="S2350" s="4"/>
    </row>
    <row r="2351" customFormat="false" ht="15" hidden="false" customHeight="false" outlineLevel="0" collapsed="false">
      <c r="A2351" s="4"/>
      <c r="B2351" s="8"/>
      <c r="C2351" s="8"/>
      <c r="D2351" s="8"/>
      <c r="E2351" s="8"/>
      <c r="F2351" s="8"/>
      <c r="G2351" s="8"/>
      <c r="H2351" s="8"/>
      <c r="I2351" s="8"/>
      <c r="J2351" s="8"/>
      <c r="K2351" s="8"/>
      <c r="L2351" s="8"/>
      <c r="M2351" s="8"/>
      <c r="N2351" s="8"/>
      <c r="O2351" s="8"/>
      <c r="P2351" s="4"/>
      <c r="Q2351" s="8"/>
      <c r="R2351" s="4"/>
      <c r="S2351" s="4"/>
    </row>
    <row r="2352" customFormat="false" ht="15" hidden="false" customHeight="false" outlineLevel="0" collapsed="false">
      <c r="A2352" s="4"/>
      <c r="B2352" s="8"/>
      <c r="C2352" s="8"/>
      <c r="D2352" s="8"/>
      <c r="E2352" s="8"/>
      <c r="F2352" s="8"/>
      <c r="G2352" s="8"/>
      <c r="H2352" s="8"/>
      <c r="I2352" s="8"/>
      <c r="J2352" s="8"/>
      <c r="K2352" s="8"/>
      <c r="L2352" s="8"/>
      <c r="M2352" s="8"/>
      <c r="N2352" s="8"/>
      <c r="O2352" s="8"/>
      <c r="P2352" s="4"/>
      <c r="Q2352" s="8"/>
      <c r="R2352" s="4"/>
      <c r="S2352" s="4"/>
    </row>
    <row r="2353" customFormat="false" ht="15" hidden="false" customHeight="false" outlineLevel="0" collapsed="false">
      <c r="A2353" s="4"/>
      <c r="B2353" s="8"/>
      <c r="C2353" s="8"/>
      <c r="D2353" s="8"/>
      <c r="E2353" s="8"/>
      <c r="F2353" s="8"/>
      <c r="G2353" s="8"/>
      <c r="H2353" s="8"/>
      <c r="I2353" s="8"/>
      <c r="J2353" s="8"/>
      <c r="K2353" s="8"/>
      <c r="L2353" s="8"/>
      <c r="M2353" s="8"/>
      <c r="N2353" s="8"/>
      <c r="O2353" s="8"/>
      <c r="P2353" s="4"/>
      <c r="Q2353" s="8"/>
      <c r="R2353" s="4"/>
      <c r="S2353" s="4"/>
    </row>
    <row r="2354" customFormat="false" ht="15" hidden="false" customHeight="false" outlineLevel="0" collapsed="false">
      <c r="A2354" s="4"/>
      <c r="B2354" s="8"/>
      <c r="C2354" s="8"/>
      <c r="D2354" s="8"/>
      <c r="E2354" s="8"/>
      <c r="F2354" s="8"/>
      <c r="G2354" s="8"/>
      <c r="H2354" s="8"/>
      <c r="I2354" s="8"/>
      <c r="J2354" s="8"/>
      <c r="K2354" s="8"/>
      <c r="L2354" s="8"/>
      <c r="M2354" s="8"/>
      <c r="N2354" s="8"/>
      <c r="O2354" s="8"/>
      <c r="P2354" s="4"/>
      <c r="Q2354" s="8"/>
      <c r="R2354" s="4"/>
      <c r="S2354" s="4"/>
    </row>
    <row r="2355" customFormat="false" ht="15" hidden="false" customHeight="false" outlineLevel="0" collapsed="false">
      <c r="A2355" s="4"/>
      <c r="B2355" s="8"/>
      <c r="C2355" s="8"/>
      <c r="D2355" s="8"/>
      <c r="E2355" s="8"/>
      <c r="F2355" s="8"/>
      <c r="G2355" s="8"/>
      <c r="H2355" s="8"/>
      <c r="I2355" s="8"/>
      <c r="J2355" s="8"/>
      <c r="K2355" s="8"/>
      <c r="L2355" s="8"/>
      <c r="M2355" s="8"/>
      <c r="N2355" s="8"/>
      <c r="O2355" s="8"/>
      <c r="P2355" s="4"/>
      <c r="Q2355" s="8"/>
      <c r="R2355" s="4"/>
      <c r="S2355" s="4"/>
    </row>
    <row r="2356" customFormat="false" ht="15" hidden="false" customHeight="false" outlineLevel="0" collapsed="false">
      <c r="A2356" s="4"/>
      <c r="B2356" s="8"/>
      <c r="C2356" s="8"/>
      <c r="D2356" s="8"/>
      <c r="E2356" s="8"/>
      <c r="F2356" s="8"/>
      <c r="G2356" s="8"/>
      <c r="H2356" s="8"/>
      <c r="I2356" s="8"/>
      <c r="J2356" s="8"/>
      <c r="K2356" s="8"/>
      <c r="L2356" s="8"/>
      <c r="M2356" s="8"/>
      <c r="N2356" s="8"/>
      <c r="O2356" s="8"/>
      <c r="P2356" s="4"/>
      <c r="Q2356" s="8"/>
      <c r="R2356" s="4"/>
      <c r="S2356" s="4"/>
    </row>
    <row r="2357" customFormat="false" ht="15" hidden="false" customHeight="false" outlineLevel="0" collapsed="false">
      <c r="A2357" s="4"/>
      <c r="B2357" s="8"/>
      <c r="C2357" s="8"/>
      <c r="D2357" s="8"/>
      <c r="E2357" s="8"/>
      <c r="F2357" s="8"/>
      <c r="G2357" s="8"/>
      <c r="H2357" s="8"/>
      <c r="I2357" s="8"/>
      <c r="J2357" s="8"/>
      <c r="K2357" s="8"/>
      <c r="L2357" s="8"/>
      <c r="M2357" s="8"/>
      <c r="N2357" s="8"/>
      <c r="O2357" s="8"/>
      <c r="P2357" s="4"/>
      <c r="Q2357" s="8"/>
      <c r="R2357" s="4"/>
      <c r="S2357" s="4"/>
    </row>
    <row r="2358" customFormat="false" ht="15" hidden="false" customHeight="false" outlineLevel="0" collapsed="false">
      <c r="A2358" s="4"/>
      <c r="B2358" s="8"/>
      <c r="C2358" s="8"/>
      <c r="D2358" s="8"/>
      <c r="E2358" s="8"/>
      <c r="F2358" s="8"/>
      <c r="G2358" s="8"/>
      <c r="H2358" s="8"/>
      <c r="I2358" s="8"/>
      <c r="J2358" s="8"/>
      <c r="K2358" s="8"/>
      <c r="L2358" s="8"/>
      <c r="M2358" s="8"/>
      <c r="N2358" s="8"/>
      <c r="O2358" s="8"/>
      <c r="P2358" s="4"/>
      <c r="Q2358" s="8"/>
      <c r="R2358" s="4"/>
      <c r="S2358" s="4"/>
    </row>
    <row r="2359" customFormat="false" ht="15" hidden="false" customHeight="false" outlineLevel="0" collapsed="false">
      <c r="A2359" s="4"/>
      <c r="B2359" s="8"/>
      <c r="C2359" s="8"/>
      <c r="D2359" s="8"/>
      <c r="E2359" s="8"/>
      <c r="F2359" s="8"/>
      <c r="G2359" s="8"/>
      <c r="H2359" s="8"/>
      <c r="I2359" s="8"/>
      <c r="J2359" s="8"/>
      <c r="K2359" s="8"/>
      <c r="L2359" s="8"/>
      <c r="M2359" s="8"/>
      <c r="N2359" s="8"/>
      <c r="O2359" s="8"/>
      <c r="P2359" s="4"/>
      <c r="Q2359" s="8"/>
      <c r="R2359" s="4"/>
      <c r="S2359" s="4"/>
    </row>
    <row r="2360" customFormat="false" ht="15" hidden="false" customHeight="false" outlineLevel="0" collapsed="false">
      <c r="A2360" s="4"/>
      <c r="B2360" s="8"/>
      <c r="C2360" s="8"/>
      <c r="D2360" s="8"/>
      <c r="E2360" s="8"/>
      <c r="F2360" s="8"/>
      <c r="G2360" s="8"/>
      <c r="H2360" s="8"/>
      <c r="I2360" s="8"/>
      <c r="J2360" s="8"/>
      <c r="K2360" s="8"/>
      <c r="L2360" s="8"/>
      <c r="M2360" s="8"/>
      <c r="N2360" s="8"/>
      <c r="O2360" s="8"/>
      <c r="P2360" s="4"/>
      <c r="Q2360" s="8"/>
      <c r="R2360" s="4"/>
      <c r="S2360" s="4"/>
    </row>
    <row r="2361" customFormat="false" ht="15" hidden="false" customHeight="false" outlineLevel="0" collapsed="false">
      <c r="A2361" s="4"/>
      <c r="B2361" s="8"/>
      <c r="C2361" s="8"/>
      <c r="D2361" s="8"/>
      <c r="E2361" s="8"/>
      <c r="F2361" s="8"/>
      <c r="G2361" s="8"/>
      <c r="H2361" s="8"/>
      <c r="I2361" s="8"/>
      <c r="J2361" s="8"/>
      <c r="K2361" s="8"/>
      <c r="L2361" s="8"/>
      <c r="M2361" s="8"/>
      <c r="N2361" s="8"/>
      <c r="O2361" s="8"/>
      <c r="P2361" s="4"/>
      <c r="Q2361" s="8"/>
      <c r="R2361" s="4"/>
      <c r="S2361" s="4"/>
    </row>
    <row r="2362" customFormat="false" ht="15" hidden="false" customHeight="false" outlineLevel="0" collapsed="false">
      <c r="A2362" s="4"/>
      <c r="B2362" s="8"/>
      <c r="C2362" s="8"/>
      <c r="D2362" s="8"/>
      <c r="E2362" s="8"/>
      <c r="F2362" s="8"/>
      <c r="G2362" s="8"/>
      <c r="H2362" s="8"/>
      <c r="I2362" s="8"/>
      <c r="J2362" s="8"/>
      <c r="K2362" s="8"/>
      <c r="L2362" s="8"/>
      <c r="M2362" s="8"/>
      <c r="N2362" s="8"/>
      <c r="O2362" s="8"/>
      <c r="P2362" s="4"/>
      <c r="Q2362" s="8"/>
      <c r="R2362" s="4"/>
      <c r="S2362" s="4"/>
    </row>
    <row r="2363" customFormat="false" ht="15" hidden="false" customHeight="false" outlineLevel="0" collapsed="false">
      <c r="A2363" s="4"/>
      <c r="B2363" s="8"/>
      <c r="C2363" s="8"/>
      <c r="D2363" s="8"/>
      <c r="E2363" s="8"/>
      <c r="F2363" s="8"/>
      <c r="G2363" s="8"/>
      <c r="H2363" s="8"/>
      <c r="I2363" s="8"/>
      <c r="J2363" s="8"/>
      <c r="K2363" s="8"/>
      <c r="L2363" s="8"/>
      <c r="M2363" s="8"/>
      <c r="N2363" s="8"/>
      <c r="O2363" s="8"/>
      <c r="P2363" s="4"/>
      <c r="Q2363" s="8"/>
      <c r="R2363" s="4"/>
      <c r="S2363" s="4"/>
    </row>
    <row r="2364" customFormat="false" ht="15" hidden="false" customHeight="false" outlineLevel="0" collapsed="false">
      <c r="A2364" s="4"/>
      <c r="B2364" s="8"/>
      <c r="C2364" s="8"/>
      <c r="D2364" s="8"/>
      <c r="E2364" s="8"/>
      <c r="F2364" s="8"/>
      <c r="G2364" s="8"/>
      <c r="H2364" s="8"/>
      <c r="I2364" s="8"/>
      <c r="J2364" s="8"/>
      <c r="K2364" s="8"/>
      <c r="L2364" s="8"/>
      <c r="M2364" s="8"/>
      <c r="N2364" s="8"/>
      <c r="O2364" s="8"/>
      <c r="P2364" s="4"/>
      <c r="Q2364" s="8"/>
      <c r="R2364" s="4"/>
      <c r="S2364" s="4"/>
    </row>
    <row r="2365" customFormat="false" ht="15" hidden="false" customHeight="false" outlineLevel="0" collapsed="false">
      <c r="A2365" s="4"/>
      <c r="B2365" s="8"/>
      <c r="C2365" s="8"/>
      <c r="D2365" s="8"/>
      <c r="E2365" s="8"/>
      <c r="F2365" s="8"/>
      <c r="G2365" s="8"/>
      <c r="H2365" s="8"/>
      <c r="I2365" s="8"/>
      <c r="J2365" s="8"/>
      <c r="K2365" s="8"/>
      <c r="L2365" s="8"/>
      <c r="M2365" s="8"/>
      <c r="N2365" s="8"/>
      <c r="O2365" s="8"/>
      <c r="P2365" s="4"/>
      <c r="Q2365" s="8"/>
      <c r="R2365" s="4"/>
      <c r="S2365" s="4"/>
    </row>
    <row r="2366" customFormat="false" ht="15" hidden="false" customHeight="false" outlineLevel="0" collapsed="false">
      <c r="A2366" s="4"/>
      <c r="B2366" s="8"/>
      <c r="C2366" s="8"/>
      <c r="D2366" s="8"/>
      <c r="E2366" s="8"/>
      <c r="F2366" s="8"/>
      <c r="G2366" s="8"/>
      <c r="H2366" s="8"/>
      <c r="I2366" s="8"/>
      <c r="J2366" s="8"/>
      <c r="K2366" s="8"/>
      <c r="L2366" s="8"/>
      <c r="M2366" s="8"/>
      <c r="N2366" s="8"/>
      <c r="O2366" s="8"/>
      <c r="P2366" s="4"/>
      <c r="Q2366" s="8"/>
      <c r="R2366" s="4"/>
      <c r="S2366" s="4"/>
    </row>
    <row r="2367" customFormat="false" ht="15" hidden="false" customHeight="false" outlineLevel="0" collapsed="false">
      <c r="A2367" s="4"/>
      <c r="B2367" s="8"/>
      <c r="C2367" s="8"/>
      <c r="D2367" s="8"/>
      <c r="E2367" s="8"/>
      <c r="F2367" s="8"/>
      <c r="G2367" s="8"/>
      <c r="H2367" s="8"/>
      <c r="I2367" s="8"/>
      <c r="J2367" s="8"/>
      <c r="K2367" s="8"/>
      <c r="L2367" s="8"/>
      <c r="M2367" s="8"/>
      <c r="N2367" s="8"/>
      <c r="O2367" s="8"/>
      <c r="P2367" s="4"/>
      <c r="Q2367" s="8"/>
      <c r="R2367" s="4"/>
      <c r="S2367" s="4"/>
    </row>
    <row r="2368" customFormat="false" ht="15" hidden="false" customHeight="false" outlineLevel="0" collapsed="false">
      <c r="A2368" s="4"/>
      <c r="B2368" s="8"/>
      <c r="C2368" s="8"/>
      <c r="D2368" s="8"/>
      <c r="E2368" s="8"/>
      <c r="F2368" s="8"/>
      <c r="G2368" s="8"/>
      <c r="H2368" s="8"/>
      <c r="I2368" s="8"/>
      <c r="J2368" s="8"/>
      <c r="K2368" s="8"/>
      <c r="L2368" s="8"/>
      <c r="M2368" s="8"/>
      <c r="N2368" s="8"/>
      <c r="O2368" s="8"/>
      <c r="P2368" s="4"/>
      <c r="Q2368" s="8"/>
      <c r="R2368" s="4"/>
      <c r="S2368" s="4"/>
    </row>
    <row r="2369" customFormat="false" ht="15" hidden="false" customHeight="false" outlineLevel="0" collapsed="false">
      <c r="A2369" s="4"/>
      <c r="B2369" s="8"/>
      <c r="C2369" s="8"/>
      <c r="D2369" s="8"/>
      <c r="E2369" s="8"/>
      <c r="F2369" s="8"/>
      <c r="G2369" s="8"/>
      <c r="H2369" s="8"/>
      <c r="I2369" s="8"/>
      <c r="J2369" s="8"/>
      <c r="K2369" s="8"/>
      <c r="L2369" s="8"/>
      <c r="M2369" s="8"/>
      <c r="N2369" s="8"/>
      <c r="O2369" s="8"/>
      <c r="P2369" s="4"/>
      <c r="Q2369" s="8"/>
      <c r="R2369" s="4"/>
      <c r="S2369" s="4"/>
    </row>
    <row r="2370" customFormat="false" ht="15" hidden="false" customHeight="false" outlineLevel="0" collapsed="false">
      <c r="A2370" s="4"/>
      <c r="B2370" s="8"/>
      <c r="C2370" s="8"/>
      <c r="D2370" s="8"/>
      <c r="E2370" s="8"/>
      <c r="F2370" s="8"/>
      <c r="G2370" s="8"/>
      <c r="H2370" s="8"/>
      <c r="I2370" s="8"/>
      <c r="J2370" s="8"/>
      <c r="K2370" s="8"/>
      <c r="L2370" s="8"/>
      <c r="M2370" s="8"/>
      <c r="N2370" s="8"/>
      <c r="O2370" s="8"/>
      <c r="P2370" s="4"/>
      <c r="Q2370" s="8"/>
      <c r="R2370" s="4"/>
      <c r="S2370" s="4"/>
    </row>
    <row r="2371" customFormat="false" ht="15" hidden="false" customHeight="false" outlineLevel="0" collapsed="false">
      <c r="A2371" s="4"/>
      <c r="B2371" s="8"/>
      <c r="C2371" s="8"/>
      <c r="D2371" s="8"/>
      <c r="E2371" s="8"/>
      <c r="F2371" s="8"/>
      <c r="G2371" s="8"/>
      <c r="H2371" s="8"/>
      <c r="I2371" s="8"/>
      <c r="J2371" s="8"/>
      <c r="K2371" s="8"/>
      <c r="L2371" s="8"/>
      <c r="M2371" s="8"/>
      <c r="N2371" s="8"/>
      <c r="O2371" s="8"/>
      <c r="P2371" s="4"/>
      <c r="Q2371" s="8"/>
      <c r="R2371" s="4"/>
      <c r="S2371" s="4"/>
    </row>
    <row r="2372" customFormat="false" ht="15" hidden="false" customHeight="false" outlineLevel="0" collapsed="false">
      <c r="A2372" s="4"/>
      <c r="B2372" s="8"/>
      <c r="C2372" s="8"/>
      <c r="D2372" s="8"/>
      <c r="E2372" s="8"/>
      <c r="F2372" s="8"/>
      <c r="G2372" s="8"/>
      <c r="H2372" s="8"/>
      <c r="I2372" s="8"/>
      <c r="J2372" s="8"/>
      <c r="K2372" s="8"/>
      <c r="L2372" s="8"/>
      <c r="M2372" s="8"/>
      <c r="N2372" s="8"/>
      <c r="O2372" s="8"/>
      <c r="P2372" s="4"/>
      <c r="Q2372" s="8"/>
      <c r="R2372" s="4"/>
      <c r="S2372" s="4"/>
    </row>
    <row r="2373" customFormat="false" ht="15" hidden="false" customHeight="false" outlineLevel="0" collapsed="false">
      <c r="A2373" s="4"/>
      <c r="B2373" s="8"/>
      <c r="C2373" s="8"/>
      <c r="D2373" s="8"/>
      <c r="E2373" s="8"/>
      <c r="F2373" s="8"/>
      <c r="G2373" s="8"/>
      <c r="H2373" s="8"/>
      <c r="I2373" s="8"/>
      <c r="J2373" s="8"/>
      <c r="K2373" s="8"/>
      <c r="L2373" s="8"/>
      <c r="M2373" s="8"/>
      <c r="N2373" s="8"/>
      <c r="O2373" s="8"/>
      <c r="P2373" s="4"/>
      <c r="Q2373" s="8"/>
      <c r="R2373" s="4"/>
      <c r="S2373" s="4"/>
    </row>
    <row r="2374" customFormat="false" ht="15" hidden="false" customHeight="false" outlineLevel="0" collapsed="false">
      <c r="A2374" s="4"/>
      <c r="B2374" s="8"/>
      <c r="C2374" s="8"/>
      <c r="D2374" s="8"/>
      <c r="E2374" s="8"/>
      <c r="F2374" s="8"/>
      <c r="G2374" s="8"/>
      <c r="H2374" s="8"/>
      <c r="I2374" s="8"/>
      <c r="J2374" s="8"/>
      <c r="K2374" s="8"/>
      <c r="L2374" s="8"/>
      <c r="M2374" s="8"/>
      <c r="N2374" s="8"/>
      <c r="O2374" s="8"/>
      <c r="P2374" s="4"/>
      <c r="Q2374" s="8"/>
      <c r="R2374" s="4"/>
      <c r="S2374" s="4"/>
    </row>
    <row r="2375" customFormat="false" ht="15" hidden="false" customHeight="false" outlineLevel="0" collapsed="false">
      <c r="A2375" s="4"/>
      <c r="B2375" s="8"/>
      <c r="C2375" s="8"/>
      <c r="D2375" s="8"/>
      <c r="E2375" s="8"/>
      <c r="F2375" s="8"/>
      <c r="G2375" s="8"/>
      <c r="H2375" s="8"/>
      <c r="I2375" s="8"/>
      <c r="J2375" s="8"/>
      <c r="K2375" s="8"/>
      <c r="L2375" s="8"/>
      <c r="M2375" s="8"/>
      <c r="N2375" s="8"/>
      <c r="O2375" s="8"/>
      <c r="P2375" s="4"/>
      <c r="Q2375" s="8"/>
      <c r="R2375" s="4"/>
      <c r="S2375" s="4"/>
    </row>
    <row r="2376" customFormat="false" ht="15" hidden="false" customHeight="false" outlineLevel="0" collapsed="false">
      <c r="A2376" s="4"/>
      <c r="B2376" s="8"/>
      <c r="C2376" s="8"/>
      <c r="D2376" s="8"/>
      <c r="E2376" s="8"/>
      <c r="F2376" s="8"/>
      <c r="G2376" s="8"/>
      <c r="H2376" s="8"/>
      <c r="I2376" s="8"/>
      <c r="J2376" s="8"/>
      <c r="K2376" s="8"/>
      <c r="L2376" s="8"/>
      <c r="M2376" s="8"/>
      <c r="N2376" s="8"/>
      <c r="O2376" s="8"/>
      <c r="P2376" s="4"/>
      <c r="Q2376" s="8"/>
      <c r="R2376" s="4"/>
      <c r="S2376" s="4"/>
    </row>
    <row r="2377" customFormat="false" ht="15" hidden="false" customHeight="false" outlineLevel="0" collapsed="false">
      <c r="A2377" s="4"/>
      <c r="B2377" s="8"/>
      <c r="C2377" s="8"/>
      <c r="D2377" s="8"/>
      <c r="E2377" s="8"/>
      <c r="F2377" s="8"/>
      <c r="G2377" s="8"/>
      <c r="H2377" s="8"/>
      <c r="I2377" s="8"/>
      <c r="J2377" s="8"/>
      <c r="K2377" s="8"/>
      <c r="L2377" s="8"/>
      <c r="M2377" s="8"/>
      <c r="N2377" s="8"/>
      <c r="O2377" s="8"/>
      <c r="P2377" s="4"/>
      <c r="Q2377" s="8"/>
      <c r="R2377" s="4"/>
      <c r="S2377" s="4"/>
    </row>
    <row r="2378" customFormat="false" ht="15" hidden="false" customHeight="false" outlineLevel="0" collapsed="false">
      <c r="A2378" s="4"/>
      <c r="B2378" s="8"/>
      <c r="C2378" s="8"/>
      <c r="D2378" s="8"/>
      <c r="E2378" s="8"/>
      <c r="F2378" s="8"/>
      <c r="G2378" s="8"/>
      <c r="H2378" s="8"/>
      <c r="I2378" s="8"/>
      <c r="J2378" s="8"/>
      <c r="K2378" s="8"/>
      <c r="L2378" s="8"/>
      <c r="M2378" s="8"/>
      <c r="N2378" s="8"/>
      <c r="O2378" s="8"/>
      <c r="P2378" s="4"/>
      <c r="Q2378" s="8"/>
      <c r="R2378" s="4"/>
      <c r="S2378" s="4"/>
    </row>
    <row r="2379" customFormat="false" ht="15" hidden="false" customHeight="false" outlineLevel="0" collapsed="false">
      <c r="A2379" s="4"/>
      <c r="B2379" s="8"/>
      <c r="C2379" s="8"/>
      <c r="D2379" s="8"/>
      <c r="E2379" s="8"/>
      <c r="F2379" s="8"/>
      <c r="G2379" s="8"/>
      <c r="H2379" s="8"/>
      <c r="I2379" s="8"/>
      <c r="J2379" s="8"/>
      <c r="K2379" s="8"/>
      <c r="L2379" s="8"/>
      <c r="M2379" s="8"/>
      <c r="N2379" s="8"/>
      <c r="O2379" s="8"/>
      <c r="P2379" s="4"/>
      <c r="Q2379" s="8"/>
      <c r="R2379" s="4"/>
      <c r="S2379" s="4"/>
    </row>
    <row r="2380" customFormat="false" ht="15" hidden="false" customHeight="false" outlineLevel="0" collapsed="false">
      <c r="A2380" s="4"/>
      <c r="B2380" s="8"/>
      <c r="C2380" s="8"/>
      <c r="D2380" s="8"/>
      <c r="E2380" s="8"/>
      <c r="F2380" s="8"/>
      <c r="G2380" s="8"/>
      <c r="H2380" s="8"/>
      <c r="I2380" s="8"/>
      <c r="J2380" s="8"/>
      <c r="K2380" s="8"/>
      <c r="L2380" s="8"/>
      <c r="M2380" s="8"/>
      <c r="N2380" s="8"/>
      <c r="O2380" s="8"/>
      <c r="P2380" s="4"/>
      <c r="Q2380" s="8"/>
      <c r="R2380" s="4"/>
      <c r="S2380" s="4"/>
    </row>
    <row r="2381" customFormat="false" ht="15" hidden="false" customHeight="false" outlineLevel="0" collapsed="false">
      <c r="A2381" s="4"/>
      <c r="B2381" s="8"/>
      <c r="C2381" s="8"/>
      <c r="D2381" s="8"/>
      <c r="E2381" s="8"/>
      <c r="F2381" s="8"/>
      <c r="G2381" s="8"/>
      <c r="H2381" s="8"/>
      <c r="I2381" s="8"/>
      <c r="J2381" s="8"/>
      <c r="K2381" s="8"/>
      <c r="L2381" s="8"/>
      <c r="M2381" s="8"/>
      <c r="N2381" s="8"/>
      <c r="O2381" s="8"/>
      <c r="P2381" s="4"/>
      <c r="Q2381" s="8"/>
      <c r="R2381" s="4"/>
      <c r="S2381" s="4"/>
    </row>
    <row r="2382" customFormat="false" ht="15" hidden="false" customHeight="false" outlineLevel="0" collapsed="false">
      <c r="A2382" s="4"/>
      <c r="B2382" s="8"/>
      <c r="C2382" s="8"/>
      <c r="D2382" s="8"/>
      <c r="E2382" s="8"/>
      <c r="F2382" s="8"/>
      <c r="G2382" s="8"/>
      <c r="H2382" s="8"/>
      <c r="I2382" s="8"/>
      <c r="J2382" s="8"/>
      <c r="K2382" s="8"/>
      <c r="L2382" s="8"/>
      <c r="M2382" s="8"/>
      <c r="N2382" s="8"/>
      <c r="O2382" s="8"/>
      <c r="P2382" s="4"/>
      <c r="Q2382" s="8"/>
      <c r="R2382" s="4"/>
      <c r="S2382" s="4"/>
    </row>
    <row r="2383" customFormat="false" ht="15" hidden="false" customHeight="false" outlineLevel="0" collapsed="false">
      <c r="A2383" s="4"/>
      <c r="B2383" s="8"/>
      <c r="C2383" s="8"/>
      <c r="D2383" s="8"/>
      <c r="E2383" s="8"/>
      <c r="F2383" s="8"/>
      <c r="G2383" s="8"/>
      <c r="H2383" s="8"/>
      <c r="I2383" s="8"/>
      <c r="J2383" s="8"/>
      <c r="K2383" s="8"/>
      <c r="L2383" s="8"/>
      <c r="M2383" s="8"/>
      <c r="N2383" s="8"/>
      <c r="O2383" s="8"/>
      <c r="P2383" s="4"/>
      <c r="Q2383" s="8"/>
      <c r="R2383" s="4"/>
      <c r="S2383" s="4"/>
    </row>
    <row r="2384" customFormat="false" ht="15" hidden="false" customHeight="false" outlineLevel="0" collapsed="false">
      <c r="A2384" s="4"/>
      <c r="B2384" s="8"/>
      <c r="C2384" s="8"/>
      <c r="D2384" s="8"/>
      <c r="E2384" s="8"/>
      <c r="F2384" s="8"/>
      <c r="G2384" s="8"/>
      <c r="H2384" s="8"/>
      <c r="I2384" s="8"/>
      <c r="J2384" s="8"/>
      <c r="K2384" s="8"/>
      <c r="L2384" s="8"/>
      <c r="M2384" s="8"/>
      <c r="N2384" s="8"/>
      <c r="O2384" s="8"/>
      <c r="P2384" s="4"/>
      <c r="Q2384" s="8"/>
      <c r="R2384" s="4"/>
      <c r="S2384" s="4"/>
    </row>
    <row r="2385" customFormat="false" ht="15" hidden="false" customHeight="false" outlineLevel="0" collapsed="false">
      <c r="A2385" s="4"/>
      <c r="B2385" s="8"/>
      <c r="C2385" s="8"/>
      <c r="D2385" s="8"/>
      <c r="E2385" s="8"/>
      <c r="F2385" s="8"/>
      <c r="G2385" s="8"/>
      <c r="H2385" s="8"/>
      <c r="I2385" s="8"/>
      <c r="J2385" s="8"/>
      <c r="K2385" s="8"/>
      <c r="L2385" s="8"/>
      <c r="M2385" s="8"/>
      <c r="N2385" s="8"/>
      <c r="O2385" s="8"/>
      <c r="P2385" s="4"/>
      <c r="Q2385" s="8"/>
      <c r="R2385" s="4"/>
      <c r="S2385" s="4"/>
    </row>
    <row r="2386" customFormat="false" ht="15" hidden="false" customHeight="false" outlineLevel="0" collapsed="false">
      <c r="A2386" s="4"/>
      <c r="B2386" s="8"/>
      <c r="C2386" s="8"/>
      <c r="D2386" s="8"/>
      <c r="E2386" s="8"/>
      <c r="F2386" s="8"/>
      <c r="G2386" s="8"/>
      <c r="H2386" s="8"/>
      <c r="I2386" s="8"/>
      <c r="J2386" s="8"/>
      <c r="K2386" s="8"/>
      <c r="L2386" s="8"/>
      <c r="M2386" s="8"/>
      <c r="N2386" s="8"/>
      <c r="O2386" s="8"/>
      <c r="P2386" s="4"/>
      <c r="Q2386" s="8"/>
      <c r="R2386" s="4"/>
      <c r="S2386" s="4"/>
    </row>
    <row r="2387" customFormat="false" ht="15" hidden="false" customHeight="false" outlineLevel="0" collapsed="false">
      <c r="A2387" s="4"/>
      <c r="B2387" s="8"/>
      <c r="C2387" s="8"/>
      <c r="D2387" s="8"/>
      <c r="E2387" s="8"/>
      <c r="F2387" s="8"/>
      <c r="G2387" s="8"/>
      <c r="H2387" s="8"/>
      <c r="I2387" s="8"/>
      <c r="J2387" s="8"/>
      <c r="K2387" s="8"/>
      <c r="L2387" s="8"/>
      <c r="M2387" s="8"/>
      <c r="N2387" s="8"/>
      <c r="O2387" s="8"/>
      <c r="P2387" s="4"/>
      <c r="Q2387" s="8"/>
      <c r="R2387" s="4"/>
      <c r="S2387" s="4"/>
    </row>
    <row r="2388" customFormat="false" ht="15" hidden="false" customHeight="false" outlineLevel="0" collapsed="false">
      <c r="A2388" s="4"/>
      <c r="B2388" s="8"/>
      <c r="C2388" s="8"/>
      <c r="D2388" s="8"/>
      <c r="E2388" s="8"/>
      <c r="F2388" s="8"/>
      <c r="G2388" s="8"/>
      <c r="H2388" s="8"/>
      <c r="I2388" s="8"/>
      <c r="J2388" s="8"/>
      <c r="K2388" s="8"/>
      <c r="L2388" s="8"/>
      <c r="M2388" s="8"/>
      <c r="N2388" s="8"/>
      <c r="O2388" s="8"/>
      <c r="P2388" s="4"/>
      <c r="Q2388" s="8"/>
      <c r="R2388" s="4"/>
      <c r="S2388" s="4"/>
    </row>
    <row r="2389" customFormat="false" ht="15" hidden="false" customHeight="false" outlineLevel="0" collapsed="false">
      <c r="A2389" s="4"/>
      <c r="B2389" s="8"/>
      <c r="C2389" s="8"/>
      <c r="D2389" s="8"/>
      <c r="E2389" s="8"/>
      <c r="F2389" s="8"/>
      <c r="G2389" s="8"/>
      <c r="H2389" s="8"/>
      <c r="I2389" s="8"/>
      <c r="J2389" s="8"/>
      <c r="K2389" s="8"/>
      <c r="L2389" s="8"/>
      <c r="M2389" s="8"/>
      <c r="N2389" s="8"/>
      <c r="O2389" s="8"/>
      <c r="P2389" s="4"/>
      <c r="Q2389" s="8"/>
      <c r="R2389" s="4"/>
      <c r="S2389" s="4"/>
    </row>
    <row r="2390" customFormat="false" ht="15" hidden="false" customHeight="false" outlineLevel="0" collapsed="false">
      <c r="A2390" s="4"/>
      <c r="B2390" s="8"/>
      <c r="C2390" s="8"/>
      <c r="D2390" s="8"/>
      <c r="E2390" s="8"/>
      <c r="F2390" s="8"/>
      <c r="G2390" s="8"/>
      <c r="H2390" s="8"/>
      <c r="I2390" s="8"/>
      <c r="J2390" s="8"/>
      <c r="K2390" s="8"/>
      <c r="L2390" s="8"/>
      <c r="M2390" s="8"/>
      <c r="N2390" s="8"/>
      <c r="O2390" s="8"/>
      <c r="P2390" s="4"/>
      <c r="Q2390" s="8"/>
      <c r="R2390" s="4"/>
      <c r="S2390" s="4"/>
    </row>
    <row r="2391" customFormat="false" ht="15" hidden="false" customHeight="false" outlineLevel="0" collapsed="false">
      <c r="A2391" s="4"/>
      <c r="B2391" s="8"/>
      <c r="C2391" s="8"/>
      <c r="D2391" s="8"/>
      <c r="E2391" s="8"/>
      <c r="F2391" s="8"/>
      <c r="G2391" s="8"/>
      <c r="H2391" s="8"/>
      <c r="I2391" s="8"/>
      <c r="J2391" s="8"/>
      <c r="K2391" s="8"/>
      <c r="L2391" s="8"/>
      <c r="M2391" s="8"/>
      <c r="N2391" s="8"/>
      <c r="O2391" s="8"/>
      <c r="P2391" s="4"/>
      <c r="Q2391" s="8"/>
      <c r="R2391" s="4"/>
      <c r="S2391" s="4"/>
    </row>
    <row r="2392" customFormat="false" ht="15" hidden="false" customHeight="false" outlineLevel="0" collapsed="false">
      <c r="A2392" s="4"/>
      <c r="B2392" s="8"/>
      <c r="C2392" s="8"/>
      <c r="D2392" s="8"/>
      <c r="E2392" s="8"/>
      <c r="F2392" s="8"/>
      <c r="G2392" s="8"/>
      <c r="H2392" s="8"/>
      <c r="I2392" s="8"/>
      <c r="J2392" s="8"/>
      <c r="K2392" s="8"/>
      <c r="L2392" s="8"/>
      <c r="M2392" s="8"/>
      <c r="N2392" s="8"/>
      <c r="O2392" s="8"/>
      <c r="P2392" s="4"/>
      <c r="Q2392" s="8"/>
      <c r="R2392" s="4"/>
      <c r="S2392" s="4"/>
    </row>
    <row r="2393" customFormat="false" ht="15" hidden="false" customHeight="false" outlineLevel="0" collapsed="false">
      <c r="A2393" s="4"/>
      <c r="B2393" s="8"/>
      <c r="C2393" s="8"/>
      <c r="D2393" s="8"/>
      <c r="E2393" s="8"/>
      <c r="F2393" s="8"/>
      <c r="G2393" s="8"/>
      <c r="H2393" s="8"/>
      <c r="I2393" s="8"/>
      <c r="J2393" s="8"/>
      <c r="K2393" s="8"/>
      <c r="L2393" s="8"/>
      <c r="M2393" s="8"/>
      <c r="N2393" s="8"/>
      <c r="O2393" s="8"/>
      <c r="P2393" s="4"/>
      <c r="Q2393" s="8"/>
      <c r="R2393" s="4"/>
      <c r="S2393" s="4"/>
    </row>
    <row r="2394" customFormat="false" ht="15" hidden="false" customHeight="false" outlineLevel="0" collapsed="false">
      <c r="A2394" s="4"/>
      <c r="B2394" s="8"/>
      <c r="C2394" s="8"/>
      <c r="D2394" s="8"/>
      <c r="E2394" s="8"/>
      <c r="F2394" s="8"/>
      <c r="G2394" s="8"/>
      <c r="H2394" s="8"/>
      <c r="I2394" s="8"/>
      <c r="J2394" s="8"/>
      <c r="K2394" s="8"/>
      <c r="L2394" s="8"/>
      <c r="M2394" s="8"/>
      <c r="N2394" s="8"/>
      <c r="O2394" s="8"/>
      <c r="P2394" s="4"/>
      <c r="Q2394" s="8"/>
      <c r="R2394" s="4"/>
      <c r="S2394" s="4"/>
    </row>
    <row r="2395" customFormat="false" ht="15" hidden="false" customHeight="false" outlineLevel="0" collapsed="false">
      <c r="A2395" s="4"/>
      <c r="B2395" s="8"/>
      <c r="C2395" s="8"/>
      <c r="D2395" s="8"/>
      <c r="E2395" s="8"/>
      <c r="F2395" s="8"/>
      <c r="G2395" s="8"/>
      <c r="H2395" s="8"/>
      <c r="I2395" s="8"/>
      <c r="J2395" s="8"/>
      <c r="K2395" s="8"/>
      <c r="L2395" s="8"/>
      <c r="M2395" s="8"/>
      <c r="N2395" s="8"/>
      <c r="O2395" s="8"/>
      <c r="P2395" s="4"/>
      <c r="Q2395" s="8"/>
      <c r="R2395" s="4"/>
      <c r="S2395" s="4"/>
    </row>
    <row r="2396" customFormat="false" ht="15" hidden="false" customHeight="false" outlineLevel="0" collapsed="false">
      <c r="A2396" s="4"/>
      <c r="B2396" s="8"/>
      <c r="C2396" s="8"/>
      <c r="D2396" s="8"/>
      <c r="E2396" s="8"/>
      <c r="F2396" s="8"/>
      <c r="G2396" s="8"/>
      <c r="H2396" s="8"/>
      <c r="I2396" s="8"/>
      <c r="J2396" s="8"/>
      <c r="K2396" s="8"/>
      <c r="L2396" s="8"/>
      <c r="M2396" s="8"/>
      <c r="N2396" s="8"/>
      <c r="O2396" s="8"/>
      <c r="P2396" s="4"/>
      <c r="Q2396" s="8"/>
      <c r="R2396" s="4"/>
      <c r="S2396" s="4"/>
    </row>
    <row r="2397" customFormat="false" ht="15" hidden="false" customHeight="false" outlineLevel="0" collapsed="false">
      <c r="A2397" s="4"/>
      <c r="B2397" s="8"/>
      <c r="C2397" s="8"/>
      <c r="D2397" s="8"/>
      <c r="E2397" s="8"/>
      <c r="F2397" s="8"/>
      <c r="G2397" s="8"/>
      <c r="H2397" s="8"/>
      <c r="I2397" s="8"/>
      <c r="J2397" s="8"/>
      <c r="K2397" s="8"/>
      <c r="L2397" s="8"/>
      <c r="M2397" s="8"/>
      <c r="N2397" s="8"/>
      <c r="O2397" s="8"/>
      <c r="P2397" s="4"/>
      <c r="Q2397" s="8"/>
      <c r="R2397" s="4"/>
      <c r="S2397" s="4"/>
    </row>
    <row r="2398" customFormat="false" ht="15" hidden="false" customHeight="false" outlineLevel="0" collapsed="false">
      <c r="A2398" s="4"/>
      <c r="B2398" s="8"/>
      <c r="C2398" s="8"/>
      <c r="D2398" s="8"/>
      <c r="E2398" s="8"/>
      <c r="F2398" s="8"/>
      <c r="G2398" s="8"/>
      <c r="H2398" s="8"/>
      <c r="I2398" s="8"/>
      <c r="J2398" s="8"/>
      <c r="K2398" s="8"/>
      <c r="L2398" s="8"/>
      <c r="M2398" s="8"/>
      <c r="N2398" s="8"/>
      <c r="O2398" s="8"/>
      <c r="P2398" s="4"/>
      <c r="Q2398" s="8"/>
      <c r="R2398" s="4"/>
      <c r="S2398" s="4"/>
    </row>
    <row r="2399" customFormat="false" ht="15" hidden="false" customHeight="false" outlineLevel="0" collapsed="false">
      <c r="A2399" s="4"/>
      <c r="B2399" s="8"/>
      <c r="C2399" s="8"/>
      <c r="D2399" s="8"/>
      <c r="E2399" s="8"/>
      <c r="F2399" s="8"/>
      <c r="G2399" s="8"/>
      <c r="H2399" s="8"/>
      <c r="I2399" s="8"/>
      <c r="J2399" s="8"/>
      <c r="K2399" s="8"/>
      <c r="L2399" s="8"/>
      <c r="M2399" s="8"/>
      <c r="N2399" s="8"/>
      <c r="O2399" s="8"/>
      <c r="P2399" s="4"/>
      <c r="Q2399" s="8"/>
      <c r="R2399" s="4"/>
      <c r="S2399" s="4"/>
    </row>
    <row r="2400" customFormat="false" ht="15" hidden="false" customHeight="false" outlineLevel="0" collapsed="false">
      <c r="A2400" s="4"/>
      <c r="B2400" s="8"/>
      <c r="C2400" s="8"/>
      <c r="D2400" s="8"/>
      <c r="E2400" s="8"/>
      <c r="F2400" s="8"/>
      <c r="G2400" s="8"/>
      <c r="H2400" s="8"/>
      <c r="I2400" s="8"/>
      <c r="J2400" s="8"/>
      <c r="K2400" s="8"/>
      <c r="L2400" s="8"/>
      <c r="M2400" s="8"/>
      <c r="N2400" s="8"/>
      <c r="O2400" s="8"/>
      <c r="P2400" s="4"/>
      <c r="Q2400" s="8"/>
      <c r="R2400" s="4"/>
      <c r="S2400" s="4"/>
    </row>
    <row r="2401" customFormat="false" ht="15" hidden="false" customHeight="false" outlineLevel="0" collapsed="false">
      <c r="A2401" s="4"/>
      <c r="B2401" s="8"/>
      <c r="C2401" s="8"/>
      <c r="D2401" s="8"/>
      <c r="E2401" s="8"/>
      <c r="F2401" s="8"/>
      <c r="G2401" s="8"/>
      <c r="H2401" s="8"/>
      <c r="I2401" s="8"/>
      <c r="J2401" s="8"/>
      <c r="K2401" s="8"/>
      <c r="L2401" s="8"/>
      <c r="M2401" s="8"/>
      <c r="N2401" s="8"/>
      <c r="O2401" s="8"/>
      <c r="P2401" s="4"/>
      <c r="Q2401" s="8"/>
      <c r="R2401" s="4"/>
      <c r="S2401" s="4"/>
    </row>
    <row r="2402" customFormat="false" ht="15" hidden="false" customHeight="false" outlineLevel="0" collapsed="false">
      <c r="A2402" s="4"/>
      <c r="B2402" s="8"/>
      <c r="C2402" s="8"/>
      <c r="D2402" s="8"/>
      <c r="E2402" s="8"/>
      <c r="F2402" s="8"/>
      <c r="G2402" s="8"/>
      <c r="H2402" s="8"/>
      <c r="I2402" s="8"/>
      <c r="J2402" s="8"/>
      <c r="K2402" s="8"/>
      <c r="L2402" s="8"/>
      <c r="M2402" s="8"/>
      <c r="N2402" s="8"/>
      <c r="O2402" s="8"/>
      <c r="P2402" s="4"/>
      <c r="Q2402" s="8"/>
      <c r="R2402" s="4"/>
      <c r="S2402" s="4"/>
    </row>
    <row r="2403" customFormat="false" ht="15" hidden="false" customHeight="false" outlineLevel="0" collapsed="false">
      <c r="A2403" s="4"/>
      <c r="B2403" s="8"/>
      <c r="C2403" s="8"/>
      <c r="D2403" s="8"/>
      <c r="E2403" s="8"/>
      <c r="F2403" s="8"/>
      <c r="G2403" s="8"/>
      <c r="H2403" s="8"/>
      <c r="I2403" s="8"/>
      <c r="J2403" s="8"/>
      <c r="K2403" s="8"/>
      <c r="L2403" s="8"/>
      <c r="M2403" s="8"/>
      <c r="N2403" s="8"/>
      <c r="O2403" s="8"/>
      <c r="P2403" s="4"/>
      <c r="Q2403" s="8"/>
      <c r="R2403" s="4"/>
      <c r="S2403" s="4"/>
    </row>
    <row r="2404" customFormat="false" ht="15" hidden="false" customHeight="false" outlineLevel="0" collapsed="false">
      <c r="A2404" s="4"/>
      <c r="B2404" s="8"/>
      <c r="C2404" s="8"/>
      <c r="D2404" s="8"/>
      <c r="E2404" s="8"/>
      <c r="F2404" s="8"/>
      <c r="G2404" s="8"/>
      <c r="H2404" s="8"/>
      <c r="I2404" s="8"/>
      <c r="J2404" s="8"/>
      <c r="K2404" s="8"/>
      <c r="L2404" s="8"/>
      <c r="M2404" s="8"/>
      <c r="N2404" s="8"/>
      <c r="O2404" s="8"/>
      <c r="P2404" s="4"/>
      <c r="Q2404" s="8"/>
      <c r="R2404" s="4"/>
      <c r="S2404" s="4"/>
    </row>
    <row r="2405" customFormat="false" ht="15" hidden="false" customHeight="false" outlineLevel="0" collapsed="false">
      <c r="A2405" s="4"/>
      <c r="B2405" s="8"/>
      <c r="C2405" s="8"/>
      <c r="D2405" s="8"/>
      <c r="E2405" s="8"/>
      <c r="F2405" s="8"/>
      <c r="G2405" s="8"/>
      <c r="H2405" s="8"/>
      <c r="I2405" s="8"/>
      <c r="J2405" s="8"/>
      <c r="K2405" s="8"/>
      <c r="L2405" s="8"/>
      <c r="M2405" s="8"/>
      <c r="N2405" s="8"/>
      <c r="O2405" s="8"/>
      <c r="P2405" s="4"/>
      <c r="Q2405" s="8"/>
      <c r="R2405" s="4"/>
      <c r="S2405" s="4"/>
    </row>
    <row r="2406" customFormat="false" ht="15" hidden="false" customHeight="false" outlineLevel="0" collapsed="false">
      <c r="A2406" s="4"/>
      <c r="B2406" s="8"/>
      <c r="C2406" s="8"/>
      <c r="D2406" s="8"/>
      <c r="E2406" s="8"/>
      <c r="F2406" s="8"/>
      <c r="G2406" s="8"/>
      <c r="H2406" s="8"/>
      <c r="I2406" s="8"/>
      <c r="J2406" s="8"/>
      <c r="K2406" s="8"/>
      <c r="L2406" s="8"/>
      <c r="M2406" s="8"/>
      <c r="N2406" s="8"/>
      <c r="O2406" s="8"/>
      <c r="P2406" s="4"/>
      <c r="Q2406" s="8"/>
      <c r="R2406" s="4"/>
      <c r="S2406" s="4"/>
    </row>
    <row r="2407" customFormat="false" ht="15" hidden="false" customHeight="false" outlineLevel="0" collapsed="false">
      <c r="A2407" s="4"/>
      <c r="B2407" s="8"/>
      <c r="C2407" s="8"/>
      <c r="D2407" s="8"/>
      <c r="E2407" s="8"/>
      <c r="F2407" s="8"/>
      <c r="G2407" s="8"/>
      <c r="H2407" s="8"/>
      <c r="I2407" s="8"/>
      <c r="J2407" s="8"/>
      <c r="K2407" s="8"/>
      <c r="L2407" s="8"/>
      <c r="M2407" s="8"/>
      <c r="N2407" s="8"/>
      <c r="O2407" s="8"/>
      <c r="P2407" s="4"/>
      <c r="Q2407" s="8"/>
      <c r="R2407" s="4"/>
      <c r="S2407" s="4"/>
    </row>
    <row r="2408" customFormat="false" ht="15" hidden="false" customHeight="false" outlineLevel="0" collapsed="false">
      <c r="A2408" s="4"/>
      <c r="B2408" s="8"/>
      <c r="C2408" s="8"/>
      <c r="D2408" s="8"/>
      <c r="E2408" s="8"/>
      <c r="F2408" s="8"/>
      <c r="G2408" s="8"/>
      <c r="H2408" s="8"/>
      <c r="I2408" s="8"/>
      <c r="J2408" s="8"/>
      <c r="K2408" s="8"/>
      <c r="L2408" s="8"/>
      <c r="M2408" s="8"/>
      <c r="N2408" s="8"/>
      <c r="O2408" s="8"/>
      <c r="P2408" s="4"/>
      <c r="Q2408" s="8"/>
      <c r="R2408" s="4"/>
      <c r="S2408" s="4"/>
    </row>
    <row r="2409" customFormat="false" ht="15" hidden="false" customHeight="false" outlineLevel="0" collapsed="false">
      <c r="A2409" s="4"/>
      <c r="B2409" s="8"/>
      <c r="C2409" s="8"/>
      <c r="D2409" s="8"/>
      <c r="E2409" s="8"/>
      <c r="F2409" s="8"/>
      <c r="G2409" s="8"/>
      <c r="H2409" s="8"/>
      <c r="I2409" s="8"/>
      <c r="J2409" s="8"/>
      <c r="K2409" s="8"/>
      <c r="L2409" s="8"/>
      <c r="M2409" s="8"/>
      <c r="N2409" s="8"/>
      <c r="O2409" s="8"/>
      <c r="P2409" s="4"/>
      <c r="Q2409" s="8"/>
      <c r="R2409" s="4"/>
      <c r="S2409" s="4"/>
    </row>
    <row r="2410" customFormat="false" ht="15" hidden="false" customHeight="false" outlineLevel="0" collapsed="false">
      <c r="A2410" s="4"/>
      <c r="B2410" s="8"/>
      <c r="C2410" s="8"/>
      <c r="D2410" s="8"/>
      <c r="E2410" s="8"/>
      <c r="F2410" s="8"/>
      <c r="G2410" s="8"/>
      <c r="H2410" s="8"/>
      <c r="I2410" s="8"/>
      <c r="J2410" s="8"/>
      <c r="K2410" s="8"/>
      <c r="L2410" s="8"/>
      <c r="M2410" s="8"/>
      <c r="N2410" s="8"/>
      <c r="O2410" s="8"/>
      <c r="P2410" s="4"/>
      <c r="Q2410" s="8"/>
      <c r="R2410" s="4"/>
      <c r="S2410" s="4"/>
    </row>
    <row r="2411" customFormat="false" ht="15" hidden="false" customHeight="false" outlineLevel="0" collapsed="false">
      <c r="A2411" s="4"/>
      <c r="B2411" s="8"/>
      <c r="C2411" s="8"/>
      <c r="D2411" s="8"/>
      <c r="E2411" s="8"/>
      <c r="F2411" s="8"/>
      <c r="G2411" s="8"/>
      <c r="H2411" s="8"/>
      <c r="I2411" s="8"/>
      <c r="J2411" s="8"/>
      <c r="K2411" s="8"/>
      <c r="L2411" s="8"/>
      <c r="M2411" s="8"/>
      <c r="N2411" s="8"/>
      <c r="O2411" s="8"/>
      <c r="P2411" s="4"/>
      <c r="Q2411" s="8"/>
      <c r="R2411" s="4"/>
      <c r="S2411" s="4"/>
    </row>
    <row r="2412" customFormat="false" ht="15" hidden="false" customHeight="false" outlineLevel="0" collapsed="false">
      <c r="A2412" s="4"/>
      <c r="B2412" s="8"/>
      <c r="C2412" s="8"/>
      <c r="D2412" s="8"/>
      <c r="E2412" s="8"/>
      <c r="F2412" s="8"/>
      <c r="G2412" s="8"/>
      <c r="H2412" s="8"/>
      <c r="I2412" s="8"/>
      <c r="J2412" s="8"/>
      <c r="K2412" s="8"/>
      <c r="L2412" s="8"/>
      <c r="M2412" s="8"/>
      <c r="N2412" s="8"/>
      <c r="O2412" s="8"/>
      <c r="P2412" s="4"/>
      <c r="Q2412" s="8"/>
      <c r="R2412" s="4"/>
      <c r="S2412" s="4"/>
    </row>
    <row r="2413" customFormat="false" ht="15" hidden="false" customHeight="false" outlineLevel="0" collapsed="false">
      <c r="A2413" s="4"/>
      <c r="B2413" s="8"/>
      <c r="C2413" s="8"/>
      <c r="D2413" s="8"/>
      <c r="E2413" s="8"/>
      <c r="F2413" s="8"/>
      <c r="G2413" s="8"/>
      <c r="H2413" s="8"/>
      <c r="I2413" s="8"/>
      <c r="J2413" s="8"/>
      <c r="K2413" s="8"/>
      <c r="L2413" s="8"/>
      <c r="M2413" s="8"/>
      <c r="N2413" s="8"/>
      <c r="O2413" s="8"/>
      <c r="P2413" s="4"/>
      <c r="Q2413" s="8"/>
      <c r="R2413" s="4"/>
      <c r="S2413" s="4"/>
    </row>
    <row r="2414" customFormat="false" ht="15" hidden="false" customHeight="false" outlineLevel="0" collapsed="false">
      <c r="A2414" s="4"/>
      <c r="B2414" s="8"/>
      <c r="C2414" s="8"/>
      <c r="D2414" s="8"/>
      <c r="E2414" s="8"/>
      <c r="F2414" s="8"/>
      <c r="G2414" s="8"/>
      <c r="H2414" s="8"/>
      <c r="I2414" s="8"/>
      <c r="J2414" s="8"/>
      <c r="K2414" s="8"/>
      <c r="L2414" s="8"/>
      <c r="M2414" s="8"/>
      <c r="N2414" s="8"/>
      <c r="O2414" s="8"/>
      <c r="P2414" s="4"/>
      <c r="Q2414" s="8"/>
      <c r="R2414" s="4"/>
      <c r="S2414" s="4"/>
    </row>
    <row r="2415" customFormat="false" ht="15" hidden="false" customHeight="false" outlineLevel="0" collapsed="false">
      <c r="A2415" s="4"/>
      <c r="B2415" s="8"/>
      <c r="C2415" s="8"/>
      <c r="D2415" s="8"/>
      <c r="E2415" s="8"/>
      <c r="F2415" s="8"/>
      <c r="G2415" s="8"/>
      <c r="H2415" s="8"/>
      <c r="I2415" s="8"/>
      <c r="J2415" s="8"/>
      <c r="K2415" s="8"/>
      <c r="L2415" s="8"/>
      <c r="M2415" s="8"/>
      <c r="N2415" s="8"/>
      <c r="O2415" s="8"/>
      <c r="P2415" s="4"/>
      <c r="Q2415" s="8"/>
      <c r="R2415" s="4"/>
      <c r="S2415" s="4"/>
    </row>
    <row r="2416" customFormat="false" ht="15" hidden="false" customHeight="false" outlineLevel="0" collapsed="false">
      <c r="A2416" s="4"/>
      <c r="B2416" s="8"/>
      <c r="C2416" s="8"/>
      <c r="D2416" s="8"/>
      <c r="E2416" s="8"/>
      <c r="F2416" s="8"/>
      <c r="G2416" s="8"/>
      <c r="H2416" s="8"/>
      <c r="I2416" s="8"/>
      <c r="J2416" s="8"/>
      <c r="K2416" s="8"/>
      <c r="L2416" s="8"/>
      <c r="M2416" s="8"/>
      <c r="N2416" s="8"/>
      <c r="O2416" s="8"/>
      <c r="P2416" s="4"/>
      <c r="Q2416" s="8"/>
      <c r="R2416" s="4"/>
      <c r="S2416" s="4"/>
    </row>
    <row r="2417" customFormat="false" ht="15" hidden="false" customHeight="false" outlineLevel="0" collapsed="false">
      <c r="A2417" s="4"/>
      <c r="B2417" s="8"/>
      <c r="C2417" s="8"/>
      <c r="D2417" s="8"/>
      <c r="E2417" s="8"/>
      <c r="F2417" s="8"/>
      <c r="G2417" s="8"/>
      <c r="H2417" s="8"/>
      <c r="I2417" s="8"/>
      <c r="J2417" s="8"/>
      <c r="K2417" s="8"/>
      <c r="L2417" s="8"/>
      <c r="M2417" s="8"/>
      <c r="N2417" s="8"/>
      <c r="O2417" s="8"/>
      <c r="P2417" s="4"/>
      <c r="Q2417" s="8"/>
      <c r="R2417" s="4"/>
      <c r="S2417" s="4"/>
    </row>
    <row r="2418" customFormat="false" ht="15" hidden="false" customHeight="false" outlineLevel="0" collapsed="false">
      <c r="A2418" s="4"/>
      <c r="B2418" s="8"/>
      <c r="C2418" s="8"/>
      <c r="D2418" s="8"/>
      <c r="E2418" s="8"/>
      <c r="F2418" s="8"/>
      <c r="G2418" s="8"/>
      <c r="H2418" s="8"/>
      <c r="I2418" s="8"/>
      <c r="J2418" s="8"/>
      <c r="K2418" s="8"/>
      <c r="L2418" s="8"/>
      <c r="M2418" s="8"/>
      <c r="N2418" s="8"/>
      <c r="O2418" s="8"/>
      <c r="P2418" s="4"/>
      <c r="Q2418" s="8"/>
      <c r="R2418" s="4"/>
      <c r="S2418" s="4"/>
    </row>
    <row r="2419" customFormat="false" ht="15" hidden="false" customHeight="false" outlineLevel="0" collapsed="false">
      <c r="A2419" s="4"/>
      <c r="B2419" s="8"/>
      <c r="C2419" s="8"/>
      <c r="D2419" s="8"/>
      <c r="E2419" s="8"/>
      <c r="F2419" s="8"/>
      <c r="G2419" s="8"/>
      <c r="H2419" s="8"/>
      <c r="I2419" s="8"/>
      <c r="J2419" s="8"/>
      <c r="K2419" s="8"/>
      <c r="L2419" s="8"/>
      <c r="M2419" s="8"/>
      <c r="N2419" s="8"/>
      <c r="O2419" s="8"/>
      <c r="P2419" s="4"/>
      <c r="Q2419" s="8"/>
      <c r="R2419" s="4"/>
      <c r="S2419" s="4"/>
    </row>
    <row r="2420" customFormat="false" ht="15" hidden="false" customHeight="false" outlineLevel="0" collapsed="false">
      <c r="A2420" s="4"/>
      <c r="B2420" s="8"/>
      <c r="C2420" s="8"/>
      <c r="D2420" s="8"/>
      <c r="E2420" s="8"/>
      <c r="F2420" s="8"/>
      <c r="G2420" s="8"/>
      <c r="H2420" s="8"/>
      <c r="I2420" s="8"/>
      <c r="J2420" s="8"/>
      <c r="K2420" s="8"/>
      <c r="L2420" s="8"/>
      <c r="M2420" s="8"/>
      <c r="N2420" s="8"/>
      <c r="O2420" s="8"/>
      <c r="P2420" s="4"/>
      <c r="Q2420" s="8"/>
      <c r="R2420" s="4"/>
      <c r="S2420" s="4"/>
    </row>
    <row r="2421" customFormat="false" ht="15" hidden="false" customHeight="false" outlineLevel="0" collapsed="false">
      <c r="A2421" s="4"/>
      <c r="B2421" s="8"/>
      <c r="C2421" s="8"/>
      <c r="D2421" s="8"/>
      <c r="E2421" s="8"/>
      <c r="F2421" s="8"/>
      <c r="G2421" s="8"/>
      <c r="H2421" s="8"/>
      <c r="I2421" s="8"/>
      <c r="J2421" s="8"/>
      <c r="K2421" s="8"/>
      <c r="L2421" s="8"/>
      <c r="M2421" s="8"/>
      <c r="N2421" s="8"/>
      <c r="O2421" s="8"/>
      <c r="P2421" s="4"/>
      <c r="Q2421" s="8"/>
      <c r="R2421" s="4"/>
      <c r="S2421" s="4"/>
    </row>
    <row r="2422" customFormat="false" ht="15" hidden="false" customHeight="false" outlineLevel="0" collapsed="false">
      <c r="A2422" s="4"/>
      <c r="B2422" s="8"/>
      <c r="C2422" s="8"/>
      <c r="D2422" s="8"/>
      <c r="E2422" s="8"/>
      <c r="F2422" s="8"/>
      <c r="G2422" s="8"/>
      <c r="H2422" s="8"/>
      <c r="I2422" s="8"/>
      <c r="J2422" s="8"/>
      <c r="K2422" s="8"/>
      <c r="L2422" s="8"/>
      <c r="M2422" s="8"/>
      <c r="N2422" s="8"/>
      <c r="O2422" s="8"/>
      <c r="P2422" s="4"/>
      <c r="Q2422" s="8"/>
      <c r="R2422" s="4"/>
      <c r="S2422" s="4"/>
    </row>
    <row r="2423" customFormat="false" ht="15" hidden="false" customHeight="false" outlineLevel="0" collapsed="false">
      <c r="A2423" s="4"/>
      <c r="B2423" s="8"/>
      <c r="C2423" s="8"/>
      <c r="D2423" s="8"/>
      <c r="E2423" s="8"/>
      <c r="F2423" s="8"/>
      <c r="G2423" s="8"/>
      <c r="H2423" s="8"/>
      <c r="I2423" s="8"/>
      <c r="J2423" s="8"/>
      <c r="K2423" s="8"/>
      <c r="L2423" s="8"/>
      <c r="M2423" s="8"/>
      <c r="N2423" s="8"/>
      <c r="O2423" s="8"/>
      <c r="P2423" s="4"/>
      <c r="Q2423" s="8"/>
      <c r="R2423" s="4"/>
      <c r="S2423" s="4"/>
    </row>
    <row r="2424" customFormat="false" ht="15" hidden="false" customHeight="false" outlineLevel="0" collapsed="false">
      <c r="A2424" s="4"/>
      <c r="B2424" s="8"/>
      <c r="C2424" s="8"/>
      <c r="D2424" s="8"/>
      <c r="E2424" s="8"/>
      <c r="F2424" s="8"/>
      <c r="G2424" s="8"/>
      <c r="H2424" s="8"/>
      <c r="I2424" s="8"/>
      <c r="J2424" s="8"/>
      <c r="K2424" s="8"/>
      <c r="L2424" s="8"/>
      <c r="M2424" s="8"/>
      <c r="N2424" s="8"/>
      <c r="O2424" s="8"/>
      <c r="P2424" s="4"/>
      <c r="Q2424" s="8"/>
      <c r="R2424" s="4"/>
      <c r="S2424" s="4"/>
    </row>
    <row r="2425" customFormat="false" ht="15" hidden="false" customHeight="false" outlineLevel="0" collapsed="false">
      <c r="A2425" s="4"/>
      <c r="B2425" s="8"/>
      <c r="C2425" s="8"/>
      <c r="D2425" s="8"/>
      <c r="E2425" s="8"/>
      <c r="F2425" s="8"/>
      <c r="G2425" s="8"/>
      <c r="H2425" s="8"/>
      <c r="I2425" s="8"/>
      <c r="J2425" s="8"/>
      <c r="K2425" s="8"/>
      <c r="L2425" s="8"/>
      <c r="M2425" s="8"/>
      <c r="N2425" s="8"/>
      <c r="O2425" s="8"/>
      <c r="P2425" s="4"/>
      <c r="Q2425" s="8"/>
      <c r="R2425" s="4"/>
      <c r="S2425" s="4"/>
    </row>
    <row r="2426" customFormat="false" ht="15" hidden="false" customHeight="false" outlineLevel="0" collapsed="false">
      <c r="A2426" s="4"/>
      <c r="B2426" s="8"/>
      <c r="C2426" s="8"/>
      <c r="D2426" s="8"/>
      <c r="E2426" s="8"/>
      <c r="F2426" s="8"/>
      <c r="G2426" s="8"/>
      <c r="H2426" s="8"/>
      <c r="I2426" s="8"/>
      <c r="J2426" s="8"/>
      <c r="K2426" s="8"/>
      <c r="L2426" s="8"/>
      <c r="M2426" s="8"/>
      <c r="N2426" s="8"/>
      <c r="O2426" s="8"/>
      <c r="P2426" s="4"/>
      <c r="Q2426" s="8"/>
      <c r="R2426" s="4"/>
      <c r="S2426" s="4"/>
    </row>
    <row r="2427" customFormat="false" ht="15" hidden="false" customHeight="false" outlineLevel="0" collapsed="false">
      <c r="A2427" s="4"/>
      <c r="B2427" s="8"/>
      <c r="C2427" s="8"/>
      <c r="D2427" s="8"/>
      <c r="E2427" s="8"/>
      <c r="F2427" s="8"/>
      <c r="G2427" s="8"/>
      <c r="H2427" s="8"/>
      <c r="I2427" s="8"/>
      <c r="J2427" s="8"/>
      <c r="K2427" s="8"/>
      <c r="L2427" s="8"/>
      <c r="M2427" s="8"/>
      <c r="N2427" s="8"/>
      <c r="O2427" s="8"/>
      <c r="P2427" s="4"/>
      <c r="Q2427" s="8"/>
      <c r="R2427" s="4"/>
      <c r="S2427" s="4"/>
    </row>
    <row r="2428" customFormat="false" ht="15" hidden="false" customHeight="false" outlineLevel="0" collapsed="false">
      <c r="A2428" s="4"/>
      <c r="B2428" s="8"/>
      <c r="C2428" s="8"/>
      <c r="D2428" s="8"/>
      <c r="E2428" s="8"/>
      <c r="F2428" s="8"/>
      <c r="G2428" s="8"/>
      <c r="H2428" s="8"/>
      <c r="I2428" s="8"/>
      <c r="J2428" s="8"/>
      <c r="K2428" s="8"/>
      <c r="L2428" s="8"/>
      <c r="M2428" s="8"/>
      <c r="N2428" s="8"/>
      <c r="O2428" s="8"/>
      <c r="P2428" s="4"/>
      <c r="Q2428" s="8"/>
      <c r="R2428" s="4"/>
      <c r="S2428" s="4"/>
    </row>
    <row r="2429" customFormat="false" ht="15" hidden="false" customHeight="false" outlineLevel="0" collapsed="false">
      <c r="A2429" s="4"/>
      <c r="B2429" s="8"/>
      <c r="C2429" s="8"/>
      <c r="D2429" s="8"/>
      <c r="E2429" s="8"/>
      <c r="F2429" s="8"/>
      <c r="G2429" s="8"/>
      <c r="H2429" s="8"/>
      <c r="I2429" s="8"/>
      <c r="J2429" s="8"/>
      <c r="K2429" s="8"/>
      <c r="L2429" s="8"/>
      <c r="M2429" s="8"/>
      <c r="N2429" s="8"/>
      <c r="O2429" s="8"/>
      <c r="P2429" s="4"/>
      <c r="Q2429" s="8"/>
      <c r="R2429" s="4"/>
      <c r="S2429" s="4"/>
    </row>
    <row r="2430" customFormat="false" ht="15" hidden="false" customHeight="false" outlineLevel="0" collapsed="false">
      <c r="A2430" s="4"/>
      <c r="B2430" s="8"/>
      <c r="C2430" s="8"/>
      <c r="D2430" s="8"/>
      <c r="E2430" s="8"/>
      <c r="F2430" s="8"/>
      <c r="G2430" s="8"/>
      <c r="H2430" s="8"/>
      <c r="I2430" s="8"/>
      <c r="J2430" s="8"/>
      <c r="K2430" s="8"/>
      <c r="L2430" s="8"/>
      <c r="M2430" s="8"/>
      <c r="N2430" s="8"/>
      <c r="O2430" s="8"/>
      <c r="P2430" s="4"/>
      <c r="Q2430" s="8"/>
      <c r="R2430" s="4"/>
      <c r="S2430" s="4"/>
    </row>
    <row r="2431" customFormat="false" ht="15" hidden="false" customHeight="false" outlineLevel="0" collapsed="false">
      <c r="A2431" s="4"/>
      <c r="B2431" s="8"/>
      <c r="C2431" s="8"/>
      <c r="D2431" s="8"/>
      <c r="E2431" s="8"/>
      <c r="F2431" s="8"/>
      <c r="G2431" s="8"/>
      <c r="H2431" s="8"/>
      <c r="I2431" s="8"/>
      <c r="J2431" s="8"/>
      <c r="K2431" s="8"/>
      <c r="L2431" s="8"/>
      <c r="M2431" s="8"/>
      <c r="N2431" s="8"/>
      <c r="O2431" s="8"/>
      <c r="P2431" s="4"/>
      <c r="Q2431" s="8"/>
      <c r="R2431" s="4"/>
      <c r="S2431" s="4"/>
    </row>
    <row r="2432" customFormat="false" ht="15" hidden="false" customHeight="false" outlineLevel="0" collapsed="false">
      <c r="A2432" s="4"/>
      <c r="B2432" s="8"/>
      <c r="C2432" s="8"/>
      <c r="D2432" s="8"/>
      <c r="E2432" s="8"/>
      <c r="F2432" s="8"/>
      <c r="G2432" s="8"/>
      <c r="H2432" s="8"/>
      <c r="I2432" s="8"/>
      <c r="J2432" s="8"/>
      <c r="K2432" s="8"/>
      <c r="L2432" s="8"/>
      <c r="M2432" s="8"/>
      <c r="N2432" s="8"/>
      <c r="O2432" s="8"/>
      <c r="P2432" s="4"/>
      <c r="Q2432" s="8"/>
      <c r="R2432" s="4"/>
      <c r="S2432" s="4"/>
    </row>
    <row r="2433" customFormat="false" ht="15" hidden="false" customHeight="false" outlineLevel="0" collapsed="false">
      <c r="A2433" s="4"/>
      <c r="B2433" s="8"/>
      <c r="C2433" s="8"/>
      <c r="D2433" s="8"/>
      <c r="E2433" s="8"/>
      <c r="F2433" s="8"/>
      <c r="G2433" s="8"/>
      <c r="H2433" s="8"/>
      <c r="I2433" s="8"/>
      <c r="J2433" s="8"/>
      <c r="K2433" s="8"/>
      <c r="L2433" s="8"/>
      <c r="M2433" s="8"/>
      <c r="N2433" s="8"/>
      <c r="O2433" s="8"/>
      <c r="P2433" s="4"/>
      <c r="Q2433" s="8"/>
      <c r="R2433" s="4"/>
      <c r="S2433" s="4"/>
    </row>
    <row r="2434" customFormat="false" ht="15" hidden="false" customHeight="false" outlineLevel="0" collapsed="false">
      <c r="A2434" s="4"/>
      <c r="B2434" s="8"/>
      <c r="C2434" s="8"/>
      <c r="D2434" s="8"/>
      <c r="E2434" s="8"/>
      <c r="F2434" s="8"/>
      <c r="G2434" s="8"/>
      <c r="H2434" s="8"/>
      <c r="I2434" s="8"/>
      <c r="J2434" s="8"/>
      <c r="K2434" s="8"/>
      <c r="L2434" s="8"/>
      <c r="M2434" s="8"/>
      <c r="N2434" s="8"/>
      <c r="O2434" s="8"/>
      <c r="P2434" s="4"/>
      <c r="Q2434" s="8"/>
      <c r="R2434" s="4"/>
      <c r="S2434" s="4"/>
    </row>
    <row r="2435" customFormat="false" ht="15" hidden="false" customHeight="false" outlineLevel="0" collapsed="false">
      <c r="A2435" s="4"/>
      <c r="B2435" s="8"/>
      <c r="C2435" s="8"/>
      <c r="D2435" s="8"/>
      <c r="E2435" s="8"/>
      <c r="F2435" s="8"/>
      <c r="G2435" s="8"/>
      <c r="H2435" s="8"/>
      <c r="I2435" s="8"/>
      <c r="J2435" s="8"/>
      <c r="K2435" s="8"/>
      <c r="L2435" s="8"/>
      <c r="M2435" s="8"/>
      <c r="N2435" s="8"/>
      <c r="O2435" s="8"/>
      <c r="P2435" s="4"/>
      <c r="Q2435" s="8"/>
      <c r="R2435" s="4"/>
      <c r="S2435" s="4"/>
    </row>
    <row r="2436" customFormat="false" ht="15" hidden="false" customHeight="false" outlineLevel="0" collapsed="false">
      <c r="A2436" s="4"/>
      <c r="B2436" s="8"/>
      <c r="C2436" s="8"/>
      <c r="D2436" s="8"/>
      <c r="E2436" s="8"/>
      <c r="F2436" s="8"/>
      <c r="G2436" s="8"/>
      <c r="H2436" s="8"/>
      <c r="I2436" s="8"/>
      <c r="J2436" s="8"/>
      <c r="K2436" s="8"/>
      <c r="L2436" s="8"/>
      <c r="M2436" s="8"/>
      <c r="N2436" s="8"/>
      <c r="O2436" s="8"/>
      <c r="P2436" s="4"/>
      <c r="Q2436" s="8"/>
      <c r="R2436" s="4"/>
      <c r="S2436" s="4"/>
    </row>
    <row r="2437" customFormat="false" ht="15" hidden="false" customHeight="false" outlineLevel="0" collapsed="false">
      <c r="A2437" s="4"/>
      <c r="B2437" s="8"/>
      <c r="C2437" s="8"/>
      <c r="D2437" s="8"/>
      <c r="E2437" s="8"/>
      <c r="F2437" s="8"/>
      <c r="G2437" s="8"/>
      <c r="H2437" s="8"/>
      <c r="I2437" s="8"/>
      <c r="J2437" s="8"/>
      <c r="K2437" s="8"/>
      <c r="L2437" s="8"/>
      <c r="M2437" s="8"/>
      <c r="N2437" s="8"/>
      <c r="O2437" s="8"/>
      <c r="P2437" s="4"/>
      <c r="Q2437" s="8"/>
      <c r="R2437" s="4"/>
      <c r="S2437" s="4"/>
    </row>
    <row r="2438" customFormat="false" ht="15" hidden="false" customHeight="false" outlineLevel="0" collapsed="false">
      <c r="A2438" s="4"/>
      <c r="B2438" s="8"/>
      <c r="C2438" s="8"/>
      <c r="D2438" s="8"/>
      <c r="E2438" s="8"/>
      <c r="F2438" s="8"/>
      <c r="G2438" s="8"/>
      <c r="H2438" s="8"/>
      <c r="I2438" s="8"/>
      <c r="J2438" s="8"/>
      <c r="K2438" s="8"/>
      <c r="L2438" s="8"/>
      <c r="M2438" s="8"/>
      <c r="N2438" s="8"/>
      <c r="O2438" s="8"/>
      <c r="P2438" s="4"/>
      <c r="Q2438" s="8"/>
      <c r="R2438" s="4"/>
      <c r="S2438" s="4"/>
    </row>
    <row r="2439" customFormat="false" ht="15" hidden="false" customHeight="false" outlineLevel="0" collapsed="false">
      <c r="A2439" s="4"/>
      <c r="B2439" s="8"/>
      <c r="C2439" s="8"/>
      <c r="D2439" s="8"/>
      <c r="E2439" s="8"/>
      <c r="F2439" s="8"/>
      <c r="G2439" s="8"/>
      <c r="H2439" s="8"/>
      <c r="I2439" s="8"/>
      <c r="J2439" s="8"/>
      <c r="K2439" s="8"/>
      <c r="L2439" s="8"/>
      <c r="M2439" s="8"/>
      <c r="N2439" s="8"/>
      <c r="O2439" s="8"/>
      <c r="P2439" s="4"/>
      <c r="Q2439" s="8"/>
      <c r="R2439" s="4"/>
      <c r="S2439" s="4"/>
    </row>
    <row r="2440" customFormat="false" ht="15" hidden="false" customHeight="false" outlineLevel="0" collapsed="false">
      <c r="A2440" s="4"/>
      <c r="B2440" s="8"/>
      <c r="C2440" s="8"/>
      <c r="D2440" s="8"/>
      <c r="E2440" s="8"/>
      <c r="F2440" s="8"/>
      <c r="G2440" s="8"/>
      <c r="H2440" s="8"/>
      <c r="I2440" s="8"/>
      <c r="J2440" s="8"/>
      <c r="K2440" s="8"/>
      <c r="L2440" s="8"/>
      <c r="M2440" s="8"/>
      <c r="N2440" s="8"/>
      <c r="O2440" s="8"/>
      <c r="P2440" s="4"/>
      <c r="Q2440" s="8"/>
      <c r="R2440" s="4"/>
      <c r="S2440" s="4"/>
    </row>
    <row r="2441" customFormat="false" ht="15" hidden="false" customHeight="false" outlineLevel="0" collapsed="false">
      <c r="A2441" s="4"/>
      <c r="B2441" s="8"/>
      <c r="C2441" s="8"/>
      <c r="D2441" s="8"/>
      <c r="E2441" s="8"/>
      <c r="F2441" s="8"/>
      <c r="G2441" s="8"/>
      <c r="H2441" s="8"/>
      <c r="I2441" s="8"/>
      <c r="J2441" s="8"/>
      <c r="K2441" s="8"/>
      <c r="L2441" s="8"/>
      <c r="M2441" s="8"/>
      <c r="N2441" s="8"/>
      <c r="O2441" s="8"/>
      <c r="P2441" s="4"/>
      <c r="Q2441" s="8"/>
      <c r="R2441" s="4"/>
      <c r="S2441" s="4"/>
    </row>
    <row r="2442" customFormat="false" ht="15" hidden="false" customHeight="false" outlineLevel="0" collapsed="false">
      <c r="A2442" s="4"/>
      <c r="B2442" s="8"/>
      <c r="C2442" s="8"/>
      <c r="D2442" s="8"/>
      <c r="E2442" s="8"/>
      <c r="F2442" s="8"/>
      <c r="G2442" s="8"/>
      <c r="H2442" s="8"/>
      <c r="I2442" s="8"/>
      <c r="J2442" s="8"/>
      <c r="K2442" s="8"/>
      <c r="L2442" s="8"/>
      <c r="M2442" s="8"/>
      <c r="N2442" s="8"/>
      <c r="O2442" s="8"/>
      <c r="P2442" s="4"/>
      <c r="Q2442" s="8"/>
      <c r="R2442" s="4"/>
      <c r="S2442" s="4"/>
    </row>
    <row r="2443" customFormat="false" ht="15" hidden="false" customHeight="false" outlineLevel="0" collapsed="false">
      <c r="A2443" s="4"/>
      <c r="B2443" s="8"/>
      <c r="C2443" s="8"/>
      <c r="D2443" s="8"/>
      <c r="E2443" s="8"/>
      <c r="F2443" s="8"/>
      <c r="G2443" s="8"/>
      <c r="H2443" s="8"/>
      <c r="I2443" s="8"/>
      <c r="J2443" s="8"/>
      <c r="K2443" s="8"/>
      <c r="L2443" s="8"/>
      <c r="M2443" s="8"/>
      <c r="N2443" s="8"/>
      <c r="O2443" s="8"/>
      <c r="P2443" s="4"/>
      <c r="Q2443" s="8"/>
      <c r="R2443" s="4"/>
      <c r="S2443" s="4"/>
    </row>
    <row r="2444" customFormat="false" ht="15" hidden="false" customHeight="false" outlineLevel="0" collapsed="false">
      <c r="A2444" s="4"/>
      <c r="B2444" s="8"/>
      <c r="C2444" s="8"/>
      <c r="D2444" s="8"/>
      <c r="E2444" s="8"/>
      <c r="F2444" s="8"/>
      <c r="G2444" s="8"/>
      <c r="H2444" s="8"/>
      <c r="I2444" s="8"/>
      <c r="J2444" s="8"/>
      <c r="K2444" s="8"/>
      <c r="L2444" s="8"/>
      <c r="M2444" s="8"/>
      <c r="N2444" s="8"/>
      <c r="O2444" s="8"/>
      <c r="P2444" s="4"/>
      <c r="Q2444" s="8"/>
      <c r="R2444" s="4"/>
      <c r="S2444" s="4"/>
    </row>
    <row r="2445" customFormat="false" ht="15" hidden="false" customHeight="false" outlineLevel="0" collapsed="false">
      <c r="A2445" s="4"/>
      <c r="B2445" s="8"/>
      <c r="C2445" s="8"/>
      <c r="D2445" s="8"/>
      <c r="E2445" s="8"/>
      <c r="F2445" s="8"/>
      <c r="G2445" s="8"/>
      <c r="H2445" s="8"/>
      <c r="I2445" s="8"/>
      <c r="J2445" s="8"/>
      <c r="K2445" s="8"/>
      <c r="L2445" s="8"/>
      <c r="M2445" s="8"/>
      <c r="N2445" s="8"/>
      <c r="O2445" s="8"/>
      <c r="P2445" s="4"/>
      <c r="Q2445" s="8"/>
      <c r="R2445" s="4"/>
      <c r="S2445" s="4"/>
    </row>
    <row r="2446" customFormat="false" ht="15" hidden="false" customHeight="false" outlineLevel="0" collapsed="false">
      <c r="A2446" s="4"/>
      <c r="B2446" s="8"/>
      <c r="C2446" s="8"/>
      <c r="D2446" s="8"/>
      <c r="E2446" s="8"/>
      <c r="F2446" s="8"/>
      <c r="G2446" s="8"/>
      <c r="H2446" s="8"/>
      <c r="I2446" s="8"/>
      <c r="J2446" s="8"/>
      <c r="K2446" s="8"/>
      <c r="L2446" s="8"/>
      <c r="M2446" s="8"/>
      <c r="N2446" s="8"/>
      <c r="O2446" s="8"/>
      <c r="P2446" s="4"/>
      <c r="Q2446" s="8"/>
      <c r="R2446" s="4"/>
      <c r="S2446" s="4"/>
    </row>
    <row r="2447" customFormat="false" ht="15" hidden="false" customHeight="false" outlineLevel="0" collapsed="false">
      <c r="A2447" s="4"/>
      <c r="B2447" s="8"/>
      <c r="C2447" s="8"/>
      <c r="D2447" s="8"/>
      <c r="E2447" s="8"/>
      <c r="F2447" s="8"/>
      <c r="G2447" s="8"/>
      <c r="H2447" s="8"/>
      <c r="I2447" s="8"/>
      <c r="J2447" s="8"/>
      <c r="K2447" s="8"/>
      <c r="L2447" s="8"/>
      <c r="M2447" s="8"/>
      <c r="N2447" s="8"/>
      <c r="O2447" s="8"/>
      <c r="P2447" s="4"/>
      <c r="Q2447" s="8"/>
      <c r="R2447" s="4"/>
      <c r="S2447" s="4"/>
    </row>
    <row r="2448" customFormat="false" ht="15" hidden="false" customHeight="false" outlineLevel="0" collapsed="false">
      <c r="A2448" s="4"/>
      <c r="B2448" s="8"/>
      <c r="C2448" s="8"/>
      <c r="D2448" s="8"/>
      <c r="E2448" s="8"/>
      <c r="F2448" s="8"/>
      <c r="G2448" s="8"/>
      <c r="H2448" s="8"/>
      <c r="I2448" s="8"/>
      <c r="J2448" s="8"/>
      <c r="K2448" s="8"/>
      <c r="L2448" s="8"/>
      <c r="M2448" s="8"/>
      <c r="N2448" s="8"/>
      <c r="O2448" s="8"/>
      <c r="P2448" s="4"/>
      <c r="Q2448" s="8"/>
      <c r="R2448" s="4"/>
      <c r="S2448" s="4"/>
    </row>
    <row r="2449" customFormat="false" ht="15" hidden="false" customHeight="false" outlineLevel="0" collapsed="false">
      <c r="A2449" s="4"/>
      <c r="B2449" s="8"/>
      <c r="C2449" s="8"/>
      <c r="D2449" s="8"/>
      <c r="E2449" s="8"/>
      <c r="F2449" s="8"/>
      <c r="G2449" s="8"/>
      <c r="H2449" s="8"/>
      <c r="I2449" s="8"/>
      <c r="J2449" s="8"/>
      <c r="K2449" s="8"/>
      <c r="L2449" s="8"/>
      <c r="M2449" s="8"/>
      <c r="N2449" s="8"/>
      <c r="O2449" s="8"/>
      <c r="P2449" s="4"/>
      <c r="Q2449" s="8"/>
      <c r="R2449" s="4"/>
      <c r="S2449" s="4"/>
    </row>
    <row r="2450" customFormat="false" ht="15" hidden="false" customHeight="false" outlineLevel="0" collapsed="false">
      <c r="A2450" s="4"/>
      <c r="B2450" s="8"/>
      <c r="C2450" s="8"/>
      <c r="D2450" s="8"/>
      <c r="E2450" s="8"/>
      <c r="F2450" s="8"/>
      <c r="G2450" s="8"/>
      <c r="H2450" s="8"/>
      <c r="I2450" s="8"/>
      <c r="J2450" s="8"/>
      <c r="K2450" s="8"/>
      <c r="L2450" s="8"/>
      <c r="M2450" s="8"/>
      <c r="N2450" s="8"/>
      <c r="O2450" s="8"/>
      <c r="P2450" s="4"/>
      <c r="Q2450" s="8"/>
      <c r="R2450" s="4"/>
      <c r="S2450" s="4"/>
    </row>
    <row r="2451" customFormat="false" ht="15" hidden="false" customHeight="false" outlineLevel="0" collapsed="false">
      <c r="A2451" s="4"/>
      <c r="B2451" s="8"/>
      <c r="C2451" s="8"/>
      <c r="D2451" s="8"/>
      <c r="E2451" s="8"/>
      <c r="F2451" s="8"/>
      <c r="G2451" s="8"/>
      <c r="H2451" s="8"/>
      <c r="I2451" s="8"/>
      <c r="J2451" s="8"/>
      <c r="K2451" s="8"/>
      <c r="L2451" s="8"/>
      <c r="M2451" s="8"/>
      <c r="N2451" s="8"/>
      <c r="O2451" s="8"/>
      <c r="P2451" s="4"/>
      <c r="Q2451" s="8"/>
      <c r="R2451" s="4"/>
      <c r="S2451" s="4"/>
    </row>
    <row r="2452" customFormat="false" ht="15" hidden="false" customHeight="false" outlineLevel="0" collapsed="false">
      <c r="A2452" s="4"/>
      <c r="B2452" s="8"/>
      <c r="C2452" s="8"/>
      <c r="D2452" s="8"/>
      <c r="E2452" s="8"/>
      <c r="F2452" s="8"/>
      <c r="G2452" s="8"/>
      <c r="H2452" s="8"/>
      <c r="I2452" s="8"/>
      <c r="J2452" s="8"/>
      <c r="K2452" s="8"/>
      <c r="L2452" s="8"/>
      <c r="M2452" s="8"/>
      <c r="N2452" s="8"/>
      <c r="O2452" s="8"/>
      <c r="P2452" s="4"/>
      <c r="Q2452" s="8"/>
      <c r="R2452" s="4"/>
      <c r="S2452" s="4"/>
    </row>
    <row r="2453" customFormat="false" ht="15" hidden="false" customHeight="false" outlineLevel="0" collapsed="false">
      <c r="A2453" s="4"/>
      <c r="B2453" s="8"/>
      <c r="C2453" s="8"/>
      <c r="D2453" s="8"/>
      <c r="E2453" s="8"/>
      <c r="F2453" s="8"/>
      <c r="G2453" s="8"/>
      <c r="H2453" s="8"/>
      <c r="I2453" s="8"/>
      <c r="J2453" s="8"/>
      <c r="K2453" s="8"/>
      <c r="L2453" s="8"/>
      <c r="M2453" s="8"/>
      <c r="N2453" s="8"/>
      <c r="O2453" s="8"/>
      <c r="P2453" s="4"/>
      <c r="Q2453" s="8"/>
      <c r="R2453" s="4"/>
      <c r="S2453" s="4"/>
    </row>
    <row r="2454" customFormat="false" ht="15" hidden="false" customHeight="false" outlineLevel="0" collapsed="false">
      <c r="A2454" s="4"/>
      <c r="B2454" s="8"/>
      <c r="C2454" s="8"/>
      <c r="D2454" s="8"/>
      <c r="E2454" s="8"/>
      <c r="F2454" s="8"/>
      <c r="G2454" s="8"/>
      <c r="H2454" s="8"/>
      <c r="I2454" s="8"/>
      <c r="J2454" s="8"/>
      <c r="K2454" s="8"/>
      <c r="L2454" s="8"/>
      <c r="M2454" s="8"/>
      <c r="N2454" s="8"/>
      <c r="O2454" s="8"/>
      <c r="P2454" s="4"/>
      <c r="Q2454" s="8"/>
      <c r="R2454" s="4"/>
      <c r="S2454" s="4"/>
    </row>
    <row r="2455" customFormat="false" ht="15" hidden="false" customHeight="false" outlineLevel="0" collapsed="false">
      <c r="A2455" s="4"/>
      <c r="B2455" s="8"/>
      <c r="C2455" s="8"/>
      <c r="D2455" s="8"/>
      <c r="E2455" s="8"/>
      <c r="F2455" s="8"/>
      <c r="G2455" s="8"/>
      <c r="H2455" s="8"/>
      <c r="I2455" s="8"/>
      <c r="J2455" s="8"/>
      <c r="K2455" s="8"/>
      <c r="L2455" s="8"/>
      <c r="M2455" s="8"/>
      <c r="N2455" s="8"/>
      <c r="O2455" s="8"/>
      <c r="P2455" s="4"/>
      <c r="Q2455" s="8"/>
      <c r="R2455" s="4"/>
      <c r="S2455" s="4"/>
    </row>
    <row r="2456" customFormat="false" ht="15" hidden="false" customHeight="false" outlineLevel="0" collapsed="false">
      <c r="A2456" s="4"/>
      <c r="B2456" s="8"/>
      <c r="C2456" s="8"/>
      <c r="D2456" s="8"/>
      <c r="E2456" s="8"/>
      <c r="F2456" s="8"/>
      <c r="G2456" s="8"/>
      <c r="H2456" s="8"/>
      <c r="I2456" s="8"/>
      <c r="J2456" s="8"/>
      <c r="K2456" s="8"/>
      <c r="L2456" s="8"/>
      <c r="M2456" s="8"/>
      <c r="N2456" s="8"/>
      <c r="O2456" s="8"/>
      <c r="P2456" s="4"/>
      <c r="Q2456" s="8"/>
      <c r="R2456" s="4"/>
      <c r="S2456" s="4"/>
    </row>
    <row r="2457" customFormat="false" ht="15" hidden="false" customHeight="false" outlineLevel="0" collapsed="false">
      <c r="A2457" s="4"/>
      <c r="B2457" s="8"/>
      <c r="C2457" s="8"/>
      <c r="D2457" s="8"/>
      <c r="E2457" s="8"/>
      <c r="F2457" s="8"/>
      <c r="G2457" s="8"/>
      <c r="H2457" s="8"/>
      <c r="I2457" s="8"/>
      <c r="J2457" s="8"/>
      <c r="K2457" s="8"/>
      <c r="L2457" s="8"/>
      <c r="M2457" s="8"/>
      <c r="N2457" s="8"/>
      <c r="O2457" s="8"/>
      <c r="P2457" s="4"/>
      <c r="Q2457" s="8"/>
      <c r="R2457" s="4"/>
      <c r="S2457" s="4"/>
    </row>
    <row r="2458" customFormat="false" ht="15" hidden="false" customHeight="false" outlineLevel="0" collapsed="false">
      <c r="A2458" s="4"/>
      <c r="B2458" s="8"/>
      <c r="C2458" s="8"/>
      <c r="D2458" s="8"/>
      <c r="E2458" s="8"/>
      <c r="F2458" s="8"/>
      <c r="G2458" s="8"/>
      <c r="H2458" s="8"/>
      <c r="I2458" s="8"/>
      <c r="J2458" s="8"/>
      <c r="K2458" s="8"/>
      <c r="L2458" s="8"/>
      <c r="M2458" s="8"/>
      <c r="N2458" s="8"/>
      <c r="O2458" s="8"/>
      <c r="P2458" s="4"/>
      <c r="Q2458" s="8"/>
      <c r="R2458" s="4"/>
      <c r="S2458" s="4"/>
    </row>
    <row r="2459" customFormat="false" ht="15" hidden="false" customHeight="false" outlineLevel="0" collapsed="false">
      <c r="A2459" s="4"/>
      <c r="B2459" s="8"/>
      <c r="C2459" s="8"/>
      <c r="D2459" s="8"/>
      <c r="E2459" s="8"/>
      <c r="F2459" s="8"/>
      <c r="G2459" s="8"/>
      <c r="H2459" s="8"/>
      <c r="I2459" s="8"/>
      <c r="J2459" s="8"/>
      <c r="K2459" s="8"/>
      <c r="L2459" s="8"/>
      <c r="M2459" s="8"/>
      <c r="N2459" s="8"/>
      <c r="O2459" s="8"/>
      <c r="P2459" s="4"/>
      <c r="Q2459" s="8"/>
      <c r="R2459" s="4"/>
      <c r="S2459" s="4"/>
    </row>
    <row r="2460" customFormat="false" ht="15" hidden="false" customHeight="false" outlineLevel="0" collapsed="false">
      <c r="A2460" s="4"/>
      <c r="B2460" s="8"/>
      <c r="C2460" s="8"/>
      <c r="D2460" s="8"/>
      <c r="E2460" s="8"/>
      <c r="F2460" s="8"/>
      <c r="G2460" s="8"/>
      <c r="H2460" s="8"/>
      <c r="I2460" s="8"/>
      <c r="J2460" s="8"/>
      <c r="K2460" s="8"/>
      <c r="L2460" s="8"/>
      <c r="M2460" s="8"/>
      <c r="N2460" s="8"/>
      <c r="O2460" s="8"/>
      <c r="P2460" s="4"/>
      <c r="Q2460" s="8"/>
      <c r="R2460" s="4"/>
      <c r="S2460" s="4"/>
    </row>
    <row r="2461" customFormat="false" ht="15" hidden="false" customHeight="false" outlineLevel="0" collapsed="false">
      <c r="A2461" s="4"/>
      <c r="B2461" s="8"/>
      <c r="C2461" s="8"/>
      <c r="D2461" s="8"/>
      <c r="E2461" s="8"/>
      <c r="F2461" s="8"/>
      <c r="G2461" s="8"/>
      <c r="H2461" s="8"/>
      <c r="I2461" s="8"/>
      <c r="J2461" s="8"/>
      <c r="K2461" s="8"/>
      <c r="L2461" s="8"/>
      <c r="M2461" s="8"/>
      <c r="N2461" s="8"/>
      <c r="O2461" s="8"/>
      <c r="P2461" s="4"/>
      <c r="Q2461" s="8"/>
      <c r="R2461" s="4"/>
      <c r="S2461" s="4"/>
    </row>
    <row r="2462" customFormat="false" ht="15" hidden="false" customHeight="false" outlineLevel="0" collapsed="false">
      <c r="A2462" s="4"/>
      <c r="B2462" s="8"/>
      <c r="C2462" s="8"/>
      <c r="D2462" s="8"/>
      <c r="E2462" s="8"/>
      <c r="F2462" s="8"/>
      <c r="G2462" s="8"/>
      <c r="H2462" s="8"/>
      <c r="I2462" s="8"/>
      <c r="J2462" s="8"/>
      <c r="K2462" s="8"/>
      <c r="L2462" s="8"/>
      <c r="M2462" s="8"/>
      <c r="N2462" s="8"/>
      <c r="O2462" s="8"/>
      <c r="P2462" s="4"/>
      <c r="Q2462" s="8"/>
      <c r="R2462" s="4"/>
      <c r="S2462" s="4"/>
    </row>
    <row r="2463" customFormat="false" ht="15" hidden="false" customHeight="false" outlineLevel="0" collapsed="false">
      <c r="A2463" s="4"/>
      <c r="B2463" s="8"/>
      <c r="C2463" s="8"/>
      <c r="D2463" s="8"/>
      <c r="E2463" s="8"/>
      <c r="F2463" s="8"/>
      <c r="G2463" s="8"/>
      <c r="H2463" s="8"/>
      <c r="I2463" s="8"/>
      <c r="J2463" s="8"/>
      <c r="K2463" s="8"/>
      <c r="L2463" s="8"/>
      <c r="M2463" s="8"/>
      <c r="N2463" s="8"/>
      <c r="O2463" s="8"/>
      <c r="P2463" s="4"/>
      <c r="Q2463" s="8"/>
      <c r="R2463" s="4"/>
      <c r="S2463" s="4"/>
    </row>
    <row r="2464" customFormat="false" ht="15" hidden="false" customHeight="false" outlineLevel="0" collapsed="false">
      <c r="A2464" s="4"/>
      <c r="B2464" s="8"/>
      <c r="C2464" s="8"/>
      <c r="D2464" s="8"/>
      <c r="E2464" s="8"/>
      <c r="F2464" s="8"/>
      <c r="G2464" s="8"/>
      <c r="H2464" s="8"/>
      <c r="I2464" s="8"/>
      <c r="J2464" s="8"/>
      <c r="K2464" s="8"/>
      <c r="L2464" s="8"/>
      <c r="M2464" s="8"/>
      <c r="N2464" s="8"/>
      <c r="O2464" s="8"/>
      <c r="P2464" s="4"/>
      <c r="Q2464" s="8"/>
      <c r="R2464" s="4"/>
      <c r="S2464" s="4"/>
    </row>
    <row r="2465" customFormat="false" ht="15" hidden="false" customHeight="false" outlineLevel="0" collapsed="false">
      <c r="A2465" s="4"/>
      <c r="B2465" s="8"/>
      <c r="C2465" s="8"/>
      <c r="D2465" s="8"/>
      <c r="E2465" s="8"/>
      <c r="F2465" s="8"/>
      <c r="G2465" s="8"/>
      <c r="H2465" s="8"/>
      <c r="I2465" s="8"/>
      <c r="J2465" s="8"/>
      <c r="K2465" s="8"/>
      <c r="L2465" s="8"/>
      <c r="M2465" s="8"/>
      <c r="N2465" s="8"/>
      <c r="O2465" s="8"/>
      <c r="P2465" s="4"/>
      <c r="Q2465" s="8"/>
      <c r="R2465" s="4"/>
      <c r="S2465" s="4"/>
    </row>
    <row r="2466" customFormat="false" ht="15" hidden="false" customHeight="false" outlineLevel="0" collapsed="false">
      <c r="A2466" s="4"/>
      <c r="B2466" s="8"/>
      <c r="C2466" s="8"/>
      <c r="D2466" s="8"/>
      <c r="E2466" s="8"/>
      <c r="F2466" s="8"/>
      <c r="G2466" s="8"/>
      <c r="H2466" s="8"/>
      <c r="I2466" s="8"/>
      <c r="J2466" s="8"/>
      <c r="K2466" s="8"/>
      <c r="L2466" s="8"/>
      <c r="M2466" s="8"/>
      <c r="N2466" s="8"/>
      <c r="O2466" s="8"/>
      <c r="P2466" s="4"/>
      <c r="Q2466" s="8"/>
      <c r="R2466" s="4"/>
      <c r="S2466" s="4"/>
    </row>
    <row r="2467" customFormat="false" ht="15" hidden="false" customHeight="false" outlineLevel="0" collapsed="false">
      <c r="A2467" s="4"/>
      <c r="B2467" s="8"/>
      <c r="C2467" s="8"/>
      <c r="D2467" s="8"/>
      <c r="E2467" s="8"/>
      <c r="F2467" s="8"/>
      <c r="G2467" s="8"/>
      <c r="H2467" s="8"/>
      <c r="I2467" s="8"/>
      <c r="J2467" s="8"/>
      <c r="K2467" s="8"/>
      <c r="L2467" s="8"/>
      <c r="M2467" s="8"/>
      <c r="N2467" s="8"/>
      <c r="O2467" s="8"/>
      <c r="P2467" s="4"/>
      <c r="Q2467" s="8"/>
      <c r="R2467" s="4"/>
      <c r="S2467" s="4"/>
    </row>
    <row r="2468" customFormat="false" ht="15" hidden="false" customHeight="false" outlineLevel="0" collapsed="false">
      <c r="A2468" s="4"/>
      <c r="B2468" s="8"/>
      <c r="C2468" s="8"/>
      <c r="D2468" s="8"/>
      <c r="E2468" s="8"/>
      <c r="F2468" s="8"/>
      <c r="G2468" s="8"/>
      <c r="H2468" s="8"/>
      <c r="I2468" s="8"/>
      <c r="J2468" s="8"/>
      <c r="K2468" s="8"/>
      <c r="L2468" s="8"/>
      <c r="M2468" s="8"/>
      <c r="N2468" s="8"/>
      <c r="O2468" s="8"/>
      <c r="P2468" s="4"/>
      <c r="Q2468" s="8"/>
      <c r="R2468" s="4"/>
      <c r="S2468" s="4"/>
    </row>
    <row r="2469" customFormat="false" ht="15" hidden="false" customHeight="false" outlineLevel="0" collapsed="false">
      <c r="A2469" s="4"/>
      <c r="B2469" s="8"/>
      <c r="C2469" s="8"/>
      <c r="D2469" s="8"/>
      <c r="E2469" s="8"/>
      <c r="F2469" s="8"/>
      <c r="G2469" s="8"/>
      <c r="H2469" s="8"/>
      <c r="I2469" s="8"/>
      <c r="J2469" s="8"/>
      <c r="K2469" s="8"/>
      <c r="L2469" s="8"/>
      <c r="M2469" s="8"/>
      <c r="N2469" s="8"/>
      <c r="O2469" s="8"/>
      <c r="P2469" s="4"/>
      <c r="Q2469" s="8"/>
      <c r="R2469" s="4"/>
      <c r="S2469" s="4"/>
    </row>
    <row r="2470" customFormat="false" ht="15" hidden="false" customHeight="false" outlineLevel="0" collapsed="false">
      <c r="A2470" s="4"/>
      <c r="B2470" s="8"/>
      <c r="C2470" s="8"/>
      <c r="D2470" s="8"/>
      <c r="E2470" s="8"/>
      <c r="F2470" s="8"/>
      <c r="G2470" s="8"/>
      <c r="H2470" s="8"/>
      <c r="I2470" s="8"/>
      <c r="J2470" s="8"/>
      <c r="K2470" s="8"/>
      <c r="L2470" s="8"/>
      <c r="M2470" s="8"/>
      <c r="N2470" s="8"/>
      <c r="O2470" s="8"/>
      <c r="P2470" s="4"/>
      <c r="Q2470" s="8"/>
      <c r="R2470" s="4"/>
      <c r="S2470" s="4"/>
    </row>
    <row r="2471" customFormat="false" ht="15" hidden="false" customHeight="false" outlineLevel="0" collapsed="false">
      <c r="A2471" s="4"/>
      <c r="B2471" s="8"/>
      <c r="C2471" s="8"/>
      <c r="D2471" s="8"/>
      <c r="E2471" s="8"/>
      <c r="F2471" s="8"/>
      <c r="G2471" s="8"/>
      <c r="H2471" s="8"/>
      <c r="I2471" s="8"/>
      <c r="J2471" s="8"/>
      <c r="K2471" s="8"/>
      <c r="L2471" s="8"/>
      <c r="M2471" s="8"/>
      <c r="N2471" s="8"/>
      <c r="O2471" s="8"/>
      <c r="P2471" s="4"/>
      <c r="Q2471" s="8"/>
      <c r="R2471" s="4"/>
      <c r="S2471" s="4"/>
    </row>
    <row r="2472" customFormat="false" ht="15" hidden="false" customHeight="false" outlineLevel="0" collapsed="false">
      <c r="A2472" s="4"/>
      <c r="B2472" s="8"/>
      <c r="C2472" s="8"/>
      <c r="D2472" s="8"/>
      <c r="E2472" s="8"/>
      <c r="F2472" s="8"/>
      <c r="G2472" s="8"/>
      <c r="H2472" s="8"/>
      <c r="I2472" s="8"/>
      <c r="J2472" s="8"/>
      <c r="K2472" s="8"/>
      <c r="L2472" s="8"/>
      <c r="M2472" s="8"/>
      <c r="N2472" s="8"/>
      <c r="O2472" s="8"/>
      <c r="P2472" s="4"/>
      <c r="Q2472" s="8"/>
      <c r="R2472" s="4"/>
      <c r="S2472" s="4"/>
    </row>
    <row r="2473" customFormat="false" ht="15" hidden="false" customHeight="false" outlineLevel="0" collapsed="false">
      <c r="A2473" s="4"/>
      <c r="B2473" s="8"/>
      <c r="C2473" s="8"/>
      <c r="D2473" s="8"/>
      <c r="E2473" s="8"/>
      <c r="F2473" s="8"/>
      <c r="G2473" s="8"/>
      <c r="H2473" s="8"/>
      <c r="I2473" s="8"/>
      <c r="J2473" s="8"/>
      <c r="K2473" s="8"/>
      <c r="L2473" s="8"/>
      <c r="M2473" s="8"/>
      <c r="N2473" s="8"/>
      <c r="O2473" s="8"/>
      <c r="P2473" s="4"/>
      <c r="Q2473" s="8"/>
      <c r="R2473" s="4"/>
      <c r="S2473" s="4"/>
    </row>
    <row r="2474" customFormat="false" ht="15" hidden="false" customHeight="false" outlineLevel="0" collapsed="false">
      <c r="A2474" s="4"/>
      <c r="B2474" s="8"/>
      <c r="C2474" s="8"/>
      <c r="D2474" s="8"/>
      <c r="E2474" s="8"/>
      <c r="F2474" s="8"/>
      <c r="G2474" s="8"/>
      <c r="H2474" s="8"/>
      <c r="I2474" s="8"/>
      <c r="J2474" s="8"/>
      <c r="K2474" s="8"/>
      <c r="L2474" s="8"/>
      <c r="M2474" s="8"/>
      <c r="N2474" s="8"/>
      <c r="O2474" s="8"/>
      <c r="P2474" s="4"/>
      <c r="Q2474" s="8"/>
      <c r="R2474" s="4"/>
      <c r="S2474" s="4"/>
    </row>
    <row r="2475" customFormat="false" ht="15" hidden="false" customHeight="false" outlineLevel="0" collapsed="false">
      <c r="A2475" s="4"/>
      <c r="B2475" s="8"/>
      <c r="C2475" s="8"/>
      <c r="D2475" s="8"/>
      <c r="E2475" s="8"/>
      <c r="F2475" s="8"/>
      <c r="G2475" s="8"/>
      <c r="H2475" s="8"/>
      <c r="I2475" s="8"/>
      <c r="J2475" s="8"/>
      <c r="K2475" s="8"/>
      <c r="L2475" s="8"/>
      <c r="M2475" s="8"/>
      <c r="N2475" s="8"/>
      <c r="O2475" s="8"/>
      <c r="P2475" s="4"/>
      <c r="Q2475" s="8"/>
      <c r="R2475" s="4"/>
      <c r="S2475" s="4"/>
    </row>
    <row r="2476" customFormat="false" ht="15" hidden="false" customHeight="false" outlineLevel="0" collapsed="false">
      <c r="A2476" s="4"/>
      <c r="B2476" s="8"/>
      <c r="C2476" s="8"/>
      <c r="D2476" s="8"/>
      <c r="E2476" s="8"/>
      <c r="F2476" s="8"/>
      <c r="G2476" s="8"/>
      <c r="H2476" s="8"/>
      <c r="I2476" s="8"/>
      <c r="J2476" s="8"/>
      <c r="K2476" s="8"/>
      <c r="L2476" s="8"/>
      <c r="M2476" s="8"/>
      <c r="N2476" s="8"/>
      <c r="O2476" s="8"/>
      <c r="P2476" s="4"/>
      <c r="Q2476" s="8"/>
      <c r="R2476" s="4"/>
      <c r="S2476" s="4"/>
    </row>
    <row r="2477" customFormat="false" ht="15" hidden="false" customHeight="false" outlineLevel="0" collapsed="false">
      <c r="A2477" s="4"/>
      <c r="B2477" s="8"/>
      <c r="C2477" s="8"/>
      <c r="D2477" s="8"/>
      <c r="E2477" s="8"/>
      <c r="F2477" s="8"/>
      <c r="G2477" s="8"/>
      <c r="H2477" s="8"/>
      <c r="I2477" s="8"/>
      <c r="J2477" s="8"/>
      <c r="K2477" s="8"/>
      <c r="L2477" s="8"/>
      <c r="M2477" s="8"/>
      <c r="N2477" s="8"/>
      <c r="O2477" s="8"/>
      <c r="P2477" s="4"/>
      <c r="Q2477" s="8"/>
      <c r="R2477" s="4"/>
      <c r="S2477" s="4"/>
    </row>
    <row r="2478" customFormat="false" ht="15" hidden="false" customHeight="false" outlineLevel="0" collapsed="false">
      <c r="A2478" s="4"/>
      <c r="B2478" s="8"/>
      <c r="C2478" s="8"/>
      <c r="D2478" s="8"/>
      <c r="E2478" s="8"/>
      <c r="F2478" s="8"/>
      <c r="G2478" s="8"/>
      <c r="H2478" s="8"/>
      <c r="I2478" s="8"/>
      <c r="J2478" s="8"/>
      <c r="K2478" s="8"/>
      <c r="L2478" s="8"/>
      <c r="M2478" s="8"/>
      <c r="N2478" s="8"/>
      <c r="O2478" s="8"/>
      <c r="P2478" s="4"/>
      <c r="Q2478" s="8"/>
      <c r="R2478" s="4"/>
      <c r="S2478" s="4"/>
    </row>
    <row r="2479" customFormat="false" ht="15" hidden="false" customHeight="false" outlineLevel="0" collapsed="false">
      <c r="A2479" s="4"/>
      <c r="B2479" s="8"/>
      <c r="C2479" s="8"/>
      <c r="D2479" s="8"/>
      <c r="E2479" s="8"/>
      <c r="F2479" s="8"/>
      <c r="G2479" s="8"/>
      <c r="H2479" s="8"/>
      <c r="I2479" s="8"/>
      <c r="J2479" s="8"/>
      <c r="K2479" s="8"/>
      <c r="L2479" s="8"/>
      <c r="M2479" s="8"/>
      <c r="N2479" s="8"/>
      <c r="O2479" s="8"/>
      <c r="P2479" s="4"/>
      <c r="Q2479" s="8"/>
      <c r="R2479" s="4"/>
      <c r="S2479" s="4"/>
    </row>
    <row r="2480" customFormat="false" ht="15" hidden="false" customHeight="false" outlineLevel="0" collapsed="false">
      <c r="A2480" s="4"/>
      <c r="B2480" s="8"/>
      <c r="C2480" s="8"/>
      <c r="D2480" s="8"/>
      <c r="E2480" s="8"/>
      <c r="F2480" s="8"/>
      <c r="G2480" s="8"/>
      <c r="H2480" s="8"/>
      <c r="I2480" s="8"/>
      <c r="J2480" s="8"/>
      <c r="K2480" s="8"/>
      <c r="L2480" s="8"/>
      <c r="M2480" s="8"/>
      <c r="N2480" s="8"/>
      <c r="O2480" s="8"/>
      <c r="P2480" s="4"/>
      <c r="Q2480" s="8"/>
      <c r="R2480" s="4"/>
      <c r="S2480" s="4"/>
    </row>
    <row r="2481" customFormat="false" ht="15" hidden="false" customHeight="false" outlineLevel="0" collapsed="false">
      <c r="A2481" s="4"/>
      <c r="B2481" s="8"/>
      <c r="C2481" s="8"/>
      <c r="D2481" s="8"/>
      <c r="E2481" s="8"/>
      <c r="F2481" s="8"/>
      <c r="G2481" s="8"/>
      <c r="H2481" s="8"/>
      <c r="I2481" s="8"/>
      <c r="J2481" s="8"/>
      <c r="K2481" s="8"/>
      <c r="L2481" s="8"/>
      <c r="M2481" s="8"/>
      <c r="N2481" s="8"/>
      <c r="O2481" s="8"/>
      <c r="P2481" s="4"/>
      <c r="Q2481" s="8"/>
      <c r="R2481" s="4"/>
      <c r="S2481" s="4"/>
    </row>
    <row r="2482" customFormat="false" ht="15" hidden="false" customHeight="false" outlineLevel="0" collapsed="false">
      <c r="A2482" s="4"/>
      <c r="B2482" s="8"/>
      <c r="C2482" s="8"/>
      <c r="D2482" s="8"/>
      <c r="E2482" s="8"/>
      <c r="F2482" s="8"/>
      <c r="G2482" s="8"/>
      <c r="H2482" s="8"/>
      <c r="I2482" s="8"/>
      <c r="J2482" s="8"/>
      <c r="K2482" s="8"/>
      <c r="L2482" s="8"/>
      <c r="M2482" s="8"/>
      <c r="N2482" s="8"/>
      <c r="O2482" s="8"/>
      <c r="P2482" s="4"/>
      <c r="Q2482" s="8"/>
      <c r="R2482" s="4"/>
      <c r="S2482" s="4"/>
    </row>
    <row r="2483" customFormat="false" ht="15" hidden="false" customHeight="false" outlineLevel="0" collapsed="false">
      <c r="A2483" s="4"/>
      <c r="B2483" s="8"/>
      <c r="C2483" s="8"/>
      <c r="D2483" s="8"/>
      <c r="E2483" s="8"/>
      <c r="F2483" s="8"/>
      <c r="G2483" s="8"/>
      <c r="H2483" s="8"/>
      <c r="I2483" s="8"/>
      <c r="J2483" s="8"/>
      <c r="K2483" s="8"/>
      <c r="L2483" s="8"/>
      <c r="M2483" s="8"/>
      <c r="N2483" s="8"/>
      <c r="O2483" s="8"/>
      <c r="P2483" s="4"/>
      <c r="Q2483" s="8"/>
      <c r="R2483" s="4"/>
      <c r="S2483" s="4"/>
    </row>
    <row r="2484" customFormat="false" ht="15" hidden="false" customHeight="false" outlineLevel="0" collapsed="false">
      <c r="A2484" s="4"/>
      <c r="B2484" s="8"/>
      <c r="C2484" s="8"/>
      <c r="D2484" s="8"/>
      <c r="E2484" s="8"/>
      <c r="F2484" s="8"/>
      <c r="G2484" s="8"/>
      <c r="H2484" s="8"/>
      <c r="I2484" s="8"/>
      <c r="J2484" s="8"/>
      <c r="K2484" s="8"/>
      <c r="L2484" s="8"/>
      <c r="M2484" s="8"/>
      <c r="N2484" s="8"/>
      <c r="O2484" s="8"/>
      <c r="P2484" s="4"/>
      <c r="Q2484" s="8"/>
      <c r="R2484" s="4"/>
      <c r="S2484" s="4"/>
    </row>
    <row r="2485" customFormat="false" ht="15" hidden="false" customHeight="false" outlineLevel="0" collapsed="false">
      <c r="A2485" s="4"/>
      <c r="B2485" s="8"/>
      <c r="C2485" s="8"/>
      <c r="D2485" s="8"/>
      <c r="E2485" s="8"/>
      <c r="F2485" s="8"/>
      <c r="G2485" s="8"/>
      <c r="H2485" s="8"/>
      <c r="I2485" s="8"/>
      <c r="J2485" s="8"/>
      <c r="K2485" s="8"/>
      <c r="L2485" s="8"/>
      <c r="M2485" s="8"/>
      <c r="N2485" s="8"/>
      <c r="O2485" s="8"/>
      <c r="P2485" s="4"/>
      <c r="Q2485" s="8"/>
      <c r="R2485" s="4"/>
      <c r="S2485" s="4"/>
    </row>
    <row r="2486" customFormat="false" ht="15" hidden="false" customHeight="false" outlineLevel="0" collapsed="false">
      <c r="A2486" s="4"/>
      <c r="B2486" s="8"/>
      <c r="C2486" s="8"/>
      <c r="D2486" s="8"/>
      <c r="E2486" s="8"/>
      <c r="F2486" s="8"/>
      <c r="G2486" s="8"/>
      <c r="H2486" s="8"/>
      <c r="I2486" s="8"/>
      <c r="J2486" s="8"/>
      <c r="K2486" s="8"/>
      <c r="L2486" s="8"/>
      <c r="M2486" s="8"/>
      <c r="N2486" s="8"/>
      <c r="O2486" s="8"/>
      <c r="P2486" s="4"/>
      <c r="Q2486" s="8"/>
      <c r="R2486" s="4"/>
      <c r="S2486" s="4"/>
    </row>
    <row r="2487" customFormat="false" ht="15" hidden="false" customHeight="false" outlineLevel="0" collapsed="false">
      <c r="A2487" s="4"/>
      <c r="B2487" s="8"/>
      <c r="C2487" s="8"/>
      <c r="D2487" s="8"/>
      <c r="E2487" s="8"/>
      <c r="F2487" s="8"/>
      <c r="G2487" s="8"/>
      <c r="H2487" s="8"/>
      <c r="I2487" s="8"/>
      <c r="J2487" s="8"/>
      <c r="K2487" s="8"/>
      <c r="L2487" s="8"/>
      <c r="M2487" s="8"/>
      <c r="N2487" s="8"/>
      <c r="O2487" s="8"/>
      <c r="P2487" s="4"/>
      <c r="Q2487" s="8"/>
      <c r="R2487" s="4"/>
      <c r="S2487" s="4"/>
    </row>
    <row r="2488" customFormat="false" ht="15" hidden="false" customHeight="false" outlineLevel="0" collapsed="false">
      <c r="A2488" s="4"/>
      <c r="B2488" s="8"/>
      <c r="C2488" s="8"/>
      <c r="D2488" s="8"/>
      <c r="E2488" s="8"/>
      <c r="F2488" s="8"/>
      <c r="G2488" s="8"/>
      <c r="H2488" s="8"/>
      <c r="I2488" s="8"/>
      <c r="J2488" s="8"/>
      <c r="K2488" s="8"/>
      <c r="L2488" s="8"/>
      <c r="M2488" s="8"/>
      <c r="N2488" s="8"/>
      <c r="O2488" s="8"/>
      <c r="P2488" s="4"/>
      <c r="Q2488" s="8"/>
      <c r="R2488" s="4"/>
      <c r="S2488" s="4"/>
    </row>
    <row r="2489" customFormat="false" ht="15" hidden="false" customHeight="false" outlineLevel="0" collapsed="false">
      <c r="A2489" s="4"/>
      <c r="B2489" s="8"/>
      <c r="C2489" s="8"/>
      <c r="D2489" s="8"/>
      <c r="E2489" s="8"/>
      <c r="F2489" s="8"/>
      <c r="G2489" s="8"/>
      <c r="H2489" s="8"/>
      <c r="I2489" s="8"/>
      <c r="J2489" s="8"/>
      <c r="K2489" s="8"/>
      <c r="L2489" s="8"/>
      <c r="M2489" s="8"/>
      <c r="N2489" s="8"/>
      <c r="O2489" s="8"/>
      <c r="P2489" s="4"/>
      <c r="Q2489" s="8"/>
      <c r="R2489" s="4"/>
      <c r="S2489" s="4"/>
    </row>
    <row r="2490" customFormat="false" ht="15" hidden="false" customHeight="false" outlineLevel="0" collapsed="false">
      <c r="A2490" s="4"/>
      <c r="B2490" s="8"/>
      <c r="C2490" s="8"/>
      <c r="D2490" s="8"/>
      <c r="E2490" s="8"/>
      <c r="F2490" s="8"/>
      <c r="G2490" s="8"/>
      <c r="H2490" s="8"/>
      <c r="I2490" s="8"/>
      <c r="J2490" s="8"/>
      <c r="K2490" s="8"/>
      <c r="L2490" s="8"/>
      <c r="M2490" s="8"/>
      <c r="N2490" s="8"/>
      <c r="O2490" s="8"/>
      <c r="P2490" s="4"/>
      <c r="Q2490" s="8"/>
      <c r="R2490" s="4"/>
      <c r="S2490" s="4"/>
    </row>
    <row r="2491" customFormat="false" ht="15" hidden="false" customHeight="false" outlineLevel="0" collapsed="false">
      <c r="A2491" s="4"/>
      <c r="B2491" s="8"/>
      <c r="C2491" s="8"/>
      <c r="D2491" s="8"/>
      <c r="E2491" s="8"/>
      <c r="F2491" s="8"/>
      <c r="G2491" s="8"/>
      <c r="H2491" s="8"/>
      <c r="I2491" s="8"/>
      <c r="J2491" s="8"/>
      <c r="K2491" s="8"/>
      <c r="L2491" s="8"/>
      <c r="M2491" s="8"/>
      <c r="N2491" s="8"/>
      <c r="O2491" s="8"/>
      <c r="P2491" s="4"/>
      <c r="Q2491" s="8"/>
      <c r="R2491" s="4"/>
      <c r="S2491" s="4"/>
    </row>
    <row r="2492" customFormat="false" ht="15" hidden="false" customHeight="false" outlineLevel="0" collapsed="false">
      <c r="A2492" s="4"/>
      <c r="B2492" s="8"/>
      <c r="C2492" s="8"/>
      <c r="D2492" s="8"/>
      <c r="E2492" s="8"/>
      <c r="F2492" s="8"/>
      <c r="G2492" s="8"/>
      <c r="H2492" s="8"/>
      <c r="I2492" s="8"/>
      <c r="J2492" s="8"/>
      <c r="K2492" s="8"/>
      <c r="L2492" s="8"/>
      <c r="M2492" s="8"/>
      <c r="N2492" s="8"/>
      <c r="O2492" s="8"/>
      <c r="P2492" s="4"/>
      <c r="Q2492" s="8"/>
      <c r="R2492" s="4"/>
      <c r="S2492" s="4"/>
    </row>
    <row r="2493" customFormat="false" ht="15" hidden="false" customHeight="false" outlineLevel="0" collapsed="false">
      <c r="A2493" s="4"/>
      <c r="B2493" s="8"/>
      <c r="C2493" s="8"/>
      <c r="D2493" s="8"/>
      <c r="E2493" s="8"/>
      <c r="F2493" s="8"/>
      <c r="G2493" s="8"/>
      <c r="H2493" s="8"/>
      <c r="I2493" s="8"/>
      <c r="J2493" s="8"/>
      <c r="K2493" s="8"/>
      <c r="L2493" s="8"/>
      <c r="M2493" s="8"/>
      <c r="N2493" s="8"/>
      <c r="O2493" s="8"/>
      <c r="P2493" s="4"/>
      <c r="Q2493" s="8"/>
      <c r="R2493" s="4"/>
      <c r="S2493" s="4"/>
    </row>
    <row r="2494" customFormat="false" ht="15" hidden="false" customHeight="false" outlineLevel="0" collapsed="false">
      <c r="A2494" s="4"/>
      <c r="B2494" s="8"/>
      <c r="C2494" s="8"/>
      <c r="D2494" s="8"/>
      <c r="E2494" s="8"/>
      <c r="F2494" s="8"/>
      <c r="G2494" s="8"/>
      <c r="H2494" s="8"/>
      <c r="I2494" s="8"/>
      <c r="J2494" s="8"/>
      <c r="K2494" s="8"/>
      <c r="L2494" s="8"/>
      <c r="M2494" s="8"/>
      <c r="N2494" s="8"/>
      <c r="O2494" s="8"/>
      <c r="P2494" s="4"/>
      <c r="Q2494" s="8"/>
      <c r="R2494" s="4"/>
      <c r="S2494" s="4"/>
    </row>
    <row r="2495" customFormat="false" ht="15" hidden="false" customHeight="false" outlineLevel="0" collapsed="false">
      <c r="A2495" s="4"/>
      <c r="B2495" s="8"/>
      <c r="C2495" s="8"/>
      <c r="D2495" s="8"/>
      <c r="E2495" s="8"/>
      <c r="F2495" s="8"/>
      <c r="G2495" s="8"/>
      <c r="H2495" s="8"/>
      <c r="I2495" s="8"/>
      <c r="J2495" s="8"/>
      <c r="K2495" s="8"/>
      <c r="L2495" s="8"/>
      <c r="M2495" s="8"/>
      <c r="N2495" s="8"/>
      <c r="O2495" s="8"/>
      <c r="P2495" s="4"/>
      <c r="Q2495" s="8"/>
      <c r="R2495" s="4"/>
      <c r="S2495" s="4"/>
    </row>
    <row r="2496" customFormat="false" ht="15" hidden="false" customHeight="false" outlineLevel="0" collapsed="false">
      <c r="A2496" s="4"/>
      <c r="B2496" s="8"/>
      <c r="C2496" s="8"/>
      <c r="D2496" s="8"/>
      <c r="E2496" s="8"/>
      <c r="F2496" s="8"/>
      <c r="G2496" s="8"/>
      <c r="H2496" s="8"/>
      <c r="I2496" s="8"/>
      <c r="J2496" s="8"/>
      <c r="K2496" s="8"/>
      <c r="L2496" s="8"/>
      <c r="M2496" s="8"/>
      <c r="N2496" s="8"/>
      <c r="O2496" s="8"/>
      <c r="P2496" s="4"/>
      <c r="Q2496" s="8"/>
      <c r="R2496" s="4"/>
      <c r="S2496" s="4"/>
    </row>
    <row r="2497" customFormat="false" ht="15" hidden="false" customHeight="false" outlineLevel="0" collapsed="false">
      <c r="A2497" s="4"/>
      <c r="B2497" s="8"/>
      <c r="C2497" s="8"/>
      <c r="D2497" s="8"/>
      <c r="E2497" s="8"/>
      <c r="F2497" s="8"/>
      <c r="G2497" s="8"/>
      <c r="H2497" s="8"/>
      <c r="I2497" s="8"/>
      <c r="J2497" s="8"/>
      <c r="K2497" s="8"/>
      <c r="L2497" s="8"/>
      <c r="M2497" s="8"/>
      <c r="N2497" s="8"/>
      <c r="O2497" s="8"/>
      <c r="P2497" s="4"/>
      <c r="Q2497" s="8"/>
      <c r="R2497" s="4"/>
      <c r="S2497" s="4"/>
    </row>
    <row r="2498" customFormat="false" ht="15" hidden="false" customHeight="false" outlineLevel="0" collapsed="false">
      <c r="A2498" s="4"/>
      <c r="B2498" s="8"/>
      <c r="C2498" s="8"/>
      <c r="D2498" s="8"/>
      <c r="E2498" s="8"/>
      <c r="F2498" s="8"/>
      <c r="G2498" s="8"/>
      <c r="H2498" s="8"/>
      <c r="I2498" s="8"/>
      <c r="J2498" s="8"/>
      <c r="K2498" s="8"/>
      <c r="L2498" s="8"/>
      <c r="M2498" s="8"/>
      <c r="N2498" s="8"/>
      <c r="O2498" s="8"/>
      <c r="P2498" s="4"/>
      <c r="Q2498" s="8"/>
      <c r="R2498" s="4"/>
      <c r="S2498" s="4"/>
    </row>
    <row r="2499" customFormat="false" ht="15" hidden="false" customHeight="false" outlineLevel="0" collapsed="false">
      <c r="A2499" s="4"/>
      <c r="B2499" s="8"/>
      <c r="C2499" s="8"/>
      <c r="D2499" s="8"/>
      <c r="E2499" s="8"/>
      <c r="F2499" s="8"/>
      <c r="G2499" s="8"/>
      <c r="H2499" s="8"/>
      <c r="I2499" s="8"/>
      <c r="J2499" s="8"/>
      <c r="K2499" s="8"/>
      <c r="L2499" s="8"/>
      <c r="M2499" s="8"/>
      <c r="N2499" s="8"/>
      <c r="O2499" s="8"/>
      <c r="P2499" s="4"/>
      <c r="Q2499" s="8"/>
      <c r="R2499" s="4"/>
      <c r="S2499" s="4"/>
    </row>
    <row r="2500" customFormat="false" ht="15" hidden="false" customHeight="false" outlineLevel="0" collapsed="false">
      <c r="A2500" s="4"/>
      <c r="B2500" s="8"/>
      <c r="C2500" s="8"/>
      <c r="D2500" s="8"/>
      <c r="E2500" s="8"/>
      <c r="F2500" s="8"/>
      <c r="G2500" s="8"/>
      <c r="H2500" s="8"/>
      <c r="I2500" s="8"/>
      <c r="J2500" s="8"/>
      <c r="K2500" s="8"/>
      <c r="L2500" s="8"/>
      <c r="M2500" s="8"/>
      <c r="N2500" s="8"/>
      <c r="O2500" s="8"/>
      <c r="P2500" s="4"/>
      <c r="Q2500" s="8"/>
      <c r="R2500" s="4"/>
      <c r="S2500" s="4"/>
    </row>
    <row r="2501" customFormat="false" ht="15" hidden="false" customHeight="false" outlineLevel="0" collapsed="false">
      <c r="A2501" s="4"/>
      <c r="B2501" s="8"/>
      <c r="C2501" s="8"/>
      <c r="D2501" s="8"/>
      <c r="E2501" s="8"/>
      <c r="F2501" s="8"/>
      <c r="G2501" s="8"/>
      <c r="H2501" s="8"/>
      <c r="I2501" s="8"/>
      <c r="J2501" s="8"/>
      <c r="K2501" s="8"/>
      <c r="L2501" s="8"/>
      <c r="M2501" s="8"/>
      <c r="N2501" s="8"/>
      <c r="O2501" s="8"/>
      <c r="P2501" s="4"/>
      <c r="Q2501" s="8"/>
      <c r="R2501" s="4"/>
      <c r="S2501" s="4"/>
    </row>
    <row r="2502" customFormat="false" ht="15" hidden="false" customHeight="false" outlineLevel="0" collapsed="false">
      <c r="A2502" s="4"/>
      <c r="B2502" s="8"/>
      <c r="C2502" s="8"/>
      <c r="D2502" s="8"/>
      <c r="E2502" s="8"/>
      <c r="F2502" s="8"/>
      <c r="G2502" s="8"/>
      <c r="H2502" s="8"/>
      <c r="I2502" s="8"/>
      <c r="J2502" s="8"/>
      <c r="K2502" s="8"/>
      <c r="L2502" s="8"/>
      <c r="M2502" s="8"/>
      <c r="N2502" s="8"/>
      <c r="O2502" s="8"/>
      <c r="P2502" s="4"/>
      <c r="Q2502" s="8"/>
      <c r="R2502" s="4"/>
      <c r="S2502" s="4"/>
    </row>
    <row r="2503" customFormat="false" ht="15" hidden="false" customHeight="false" outlineLevel="0" collapsed="false">
      <c r="A2503" s="4"/>
      <c r="B2503" s="8"/>
      <c r="C2503" s="8"/>
      <c r="D2503" s="8"/>
      <c r="E2503" s="8"/>
      <c r="F2503" s="8"/>
      <c r="G2503" s="8"/>
      <c r="H2503" s="8"/>
      <c r="I2503" s="8"/>
      <c r="J2503" s="8"/>
      <c r="K2503" s="8"/>
      <c r="L2503" s="8"/>
      <c r="M2503" s="8"/>
      <c r="N2503" s="8"/>
      <c r="O2503" s="8"/>
      <c r="P2503" s="4"/>
      <c r="Q2503" s="8"/>
      <c r="R2503" s="4"/>
      <c r="S2503" s="4"/>
    </row>
    <row r="2504" customFormat="false" ht="15" hidden="false" customHeight="false" outlineLevel="0" collapsed="false">
      <c r="A2504" s="4"/>
      <c r="B2504" s="8"/>
      <c r="C2504" s="8"/>
      <c r="D2504" s="8"/>
      <c r="E2504" s="8"/>
      <c r="F2504" s="8"/>
      <c r="G2504" s="8"/>
      <c r="H2504" s="8"/>
      <c r="I2504" s="8"/>
      <c r="J2504" s="8"/>
      <c r="K2504" s="8"/>
      <c r="L2504" s="8"/>
      <c r="M2504" s="8"/>
      <c r="N2504" s="8"/>
      <c r="O2504" s="8"/>
      <c r="P2504" s="4"/>
      <c r="Q2504" s="8"/>
      <c r="R2504" s="4"/>
      <c r="S2504" s="4"/>
    </row>
    <row r="2505" customFormat="false" ht="15" hidden="false" customHeight="false" outlineLevel="0" collapsed="false">
      <c r="A2505" s="4"/>
      <c r="B2505" s="8"/>
      <c r="C2505" s="8"/>
      <c r="D2505" s="8"/>
      <c r="E2505" s="8"/>
      <c r="F2505" s="8"/>
      <c r="G2505" s="8"/>
      <c r="H2505" s="8"/>
      <c r="I2505" s="8"/>
      <c r="J2505" s="8"/>
      <c r="K2505" s="8"/>
      <c r="L2505" s="8"/>
      <c r="M2505" s="8"/>
      <c r="N2505" s="8"/>
      <c r="O2505" s="8"/>
      <c r="P2505" s="4"/>
      <c r="Q2505" s="8"/>
      <c r="R2505" s="4"/>
      <c r="S2505" s="4"/>
    </row>
    <row r="2506" customFormat="false" ht="15" hidden="false" customHeight="false" outlineLevel="0" collapsed="false">
      <c r="A2506" s="4"/>
      <c r="B2506" s="8"/>
      <c r="C2506" s="8"/>
      <c r="D2506" s="8"/>
      <c r="E2506" s="8"/>
      <c r="F2506" s="8"/>
      <c r="G2506" s="8"/>
      <c r="H2506" s="8"/>
      <c r="I2506" s="8"/>
      <c r="J2506" s="8"/>
      <c r="K2506" s="8"/>
      <c r="L2506" s="8"/>
      <c r="M2506" s="8"/>
      <c r="N2506" s="8"/>
      <c r="O2506" s="8"/>
      <c r="P2506" s="4"/>
      <c r="Q2506" s="8"/>
      <c r="R2506" s="4"/>
      <c r="S2506" s="4"/>
    </row>
    <row r="2507" customFormat="false" ht="15" hidden="false" customHeight="false" outlineLevel="0" collapsed="false">
      <c r="A2507" s="4"/>
      <c r="B2507" s="8"/>
      <c r="C2507" s="8"/>
      <c r="D2507" s="8"/>
      <c r="E2507" s="8"/>
      <c r="F2507" s="8"/>
      <c r="G2507" s="8"/>
      <c r="H2507" s="8"/>
      <c r="I2507" s="8"/>
      <c r="J2507" s="8"/>
      <c r="K2507" s="8"/>
      <c r="L2507" s="8"/>
      <c r="M2507" s="8"/>
      <c r="N2507" s="8"/>
      <c r="O2507" s="8"/>
      <c r="P2507" s="4"/>
      <c r="Q2507" s="8"/>
      <c r="R2507" s="4"/>
      <c r="S2507" s="4"/>
    </row>
    <row r="2508" customFormat="false" ht="15" hidden="false" customHeight="false" outlineLevel="0" collapsed="false">
      <c r="A2508" s="4"/>
      <c r="B2508" s="8"/>
      <c r="C2508" s="8"/>
      <c r="D2508" s="8"/>
      <c r="E2508" s="8"/>
      <c r="F2508" s="8"/>
      <c r="G2508" s="8"/>
      <c r="H2508" s="8"/>
      <c r="I2508" s="8"/>
      <c r="J2508" s="8"/>
      <c r="K2508" s="8"/>
      <c r="L2508" s="8"/>
      <c r="M2508" s="8"/>
      <c r="N2508" s="8"/>
      <c r="O2508" s="8"/>
      <c r="P2508" s="4"/>
      <c r="Q2508" s="8"/>
      <c r="R2508" s="4"/>
      <c r="S2508" s="4"/>
    </row>
    <row r="2509" customFormat="false" ht="15" hidden="false" customHeight="false" outlineLevel="0" collapsed="false">
      <c r="A2509" s="4"/>
      <c r="B2509" s="8"/>
      <c r="C2509" s="8"/>
      <c r="D2509" s="8"/>
      <c r="E2509" s="8"/>
      <c r="F2509" s="8"/>
      <c r="G2509" s="8"/>
      <c r="H2509" s="8"/>
      <c r="I2509" s="8"/>
      <c r="J2509" s="8"/>
      <c r="K2509" s="8"/>
      <c r="L2509" s="8"/>
      <c r="M2509" s="8"/>
      <c r="N2509" s="8"/>
      <c r="O2509" s="8"/>
      <c r="P2509" s="4"/>
      <c r="Q2509" s="8"/>
      <c r="R2509" s="4"/>
      <c r="S2509" s="4"/>
    </row>
    <row r="2510" customFormat="false" ht="15" hidden="false" customHeight="false" outlineLevel="0" collapsed="false">
      <c r="A2510" s="4"/>
      <c r="B2510" s="8"/>
      <c r="C2510" s="8"/>
      <c r="D2510" s="8"/>
      <c r="E2510" s="8"/>
      <c r="F2510" s="8"/>
      <c r="G2510" s="8"/>
      <c r="H2510" s="8"/>
      <c r="I2510" s="8"/>
      <c r="J2510" s="8"/>
      <c r="K2510" s="8"/>
      <c r="L2510" s="8"/>
      <c r="M2510" s="8"/>
      <c r="N2510" s="8"/>
      <c r="O2510" s="8"/>
      <c r="P2510" s="4"/>
      <c r="Q2510" s="8"/>
      <c r="R2510" s="4"/>
      <c r="S2510" s="4"/>
    </row>
    <row r="2511" customFormat="false" ht="15" hidden="false" customHeight="false" outlineLevel="0" collapsed="false">
      <c r="A2511" s="4"/>
      <c r="B2511" s="8"/>
      <c r="C2511" s="8"/>
      <c r="D2511" s="8"/>
      <c r="E2511" s="8"/>
      <c r="F2511" s="8"/>
      <c r="G2511" s="8"/>
      <c r="H2511" s="8"/>
      <c r="I2511" s="8"/>
      <c r="J2511" s="8"/>
      <c r="K2511" s="8"/>
      <c r="L2511" s="8"/>
      <c r="M2511" s="8"/>
      <c r="N2511" s="8"/>
      <c r="O2511" s="8"/>
      <c r="P2511" s="4"/>
      <c r="Q2511" s="8"/>
      <c r="R2511" s="4"/>
      <c r="S2511" s="4"/>
    </row>
    <row r="2512" customFormat="false" ht="15" hidden="false" customHeight="false" outlineLevel="0" collapsed="false">
      <c r="A2512" s="4"/>
      <c r="B2512" s="8"/>
      <c r="C2512" s="8"/>
      <c r="D2512" s="8"/>
      <c r="E2512" s="8"/>
      <c r="F2512" s="8"/>
      <c r="G2512" s="8"/>
      <c r="H2512" s="8"/>
      <c r="I2512" s="8"/>
      <c r="J2512" s="8"/>
      <c r="K2512" s="8"/>
      <c r="L2512" s="8"/>
      <c r="M2512" s="8"/>
      <c r="N2512" s="8"/>
      <c r="O2512" s="8"/>
      <c r="P2512" s="4"/>
      <c r="Q2512" s="8"/>
      <c r="R2512" s="4"/>
      <c r="S2512" s="4"/>
    </row>
    <row r="2513" customFormat="false" ht="15" hidden="false" customHeight="false" outlineLevel="0" collapsed="false">
      <c r="A2513" s="4"/>
      <c r="B2513" s="8"/>
      <c r="C2513" s="8"/>
      <c r="D2513" s="8"/>
      <c r="E2513" s="8"/>
      <c r="F2513" s="8"/>
      <c r="G2513" s="8"/>
      <c r="H2513" s="8"/>
      <c r="I2513" s="8"/>
      <c r="J2513" s="8"/>
      <c r="K2513" s="8"/>
      <c r="L2513" s="8"/>
      <c r="M2513" s="8"/>
      <c r="N2513" s="8"/>
      <c r="O2513" s="8"/>
      <c r="P2513" s="4"/>
      <c r="Q2513" s="8"/>
      <c r="R2513" s="4"/>
      <c r="S2513" s="4"/>
    </row>
    <row r="2514" customFormat="false" ht="15" hidden="false" customHeight="false" outlineLevel="0" collapsed="false">
      <c r="A2514" s="4"/>
      <c r="B2514" s="8"/>
      <c r="C2514" s="8"/>
      <c r="D2514" s="8"/>
      <c r="E2514" s="8"/>
      <c r="F2514" s="8"/>
      <c r="G2514" s="8"/>
      <c r="H2514" s="8"/>
      <c r="I2514" s="8"/>
      <c r="J2514" s="8"/>
      <c r="K2514" s="8"/>
      <c r="L2514" s="8"/>
      <c r="M2514" s="8"/>
      <c r="N2514" s="8"/>
      <c r="O2514" s="8"/>
      <c r="P2514" s="4"/>
      <c r="Q2514" s="8"/>
      <c r="R2514" s="4"/>
      <c r="S2514" s="4"/>
    </row>
    <row r="2515" customFormat="false" ht="15" hidden="false" customHeight="false" outlineLevel="0" collapsed="false">
      <c r="A2515" s="4"/>
      <c r="B2515" s="8"/>
      <c r="C2515" s="8"/>
      <c r="D2515" s="8"/>
      <c r="E2515" s="8"/>
      <c r="F2515" s="8"/>
      <c r="G2515" s="8"/>
      <c r="H2515" s="8"/>
      <c r="I2515" s="8"/>
      <c r="J2515" s="8"/>
      <c r="K2515" s="8"/>
      <c r="L2515" s="8"/>
      <c r="M2515" s="8"/>
      <c r="N2515" s="8"/>
      <c r="O2515" s="8"/>
      <c r="P2515" s="4"/>
      <c r="Q2515" s="8"/>
      <c r="R2515" s="4"/>
      <c r="S2515" s="4"/>
    </row>
    <row r="2516" customFormat="false" ht="15" hidden="false" customHeight="false" outlineLevel="0" collapsed="false">
      <c r="A2516" s="4"/>
      <c r="B2516" s="8"/>
      <c r="C2516" s="8"/>
      <c r="D2516" s="8"/>
      <c r="E2516" s="8"/>
      <c r="F2516" s="8"/>
      <c r="G2516" s="8"/>
      <c r="H2516" s="8"/>
      <c r="I2516" s="8"/>
      <c r="J2516" s="8"/>
      <c r="K2516" s="8"/>
      <c r="L2516" s="8"/>
      <c r="M2516" s="8"/>
      <c r="N2516" s="8"/>
      <c r="O2516" s="8"/>
      <c r="P2516" s="4"/>
      <c r="Q2516" s="8"/>
      <c r="R2516" s="4"/>
      <c r="S2516" s="4"/>
    </row>
    <row r="2517" customFormat="false" ht="15" hidden="false" customHeight="false" outlineLevel="0" collapsed="false">
      <c r="A2517" s="4"/>
      <c r="B2517" s="8"/>
      <c r="C2517" s="8"/>
      <c r="D2517" s="8"/>
      <c r="E2517" s="8"/>
      <c r="F2517" s="8"/>
      <c r="G2517" s="8"/>
      <c r="H2517" s="8"/>
      <c r="I2517" s="8"/>
      <c r="J2517" s="8"/>
      <c r="K2517" s="8"/>
      <c r="L2517" s="8"/>
      <c r="M2517" s="8"/>
      <c r="N2517" s="8"/>
      <c r="O2517" s="8"/>
      <c r="P2517" s="4"/>
      <c r="Q2517" s="8"/>
      <c r="R2517" s="4"/>
      <c r="S2517" s="4"/>
    </row>
    <row r="2518" customFormat="false" ht="15" hidden="false" customHeight="false" outlineLevel="0" collapsed="false">
      <c r="A2518" s="4"/>
      <c r="B2518" s="8"/>
      <c r="C2518" s="8"/>
      <c r="D2518" s="8"/>
      <c r="E2518" s="8"/>
      <c r="F2518" s="8"/>
      <c r="G2518" s="8"/>
      <c r="H2518" s="8"/>
      <c r="I2518" s="8"/>
      <c r="J2518" s="8"/>
      <c r="K2518" s="8"/>
      <c r="L2518" s="8"/>
      <c r="M2518" s="8"/>
      <c r="N2518" s="8"/>
      <c r="O2518" s="8"/>
      <c r="P2518" s="4"/>
      <c r="Q2518" s="8"/>
      <c r="R2518" s="4"/>
      <c r="S2518" s="4"/>
    </row>
    <row r="2519" customFormat="false" ht="15" hidden="false" customHeight="false" outlineLevel="0" collapsed="false">
      <c r="A2519" s="4"/>
      <c r="B2519" s="8"/>
      <c r="C2519" s="8"/>
      <c r="D2519" s="8"/>
      <c r="E2519" s="8"/>
      <c r="F2519" s="8"/>
      <c r="G2519" s="8"/>
      <c r="H2519" s="8"/>
      <c r="I2519" s="8"/>
      <c r="J2519" s="8"/>
      <c r="K2519" s="8"/>
      <c r="L2519" s="8"/>
      <c r="M2519" s="8"/>
      <c r="N2519" s="8"/>
      <c r="O2519" s="8"/>
      <c r="P2519" s="4"/>
      <c r="Q2519" s="8"/>
      <c r="R2519" s="4"/>
      <c r="S2519" s="4"/>
    </row>
    <row r="2520" customFormat="false" ht="15" hidden="false" customHeight="false" outlineLevel="0" collapsed="false">
      <c r="A2520" s="4"/>
      <c r="B2520" s="8"/>
      <c r="C2520" s="8"/>
      <c r="D2520" s="8"/>
      <c r="E2520" s="8"/>
      <c r="F2520" s="8"/>
      <c r="G2520" s="8"/>
      <c r="H2520" s="8"/>
      <c r="I2520" s="8"/>
      <c r="J2520" s="8"/>
      <c r="K2520" s="8"/>
      <c r="L2520" s="8"/>
      <c r="M2520" s="8"/>
      <c r="N2520" s="8"/>
      <c r="O2520" s="8"/>
      <c r="P2520" s="4"/>
      <c r="Q2520" s="8"/>
      <c r="R2520" s="4"/>
      <c r="S2520" s="4"/>
    </row>
    <row r="2521" customFormat="false" ht="15" hidden="false" customHeight="false" outlineLevel="0" collapsed="false">
      <c r="A2521" s="4"/>
      <c r="B2521" s="8"/>
      <c r="C2521" s="8"/>
      <c r="D2521" s="8"/>
      <c r="E2521" s="8"/>
      <c r="F2521" s="8"/>
      <c r="G2521" s="8"/>
      <c r="H2521" s="8"/>
      <c r="I2521" s="8"/>
      <c r="J2521" s="8"/>
      <c r="K2521" s="8"/>
      <c r="L2521" s="8"/>
      <c r="M2521" s="8"/>
      <c r="N2521" s="8"/>
      <c r="O2521" s="8"/>
      <c r="P2521" s="4"/>
      <c r="Q2521" s="8"/>
      <c r="R2521" s="4"/>
      <c r="S2521" s="4"/>
    </row>
    <row r="2522" customFormat="false" ht="15" hidden="false" customHeight="false" outlineLevel="0" collapsed="false">
      <c r="A2522" s="4"/>
      <c r="B2522" s="8"/>
      <c r="C2522" s="8"/>
      <c r="D2522" s="8"/>
      <c r="E2522" s="8"/>
      <c r="F2522" s="8"/>
      <c r="G2522" s="8"/>
      <c r="H2522" s="8"/>
      <c r="I2522" s="8"/>
      <c r="J2522" s="8"/>
      <c r="K2522" s="8"/>
      <c r="L2522" s="8"/>
      <c r="M2522" s="8"/>
      <c r="N2522" s="8"/>
      <c r="O2522" s="8"/>
      <c r="P2522" s="4"/>
      <c r="Q2522" s="8"/>
      <c r="R2522" s="4"/>
      <c r="S2522" s="4"/>
    </row>
    <row r="2523" customFormat="false" ht="15" hidden="false" customHeight="false" outlineLevel="0" collapsed="false">
      <c r="A2523" s="4"/>
      <c r="B2523" s="8"/>
      <c r="C2523" s="8"/>
      <c r="D2523" s="8"/>
      <c r="E2523" s="8"/>
      <c r="F2523" s="8"/>
      <c r="G2523" s="8"/>
      <c r="H2523" s="8"/>
      <c r="I2523" s="8"/>
      <c r="J2523" s="8"/>
      <c r="K2523" s="8"/>
      <c r="L2523" s="8"/>
      <c r="M2523" s="8"/>
      <c r="N2523" s="8"/>
      <c r="O2523" s="8"/>
      <c r="P2523" s="4"/>
      <c r="Q2523" s="8"/>
      <c r="R2523" s="4"/>
      <c r="S2523" s="4"/>
    </row>
    <row r="2524" customFormat="false" ht="15" hidden="false" customHeight="false" outlineLevel="0" collapsed="false">
      <c r="A2524" s="4"/>
      <c r="B2524" s="8"/>
      <c r="C2524" s="8"/>
      <c r="D2524" s="8"/>
      <c r="E2524" s="8"/>
      <c r="F2524" s="8"/>
      <c r="G2524" s="8"/>
      <c r="H2524" s="8"/>
      <c r="I2524" s="8"/>
      <c r="J2524" s="8"/>
      <c r="K2524" s="8"/>
      <c r="L2524" s="8"/>
      <c r="M2524" s="8"/>
      <c r="N2524" s="8"/>
      <c r="O2524" s="8"/>
      <c r="P2524" s="4"/>
      <c r="Q2524" s="8"/>
      <c r="R2524" s="4"/>
      <c r="S2524" s="4"/>
    </row>
    <row r="2525" customFormat="false" ht="15" hidden="false" customHeight="false" outlineLevel="0" collapsed="false">
      <c r="A2525" s="4"/>
      <c r="B2525" s="8"/>
      <c r="C2525" s="8"/>
      <c r="D2525" s="8"/>
      <c r="E2525" s="8"/>
      <c r="F2525" s="8"/>
      <c r="G2525" s="8"/>
      <c r="H2525" s="8"/>
      <c r="I2525" s="8"/>
      <c r="J2525" s="8"/>
      <c r="K2525" s="8"/>
      <c r="L2525" s="8"/>
      <c r="M2525" s="8"/>
      <c r="N2525" s="8"/>
      <c r="O2525" s="8"/>
      <c r="P2525" s="4"/>
      <c r="Q2525" s="8"/>
      <c r="R2525" s="4"/>
      <c r="S2525" s="4"/>
    </row>
    <row r="2526" customFormat="false" ht="15" hidden="false" customHeight="false" outlineLevel="0" collapsed="false">
      <c r="A2526" s="4"/>
      <c r="B2526" s="8"/>
      <c r="C2526" s="8"/>
      <c r="D2526" s="8"/>
      <c r="E2526" s="8"/>
      <c r="F2526" s="8"/>
      <c r="G2526" s="8"/>
      <c r="H2526" s="8"/>
      <c r="I2526" s="8"/>
      <c r="J2526" s="8"/>
      <c r="K2526" s="8"/>
      <c r="L2526" s="8"/>
      <c r="M2526" s="8"/>
      <c r="N2526" s="8"/>
      <c r="O2526" s="8"/>
      <c r="P2526" s="4"/>
      <c r="Q2526" s="8"/>
      <c r="R2526" s="4"/>
      <c r="S2526" s="4"/>
    </row>
    <row r="2527" customFormat="false" ht="15" hidden="false" customHeight="false" outlineLevel="0" collapsed="false">
      <c r="A2527" s="4"/>
      <c r="B2527" s="8"/>
      <c r="C2527" s="8"/>
      <c r="D2527" s="8"/>
      <c r="E2527" s="8"/>
      <c r="F2527" s="8"/>
      <c r="G2527" s="8"/>
      <c r="H2527" s="8"/>
      <c r="I2527" s="8"/>
      <c r="J2527" s="8"/>
      <c r="K2527" s="8"/>
      <c r="L2527" s="8"/>
      <c r="M2527" s="8"/>
      <c r="N2527" s="8"/>
      <c r="O2527" s="8"/>
      <c r="P2527" s="4"/>
      <c r="Q2527" s="8"/>
      <c r="R2527" s="4"/>
      <c r="S2527" s="4"/>
    </row>
    <row r="2528" customFormat="false" ht="15" hidden="false" customHeight="false" outlineLevel="0" collapsed="false">
      <c r="A2528" s="4"/>
      <c r="B2528" s="8"/>
      <c r="C2528" s="8"/>
      <c r="D2528" s="8"/>
      <c r="E2528" s="8"/>
      <c r="F2528" s="8"/>
      <c r="G2528" s="8"/>
      <c r="H2528" s="8"/>
      <c r="I2528" s="8"/>
      <c r="J2528" s="8"/>
      <c r="K2528" s="8"/>
      <c r="L2528" s="8"/>
      <c r="M2528" s="8"/>
      <c r="N2528" s="8"/>
      <c r="O2528" s="8"/>
      <c r="P2528" s="4"/>
      <c r="Q2528" s="8"/>
      <c r="R2528" s="4"/>
      <c r="S2528" s="4"/>
    </row>
    <row r="2529" customFormat="false" ht="15" hidden="false" customHeight="false" outlineLevel="0" collapsed="false">
      <c r="A2529" s="4"/>
      <c r="B2529" s="8"/>
      <c r="C2529" s="8"/>
      <c r="D2529" s="8"/>
      <c r="E2529" s="8"/>
      <c r="F2529" s="8"/>
      <c r="G2529" s="8"/>
      <c r="H2529" s="8"/>
      <c r="I2529" s="8"/>
      <c r="J2529" s="8"/>
      <c r="K2529" s="8"/>
      <c r="L2529" s="8"/>
      <c r="M2529" s="8"/>
      <c r="N2529" s="8"/>
      <c r="O2529" s="8"/>
      <c r="P2529" s="4"/>
      <c r="Q2529" s="8"/>
      <c r="R2529" s="4"/>
      <c r="S2529" s="4"/>
    </row>
    <row r="2530" customFormat="false" ht="15" hidden="false" customHeight="false" outlineLevel="0" collapsed="false">
      <c r="A2530" s="4"/>
      <c r="B2530" s="8"/>
      <c r="C2530" s="8"/>
      <c r="D2530" s="8"/>
      <c r="E2530" s="8"/>
      <c r="F2530" s="8"/>
      <c r="G2530" s="8"/>
      <c r="H2530" s="8"/>
      <c r="I2530" s="8"/>
      <c r="J2530" s="8"/>
      <c r="K2530" s="8"/>
      <c r="L2530" s="8"/>
      <c r="M2530" s="8"/>
      <c r="N2530" s="8"/>
      <c r="O2530" s="8"/>
      <c r="P2530" s="4"/>
      <c r="Q2530" s="8"/>
      <c r="R2530" s="4"/>
      <c r="S2530" s="4"/>
    </row>
    <row r="2531" customFormat="false" ht="15" hidden="false" customHeight="false" outlineLevel="0" collapsed="false">
      <c r="A2531" s="4"/>
      <c r="B2531" s="8"/>
      <c r="C2531" s="8"/>
      <c r="D2531" s="8"/>
      <c r="E2531" s="8"/>
      <c r="F2531" s="8"/>
      <c r="G2531" s="8"/>
      <c r="H2531" s="8"/>
      <c r="I2531" s="8"/>
      <c r="J2531" s="8"/>
      <c r="K2531" s="8"/>
      <c r="L2531" s="8"/>
      <c r="M2531" s="8"/>
      <c r="N2531" s="8"/>
      <c r="O2531" s="8"/>
      <c r="P2531" s="4"/>
      <c r="Q2531" s="8"/>
      <c r="R2531" s="4"/>
      <c r="S2531" s="4"/>
    </row>
    <row r="2532" customFormat="false" ht="15" hidden="false" customHeight="false" outlineLevel="0" collapsed="false">
      <c r="A2532" s="4"/>
      <c r="B2532" s="8"/>
      <c r="C2532" s="8"/>
      <c r="D2532" s="8"/>
      <c r="E2532" s="8"/>
      <c r="F2532" s="8"/>
      <c r="G2532" s="8"/>
      <c r="H2532" s="8"/>
      <c r="I2532" s="8"/>
      <c r="J2532" s="8"/>
      <c r="K2532" s="8"/>
      <c r="L2532" s="8"/>
      <c r="M2532" s="8"/>
      <c r="N2532" s="8"/>
      <c r="O2532" s="8"/>
      <c r="P2532" s="4"/>
      <c r="Q2532" s="8"/>
      <c r="R2532" s="4"/>
      <c r="S2532" s="4"/>
    </row>
    <row r="2533" customFormat="false" ht="15" hidden="false" customHeight="false" outlineLevel="0" collapsed="false">
      <c r="A2533" s="4"/>
      <c r="B2533" s="8"/>
      <c r="C2533" s="8"/>
      <c r="D2533" s="8"/>
      <c r="E2533" s="8"/>
      <c r="F2533" s="8"/>
      <c r="G2533" s="8"/>
      <c r="H2533" s="8"/>
      <c r="I2533" s="8"/>
      <c r="J2533" s="8"/>
      <c r="K2533" s="8"/>
      <c r="L2533" s="8"/>
      <c r="M2533" s="8"/>
      <c r="N2533" s="8"/>
      <c r="O2533" s="8"/>
      <c r="P2533" s="4"/>
      <c r="Q2533" s="8"/>
      <c r="R2533" s="4"/>
      <c r="S2533" s="4"/>
    </row>
    <row r="2534" customFormat="false" ht="15" hidden="false" customHeight="false" outlineLevel="0" collapsed="false">
      <c r="A2534" s="4"/>
      <c r="B2534" s="8"/>
      <c r="C2534" s="8"/>
      <c r="D2534" s="8"/>
      <c r="E2534" s="8"/>
      <c r="F2534" s="8"/>
      <c r="G2534" s="8"/>
      <c r="H2534" s="8"/>
      <c r="I2534" s="8"/>
      <c r="J2534" s="8"/>
      <c r="K2534" s="8"/>
      <c r="L2534" s="8"/>
      <c r="M2534" s="8"/>
      <c r="N2534" s="8"/>
      <c r="O2534" s="8"/>
      <c r="P2534" s="4"/>
      <c r="Q2534" s="8"/>
      <c r="R2534" s="4"/>
      <c r="S2534" s="4"/>
    </row>
    <row r="2535" customFormat="false" ht="15" hidden="false" customHeight="false" outlineLevel="0" collapsed="false">
      <c r="A2535" s="4"/>
      <c r="B2535" s="8"/>
      <c r="C2535" s="8"/>
      <c r="D2535" s="8"/>
      <c r="E2535" s="8"/>
      <c r="F2535" s="8"/>
      <c r="G2535" s="8"/>
      <c r="H2535" s="8"/>
      <c r="I2535" s="8"/>
      <c r="J2535" s="8"/>
      <c r="K2535" s="8"/>
      <c r="L2535" s="8"/>
      <c r="M2535" s="8"/>
      <c r="N2535" s="8"/>
      <c r="O2535" s="8"/>
      <c r="P2535" s="4"/>
      <c r="Q2535" s="8"/>
      <c r="R2535" s="4"/>
      <c r="S2535" s="4"/>
    </row>
    <row r="2536" customFormat="false" ht="15" hidden="false" customHeight="false" outlineLevel="0" collapsed="false">
      <c r="A2536" s="4"/>
      <c r="B2536" s="8"/>
      <c r="C2536" s="8"/>
      <c r="D2536" s="8"/>
      <c r="E2536" s="8"/>
      <c r="F2536" s="8"/>
      <c r="G2536" s="8"/>
      <c r="H2536" s="8"/>
      <c r="I2536" s="8"/>
      <c r="J2536" s="8"/>
      <c r="K2536" s="8"/>
      <c r="L2536" s="8"/>
      <c r="M2536" s="8"/>
      <c r="N2536" s="8"/>
      <c r="O2536" s="8"/>
      <c r="P2536" s="4"/>
      <c r="Q2536" s="8"/>
      <c r="R2536" s="4"/>
      <c r="S2536" s="4"/>
    </row>
    <row r="2537" customFormat="false" ht="15" hidden="false" customHeight="false" outlineLevel="0" collapsed="false">
      <c r="A2537" s="4"/>
      <c r="B2537" s="8"/>
      <c r="C2537" s="8"/>
      <c r="D2537" s="8"/>
      <c r="E2537" s="8"/>
      <c r="F2537" s="8"/>
      <c r="G2537" s="8"/>
      <c r="H2537" s="8"/>
      <c r="I2537" s="8"/>
      <c r="J2537" s="8"/>
      <c r="K2537" s="8"/>
      <c r="L2537" s="8"/>
      <c r="M2537" s="8"/>
      <c r="N2537" s="8"/>
      <c r="O2537" s="8"/>
      <c r="P2537" s="4"/>
      <c r="Q2537" s="8"/>
      <c r="R2537" s="4"/>
      <c r="S2537" s="4"/>
    </row>
    <row r="2538" customFormat="false" ht="15" hidden="false" customHeight="false" outlineLevel="0" collapsed="false">
      <c r="A2538" s="4"/>
      <c r="B2538" s="8"/>
      <c r="C2538" s="8"/>
      <c r="D2538" s="8"/>
      <c r="E2538" s="8"/>
      <c r="F2538" s="8"/>
      <c r="G2538" s="8"/>
      <c r="H2538" s="8"/>
      <c r="I2538" s="8"/>
      <c r="J2538" s="8"/>
      <c r="K2538" s="8"/>
      <c r="L2538" s="8"/>
      <c r="M2538" s="8"/>
      <c r="N2538" s="8"/>
      <c r="O2538" s="8"/>
      <c r="P2538" s="4"/>
      <c r="Q2538" s="8"/>
      <c r="R2538" s="4"/>
      <c r="S2538" s="4"/>
    </row>
    <row r="2539" customFormat="false" ht="15" hidden="false" customHeight="false" outlineLevel="0" collapsed="false">
      <c r="A2539" s="4"/>
      <c r="B2539" s="8"/>
      <c r="C2539" s="8"/>
      <c r="D2539" s="8"/>
      <c r="E2539" s="8"/>
      <c r="F2539" s="8"/>
      <c r="G2539" s="8"/>
      <c r="H2539" s="8"/>
      <c r="I2539" s="8"/>
      <c r="J2539" s="8"/>
      <c r="K2539" s="8"/>
      <c r="L2539" s="8"/>
      <c r="M2539" s="8"/>
      <c r="N2539" s="8"/>
      <c r="O2539" s="8"/>
      <c r="P2539" s="4"/>
      <c r="Q2539" s="8"/>
      <c r="R2539" s="4"/>
      <c r="S2539" s="4"/>
    </row>
    <row r="2540" customFormat="false" ht="15" hidden="false" customHeight="false" outlineLevel="0" collapsed="false">
      <c r="A2540" s="4"/>
      <c r="B2540" s="8"/>
      <c r="C2540" s="8"/>
      <c r="D2540" s="8"/>
      <c r="E2540" s="8"/>
      <c r="F2540" s="8"/>
      <c r="G2540" s="8"/>
      <c r="H2540" s="8"/>
      <c r="I2540" s="8"/>
      <c r="J2540" s="8"/>
      <c r="K2540" s="8"/>
      <c r="L2540" s="8"/>
      <c r="M2540" s="8"/>
      <c r="N2540" s="8"/>
      <c r="O2540" s="8"/>
      <c r="P2540" s="4"/>
      <c r="Q2540" s="8"/>
      <c r="R2540" s="4"/>
      <c r="S2540" s="4"/>
    </row>
    <row r="2541" customFormat="false" ht="15" hidden="false" customHeight="false" outlineLevel="0" collapsed="false">
      <c r="A2541" s="4"/>
      <c r="B2541" s="8"/>
      <c r="C2541" s="8"/>
      <c r="D2541" s="8"/>
      <c r="E2541" s="8"/>
      <c r="F2541" s="8"/>
      <c r="G2541" s="8"/>
      <c r="H2541" s="8"/>
      <c r="I2541" s="8"/>
      <c r="J2541" s="8"/>
      <c r="K2541" s="8"/>
      <c r="L2541" s="8"/>
      <c r="M2541" s="8"/>
      <c r="N2541" s="8"/>
      <c r="O2541" s="8"/>
      <c r="P2541" s="4"/>
      <c r="Q2541" s="8"/>
      <c r="R2541" s="4"/>
      <c r="S2541" s="4"/>
    </row>
    <row r="2542" customFormat="false" ht="15" hidden="false" customHeight="false" outlineLevel="0" collapsed="false">
      <c r="A2542" s="4"/>
      <c r="B2542" s="8"/>
      <c r="C2542" s="8"/>
      <c r="D2542" s="8"/>
      <c r="E2542" s="8"/>
      <c r="F2542" s="8"/>
      <c r="G2542" s="8"/>
      <c r="H2542" s="8"/>
      <c r="I2542" s="8"/>
      <c r="J2542" s="8"/>
      <c r="K2542" s="8"/>
      <c r="L2542" s="8"/>
      <c r="M2542" s="8"/>
      <c r="N2542" s="8"/>
      <c r="O2542" s="8"/>
      <c r="P2542" s="4"/>
      <c r="Q2542" s="8"/>
      <c r="R2542" s="4"/>
      <c r="S2542" s="4"/>
    </row>
    <row r="2543" customFormat="false" ht="15" hidden="false" customHeight="false" outlineLevel="0" collapsed="false">
      <c r="A2543" s="4"/>
      <c r="B2543" s="8"/>
      <c r="C2543" s="8"/>
      <c r="D2543" s="8"/>
      <c r="E2543" s="8"/>
      <c r="F2543" s="8"/>
      <c r="G2543" s="8"/>
      <c r="H2543" s="8"/>
      <c r="I2543" s="8"/>
      <c r="J2543" s="8"/>
      <c r="K2543" s="8"/>
      <c r="L2543" s="8"/>
      <c r="M2543" s="8"/>
      <c r="N2543" s="8"/>
      <c r="O2543" s="8"/>
      <c r="P2543" s="4"/>
      <c r="Q2543" s="8"/>
      <c r="R2543" s="4"/>
      <c r="S2543" s="4"/>
    </row>
    <row r="2544" customFormat="false" ht="15" hidden="false" customHeight="false" outlineLevel="0" collapsed="false">
      <c r="A2544" s="4"/>
      <c r="B2544" s="8"/>
      <c r="C2544" s="8"/>
      <c r="D2544" s="8"/>
      <c r="E2544" s="8"/>
      <c r="F2544" s="8"/>
      <c r="G2544" s="8"/>
      <c r="H2544" s="8"/>
      <c r="I2544" s="8"/>
      <c r="J2544" s="8"/>
      <c r="K2544" s="8"/>
      <c r="L2544" s="8"/>
      <c r="M2544" s="8"/>
      <c r="N2544" s="8"/>
      <c r="O2544" s="8"/>
      <c r="P2544" s="4"/>
      <c r="Q2544" s="8"/>
      <c r="R2544" s="4"/>
      <c r="S2544" s="4"/>
    </row>
    <row r="2545" customFormat="false" ht="15" hidden="false" customHeight="false" outlineLevel="0" collapsed="false">
      <c r="A2545" s="4"/>
      <c r="B2545" s="8"/>
      <c r="C2545" s="8"/>
      <c r="D2545" s="8"/>
      <c r="E2545" s="8"/>
      <c r="F2545" s="8"/>
      <c r="G2545" s="8"/>
      <c r="H2545" s="8"/>
      <c r="I2545" s="8"/>
      <c r="J2545" s="8"/>
      <c r="K2545" s="8"/>
      <c r="L2545" s="8"/>
      <c r="M2545" s="8"/>
      <c r="N2545" s="8"/>
      <c r="O2545" s="8"/>
      <c r="P2545" s="4"/>
      <c r="Q2545" s="8"/>
      <c r="R2545" s="4"/>
      <c r="S2545" s="4"/>
    </row>
    <row r="2546" customFormat="false" ht="15" hidden="false" customHeight="false" outlineLevel="0" collapsed="false">
      <c r="A2546" s="4"/>
      <c r="B2546" s="8"/>
      <c r="C2546" s="8"/>
      <c r="D2546" s="8"/>
      <c r="E2546" s="8"/>
      <c r="F2546" s="8"/>
      <c r="G2546" s="8"/>
      <c r="H2546" s="8"/>
      <c r="I2546" s="8"/>
      <c r="J2546" s="8"/>
      <c r="K2546" s="8"/>
      <c r="L2546" s="8"/>
      <c r="M2546" s="8"/>
      <c r="N2546" s="8"/>
      <c r="O2546" s="8"/>
      <c r="P2546" s="4"/>
      <c r="Q2546" s="8"/>
      <c r="R2546" s="4"/>
      <c r="S2546" s="4"/>
    </row>
    <row r="2547" customFormat="false" ht="15" hidden="false" customHeight="false" outlineLevel="0" collapsed="false">
      <c r="A2547" s="4"/>
      <c r="B2547" s="8"/>
      <c r="C2547" s="8"/>
      <c r="D2547" s="8"/>
      <c r="E2547" s="8"/>
      <c r="F2547" s="8"/>
      <c r="G2547" s="8"/>
      <c r="H2547" s="8"/>
      <c r="I2547" s="8"/>
      <c r="J2547" s="8"/>
      <c r="K2547" s="8"/>
      <c r="L2547" s="8"/>
      <c r="M2547" s="8"/>
      <c r="N2547" s="8"/>
      <c r="O2547" s="8"/>
      <c r="P2547" s="4"/>
      <c r="Q2547" s="8"/>
      <c r="R2547" s="4"/>
      <c r="S2547" s="4"/>
    </row>
    <row r="2548" customFormat="false" ht="15" hidden="false" customHeight="false" outlineLevel="0" collapsed="false">
      <c r="A2548" s="4"/>
      <c r="B2548" s="8"/>
      <c r="C2548" s="8"/>
      <c r="D2548" s="8"/>
      <c r="E2548" s="8"/>
      <c r="F2548" s="8"/>
      <c r="G2548" s="8"/>
      <c r="H2548" s="8"/>
      <c r="I2548" s="8"/>
      <c r="J2548" s="8"/>
      <c r="K2548" s="8"/>
      <c r="L2548" s="8"/>
      <c r="M2548" s="8"/>
      <c r="N2548" s="8"/>
      <c r="O2548" s="8"/>
      <c r="P2548" s="4"/>
      <c r="Q2548" s="8"/>
      <c r="R2548" s="4"/>
      <c r="S2548" s="4"/>
    </row>
    <row r="2549" customFormat="false" ht="15" hidden="false" customHeight="false" outlineLevel="0" collapsed="false">
      <c r="A2549" s="4"/>
      <c r="B2549" s="8"/>
      <c r="C2549" s="8"/>
      <c r="D2549" s="8"/>
      <c r="E2549" s="8"/>
      <c r="F2549" s="8"/>
      <c r="G2549" s="8"/>
      <c r="H2549" s="8"/>
      <c r="I2549" s="8"/>
      <c r="J2549" s="8"/>
      <c r="K2549" s="8"/>
      <c r="L2549" s="8"/>
      <c r="M2549" s="8"/>
      <c r="N2549" s="8"/>
      <c r="O2549" s="8"/>
      <c r="P2549" s="4"/>
      <c r="Q2549" s="8"/>
      <c r="R2549" s="4"/>
      <c r="S2549" s="4"/>
    </row>
    <row r="2550" customFormat="false" ht="15" hidden="false" customHeight="false" outlineLevel="0" collapsed="false">
      <c r="A2550" s="4"/>
      <c r="B2550" s="8"/>
      <c r="C2550" s="8"/>
      <c r="D2550" s="8"/>
      <c r="E2550" s="8"/>
      <c r="F2550" s="8"/>
      <c r="G2550" s="8"/>
      <c r="H2550" s="8"/>
      <c r="I2550" s="8"/>
      <c r="J2550" s="8"/>
      <c r="K2550" s="8"/>
      <c r="L2550" s="8"/>
      <c r="M2550" s="8"/>
      <c r="N2550" s="8"/>
      <c r="O2550" s="8"/>
      <c r="P2550" s="4"/>
      <c r="Q2550" s="8"/>
      <c r="R2550" s="4"/>
      <c r="S2550" s="4"/>
    </row>
    <row r="2551" customFormat="false" ht="15" hidden="false" customHeight="false" outlineLevel="0" collapsed="false">
      <c r="A2551" s="4"/>
      <c r="B2551" s="8"/>
      <c r="C2551" s="8"/>
      <c r="D2551" s="8"/>
      <c r="E2551" s="8"/>
      <c r="F2551" s="8"/>
      <c r="G2551" s="8"/>
      <c r="H2551" s="8"/>
      <c r="I2551" s="8"/>
      <c r="J2551" s="8"/>
      <c r="K2551" s="8"/>
      <c r="L2551" s="8"/>
      <c r="M2551" s="8"/>
      <c r="N2551" s="8"/>
      <c r="O2551" s="8"/>
      <c r="P2551" s="4"/>
      <c r="Q2551" s="8"/>
      <c r="R2551" s="4"/>
      <c r="S2551" s="4"/>
    </row>
    <row r="2552" customFormat="false" ht="15" hidden="false" customHeight="false" outlineLevel="0" collapsed="false">
      <c r="A2552" s="4"/>
      <c r="B2552" s="8"/>
      <c r="C2552" s="8"/>
      <c r="D2552" s="8"/>
      <c r="E2552" s="8"/>
      <c r="F2552" s="8"/>
      <c r="G2552" s="8"/>
      <c r="H2552" s="8"/>
      <c r="I2552" s="8"/>
      <c r="J2552" s="8"/>
      <c r="K2552" s="8"/>
      <c r="L2552" s="8"/>
      <c r="M2552" s="8"/>
      <c r="N2552" s="8"/>
      <c r="O2552" s="8"/>
      <c r="P2552" s="4"/>
      <c r="Q2552" s="8"/>
      <c r="R2552" s="4"/>
      <c r="S2552" s="4"/>
    </row>
    <row r="2553" customFormat="false" ht="15" hidden="false" customHeight="false" outlineLevel="0" collapsed="false">
      <c r="A2553" s="4"/>
      <c r="B2553" s="8"/>
      <c r="C2553" s="8"/>
      <c r="D2553" s="8"/>
      <c r="E2553" s="8"/>
      <c r="F2553" s="8"/>
      <c r="G2553" s="8"/>
      <c r="H2553" s="8"/>
      <c r="I2553" s="8"/>
      <c r="J2553" s="8"/>
      <c r="K2553" s="8"/>
      <c r="L2553" s="8"/>
      <c r="M2553" s="8"/>
      <c r="N2553" s="8"/>
      <c r="O2553" s="8"/>
      <c r="P2553" s="4"/>
      <c r="Q2553" s="8"/>
      <c r="R2553" s="4"/>
      <c r="S2553" s="4"/>
    </row>
    <row r="2554" customFormat="false" ht="15" hidden="false" customHeight="false" outlineLevel="0" collapsed="false">
      <c r="A2554" s="4"/>
      <c r="B2554" s="8"/>
      <c r="C2554" s="8"/>
      <c r="D2554" s="8"/>
      <c r="E2554" s="8"/>
      <c r="F2554" s="8"/>
      <c r="G2554" s="8"/>
      <c r="H2554" s="8"/>
      <c r="I2554" s="8"/>
      <c r="J2554" s="8"/>
      <c r="K2554" s="8"/>
      <c r="L2554" s="8"/>
      <c r="M2554" s="8"/>
      <c r="N2554" s="8"/>
      <c r="O2554" s="8"/>
      <c r="P2554" s="4"/>
      <c r="Q2554" s="8"/>
      <c r="R2554" s="4"/>
      <c r="S2554" s="4"/>
    </row>
    <row r="2555" customFormat="false" ht="15" hidden="false" customHeight="false" outlineLevel="0" collapsed="false">
      <c r="A2555" s="4"/>
      <c r="B2555" s="8"/>
      <c r="C2555" s="8"/>
      <c r="D2555" s="8"/>
      <c r="E2555" s="8"/>
      <c r="F2555" s="8"/>
      <c r="G2555" s="8"/>
      <c r="H2555" s="8"/>
      <c r="I2555" s="8"/>
      <c r="J2555" s="8"/>
      <c r="K2555" s="8"/>
      <c r="L2555" s="8"/>
      <c r="M2555" s="8"/>
      <c r="N2555" s="8"/>
      <c r="O2555" s="8"/>
      <c r="P2555" s="4"/>
      <c r="Q2555" s="8"/>
      <c r="R2555" s="4"/>
      <c r="S2555" s="4"/>
    </row>
    <row r="2556" customFormat="false" ht="15" hidden="false" customHeight="false" outlineLevel="0" collapsed="false">
      <c r="A2556" s="4"/>
      <c r="B2556" s="8"/>
      <c r="C2556" s="8"/>
      <c r="D2556" s="8"/>
      <c r="E2556" s="8"/>
      <c r="F2556" s="8"/>
      <c r="G2556" s="8"/>
      <c r="H2556" s="8"/>
      <c r="I2556" s="8"/>
      <c r="J2556" s="8"/>
      <c r="K2556" s="8"/>
      <c r="L2556" s="8"/>
      <c r="M2556" s="8"/>
      <c r="N2556" s="8"/>
      <c r="O2556" s="8"/>
      <c r="P2556" s="4"/>
      <c r="Q2556" s="8"/>
      <c r="R2556" s="4"/>
      <c r="S2556" s="4"/>
    </row>
    <row r="2557" customFormat="false" ht="15" hidden="false" customHeight="false" outlineLevel="0" collapsed="false">
      <c r="A2557" s="4"/>
      <c r="B2557" s="8"/>
      <c r="C2557" s="8"/>
      <c r="D2557" s="8"/>
      <c r="E2557" s="8"/>
      <c r="F2557" s="8"/>
      <c r="G2557" s="8"/>
      <c r="H2557" s="8"/>
      <c r="I2557" s="8"/>
      <c r="J2557" s="8"/>
      <c r="K2557" s="8"/>
      <c r="L2557" s="8"/>
      <c r="M2557" s="8"/>
      <c r="N2557" s="8"/>
      <c r="O2557" s="8"/>
      <c r="P2557" s="4"/>
      <c r="Q2557" s="8"/>
      <c r="R2557" s="4"/>
      <c r="S2557" s="4"/>
    </row>
    <row r="2558" customFormat="false" ht="15" hidden="false" customHeight="false" outlineLevel="0" collapsed="false">
      <c r="A2558" s="4"/>
      <c r="B2558" s="8"/>
      <c r="C2558" s="8"/>
      <c r="D2558" s="8"/>
      <c r="E2558" s="8"/>
      <c r="F2558" s="8"/>
      <c r="G2558" s="8"/>
      <c r="H2558" s="8"/>
      <c r="I2558" s="8"/>
      <c r="J2558" s="8"/>
      <c r="K2558" s="8"/>
      <c r="L2558" s="8"/>
      <c r="M2558" s="8"/>
      <c r="N2558" s="8"/>
      <c r="O2558" s="8"/>
      <c r="P2558" s="4"/>
      <c r="Q2558" s="8"/>
      <c r="R2558" s="4"/>
      <c r="S2558" s="4"/>
    </row>
    <row r="2559" customFormat="false" ht="15" hidden="false" customHeight="false" outlineLevel="0" collapsed="false">
      <c r="A2559" s="4"/>
      <c r="B2559" s="8"/>
      <c r="C2559" s="8"/>
      <c r="D2559" s="8"/>
      <c r="E2559" s="8"/>
      <c r="F2559" s="8"/>
      <c r="G2559" s="8"/>
      <c r="H2559" s="8"/>
      <c r="I2559" s="8"/>
      <c r="J2559" s="8"/>
      <c r="K2559" s="8"/>
      <c r="L2559" s="8"/>
      <c r="M2559" s="8"/>
      <c r="N2559" s="8"/>
      <c r="O2559" s="8"/>
      <c r="P2559" s="4"/>
      <c r="Q2559" s="8"/>
      <c r="R2559" s="4"/>
      <c r="S2559" s="4"/>
    </row>
    <row r="2560" customFormat="false" ht="15" hidden="false" customHeight="false" outlineLevel="0" collapsed="false">
      <c r="A2560" s="4"/>
      <c r="B2560" s="8"/>
      <c r="C2560" s="8"/>
      <c r="D2560" s="8"/>
      <c r="E2560" s="8"/>
      <c r="F2560" s="8"/>
      <c r="G2560" s="8"/>
      <c r="H2560" s="8"/>
      <c r="I2560" s="8"/>
      <c r="J2560" s="8"/>
      <c r="K2560" s="8"/>
      <c r="L2560" s="8"/>
      <c r="M2560" s="8"/>
      <c r="N2560" s="8"/>
      <c r="O2560" s="8"/>
      <c r="P2560" s="4"/>
      <c r="Q2560" s="8"/>
      <c r="R2560" s="4"/>
      <c r="S2560" s="4"/>
    </row>
    <row r="2561" customFormat="false" ht="15" hidden="false" customHeight="false" outlineLevel="0" collapsed="false">
      <c r="A2561" s="4"/>
      <c r="B2561" s="8"/>
      <c r="C2561" s="8"/>
      <c r="D2561" s="8"/>
      <c r="E2561" s="8"/>
      <c r="F2561" s="8"/>
      <c r="G2561" s="8"/>
      <c r="H2561" s="8"/>
      <c r="I2561" s="8"/>
      <c r="J2561" s="8"/>
      <c r="K2561" s="8"/>
      <c r="L2561" s="8"/>
      <c r="M2561" s="8"/>
      <c r="N2561" s="8"/>
      <c r="O2561" s="8"/>
      <c r="P2561" s="4"/>
      <c r="Q2561" s="8"/>
      <c r="R2561" s="4"/>
      <c r="S2561" s="4"/>
    </row>
    <row r="2562" customFormat="false" ht="15" hidden="false" customHeight="false" outlineLevel="0" collapsed="false">
      <c r="A2562" s="4"/>
      <c r="B2562" s="8"/>
      <c r="C2562" s="8"/>
      <c r="D2562" s="8"/>
      <c r="E2562" s="8"/>
      <c r="F2562" s="8"/>
      <c r="G2562" s="8"/>
      <c r="H2562" s="8"/>
      <c r="I2562" s="8"/>
      <c r="J2562" s="8"/>
      <c r="K2562" s="8"/>
      <c r="L2562" s="8"/>
      <c r="M2562" s="8"/>
      <c r="N2562" s="8"/>
      <c r="O2562" s="8"/>
      <c r="P2562" s="4"/>
      <c r="Q2562" s="8"/>
      <c r="R2562" s="4"/>
      <c r="S2562" s="4"/>
    </row>
    <row r="2563" customFormat="false" ht="15" hidden="false" customHeight="false" outlineLevel="0" collapsed="false">
      <c r="A2563" s="4"/>
      <c r="B2563" s="8"/>
      <c r="C2563" s="8"/>
      <c r="D2563" s="8"/>
      <c r="E2563" s="8"/>
      <c r="F2563" s="8"/>
      <c r="G2563" s="8"/>
      <c r="H2563" s="8"/>
      <c r="I2563" s="8"/>
      <c r="J2563" s="8"/>
      <c r="K2563" s="8"/>
      <c r="L2563" s="8"/>
      <c r="M2563" s="8"/>
      <c r="N2563" s="8"/>
      <c r="O2563" s="8"/>
      <c r="P2563" s="4"/>
      <c r="Q2563" s="8"/>
      <c r="R2563" s="4"/>
      <c r="S2563" s="4"/>
    </row>
    <row r="2564" customFormat="false" ht="15" hidden="false" customHeight="false" outlineLevel="0" collapsed="false">
      <c r="A2564" s="4"/>
      <c r="B2564" s="8"/>
      <c r="C2564" s="8"/>
      <c r="D2564" s="8"/>
      <c r="E2564" s="8"/>
      <c r="F2564" s="8"/>
      <c r="G2564" s="8"/>
      <c r="H2564" s="8"/>
      <c r="I2564" s="8"/>
      <c r="J2564" s="8"/>
      <c r="K2564" s="8"/>
      <c r="L2564" s="8"/>
      <c r="M2564" s="8"/>
      <c r="N2564" s="8"/>
      <c r="O2564" s="8"/>
      <c r="P2564" s="4"/>
      <c r="Q2564" s="8"/>
      <c r="R2564" s="4"/>
      <c r="S2564" s="4"/>
    </row>
    <row r="2565" customFormat="false" ht="15" hidden="false" customHeight="false" outlineLevel="0" collapsed="false">
      <c r="A2565" s="4"/>
      <c r="B2565" s="8"/>
      <c r="C2565" s="8"/>
      <c r="D2565" s="8"/>
      <c r="E2565" s="8"/>
      <c r="F2565" s="8"/>
      <c r="G2565" s="8"/>
      <c r="H2565" s="8"/>
      <c r="I2565" s="8"/>
      <c r="J2565" s="8"/>
      <c r="K2565" s="8"/>
      <c r="L2565" s="8"/>
      <c r="M2565" s="8"/>
      <c r="N2565" s="8"/>
      <c r="O2565" s="8"/>
      <c r="P2565" s="4"/>
      <c r="Q2565" s="8"/>
      <c r="R2565" s="4"/>
      <c r="S2565" s="4"/>
    </row>
    <row r="2566" customFormat="false" ht="15" hidden="false" customHeight="false" outlineLevel="0" collapsed="false">
      <c r="A2566" s="4"/>
      <c r="B2566" s="8"/>
      <c r="C2566" s="8"/>
      <c r="D2566" s="8"/>
      <c r="E2566" s="8"/>
      <c r="F2566" s="8"/>
      <c r="G2566" s="8"/>
      <c r="H2566" s="8"/>
      <c r="I2566" s="8"/>
      <c r="J2566" s="8"/>
      <c r="K2566" s="8"/>
      <c r="L2566" s="8"/>
      <c r="M2566" s="8"/>
      <c r="N2566" s="8"/>
      <c r="O2566" s="8"/>
      <c r="P2566" s="4"/>
      <c r="Q2566" s="8"/>
      <c r="R2566" s="4"/>
      <c r="S2566" s="4"/>
    </row>
    <row r="2567" customFormat="false" ht="15" hidden="false" customHeight="false" outlineLevel="0" collapsed="false">
      <c r="A2567" s="4"/>
      <c r="B2567" s="8"/>
      <c r="C2567" s="8"/>
      <c r="D2567" s="8"/>
      <c r="E2567" s="8"/>
      <c r="F2567" s="8"/>
      <c r="G2567" s="8"/>
      <c r="H2567" s="8"/>
      <c r="I2567" s="8"/>
      <c r="J2567" s="8"/>
      <c r="K2567" s="8"/>
      <c r="L2567" s="8"/>
      <c r="M2567" s="8"/>
      <c r="N2567" s="8"/>
      <c r="O2567" s="8"/>
      <c r="P2567" s="4"/>
      <c r="Q2567" s="8"/>
      <c r="R2567" s="4"/>
      <c r="S2567" s="4"/>
    </row>
    <row r="2568" customFormat="false" ht="15" hidden="false" customHeight="false" outlineLevel="0" collapsed="false">
      <c r="A2568" s="4"/>
      <c r="B2568" s="8"/>
      <c r="C2568" s="8"/>
      <c r="D2568" s="8"/>
      <c r="E2568" s="8"/>
      <c r="F2568" s="8"/>
      <c r="G2568" s="8"/>
      <c r="H2568" s="8"/>
      <c r="I2568" s="8"/>
      <c r="J2568" s="8"/>
      <c r="K2568" s="8"/>
      <c r="L2568" s="8"/>
      <c r="M2568" s="8"/>
      <c r="N2568" s="8"/>
      <c r="O2568" s="8"/>
      <c r="P2568" s="4"/>
      <c r="Q2568" s="8"/>
      <c r="R2568" s="4"/>
      <c r="S2568" s="4"/>
    </row>
    <row r="2569" customFormat="false" ht="15" hidden="false" customHeight="false" outlineLevel="0" collapsed="false">
      <c r="A2569" s="4"/>
      <c r="B2569" s="8"/>
      <c r="C2569" s="8"/>
      <c r="D2569" s="8"/>
      <c r="E2569" s="8"/>
      <c r="F2569" s="8"/>
      <c r="G2569" s="8"/>
      <c r="H2569" s="8"/>
      <c r="I2569" s="8"/>
      <c r="J2569" s="8"/>
      <c r="K2569" s="8"/>
      <c r="L2569" s="8"/>
      <c r="M2569" s="8"/>
      <c r="N2569" s="8"/>
      <c r="O2569" s="8"/>
      <c r="P2569" s="4"/>
      <c r="Q2569" s="8"/>
      <c r="R2569" s="4"/>
      <c r="S2569" s="4"/>
    </row>
    <row r="2570" customFormat="false" ht="15" hidden="false" customHeight="false" outlineLevel="0" collapsed="false">
      <c r="A2570" s="4"/>
      <c r="B2570" s="8"/>
      <c r="C2570" s="8"/>
      <c r="D2570" s="8"/>
      <c r="E2570" s="8"/>
      <c r="F2570" s="8"/>
      <c r="G2570" s="8"/>
      <c r="H2570" s="8"/>
      <c r="I2570" s="8"/>
      <c r="J2570" s="8"/>
      <c r="K2570" s="8"/>
      <c r="L2570" s="8"/>
      <c r="M2570" s="8"/>
      <c r="N2570" s="8"/>
      <c r="O2570" s="8"/>
      <c r="P2570" s="4"/>
      <c r="Q2570" s="8"/>
      <c r="R2570" s="4"/>
      <c r="S2570" s="4"/>
    </row>
    <row r="2571" customFormat="false" ht="15" hidden="false" customHeight="false" outlineLevel="0" collapsed="false">
      <c r="A2571" s="4"/>
      <c r="B2571" s="8"/>
      <c r="C2571" s="8"/>
      <c r="D2571" s="8"/>
      <c r="E2571" s="8"/>
      <c r="F2571" s="8"/>
      <c r="G2571" s="8"/>
      <c r="H2571" s="8"/>
      <c r="I2571" s="8"/>
      <c r="J2571" s="8"/>
      <c r="K2571" s="8"/>
      <c r="L2571" s="8"/>
      <c r="M2571" s="8"/>
      <c r="N2571" s="8"/>
      <c r="O2571" s="8"/>
      <c r="P2571" s="4"/>
      <c r="Q2571" s="8"/>
      <c r="R2571" s="4"/>
      <c r="S2571" s="4"/>
    </row>
    <row r="2572" customFormat="false" ht="15" hidden="false" customHeight="false" outlineLevel="0" collapsed="false">
      <c r="A2572" s="4"/>
      <c r="B2572" s="8"/>
      <c r="C2572" s="8"/>
      <c r="D2572" s="8"/>
      <c r="E2572" s="8"/>
      <c r="F2572" s="8"/>
      <c r="G2572" s="8"/>
      <c r="H2572" s="8"/>
      <c r="I2572" s="8"/>
      <c r="J2572" s="8"/>
      <c r="K2572" s="8"/>
      <c r="L2572" s="8"/>
      <c r="M2572" s="8"/>
      <c r="N2572" s="8"/>
      <c r="O2572" s="8"/>
      <c r="P2572" s="4"/>
      <c r="Q2572" s="8"/>
      <c r="R2572" s="4"/>
      <c r="S2572" s="4"/>
    </row>
    <row r="2573" customFormat="false" ht="15" hidden="false" customHeight="false" outlineLevel="0" collapsed="false">
      <c r="A2573" s="4"/>
      <c r="B2573" s="8"/>
      <c r="C2573" s="8"/>
      <c r="D2573" s="8"/>
      <c r="E2573" s="8"/>
      <c r="F2573" s="8"/>
      <c r="G2573" s="8"/>
      <c r="H2573" s="8"/>
      <c r="I2573" s="8"/>
      <c r="J2573" s="8"/>
      <c r="K2573" s="8"/>
      <c r="L2573" s="8"/>
      <c r="M2573" s="8"/>
      <c r="N2573" s="8"/>
      <c r="O2573" s="8"/>
      <c r="P2573" s="4"/>
      <c r="Q2573" s="8"/>
      <c r="R2573" s="4"/>
      <c r="S2573" s="4"/>
    </row>
    <row r="2574" customFormat="false" ht="15" hidden="false" customHeight="false" outlineLevel="0" collapsed="false">
      <c r="A2574" s="4"/>
      <c r="B2574" s="8"/>
      <c r="C2574" s="8"/>
      <c r="D2574" s="8"/>
      <c r="E2574" s="8"/>
      <c r="F2574" s="8"/>
      <c r="G2574" s="8"/>
      <c r="H2574" s="8"/>
      <c r="I2574" s="8"/>
      <c r="J2574" s="8"/>
      <c r="K2574" s="8"/>
      <c r="L2574" s="8"/>
      <c r="M2574" s="8"/>
      <c r="N2574" s="8"/>
      <c r="O2574" s="8"/>
      <c r="P2574" s="4"/>
      <c r="Q2574" s="8"/>
      <c r="R2574" s="4"/>
      <c r="S2574" s="4"/>
    </row>
    <row r="2575" customFormat="false" ht="15" hidden="false" customHeight="false" outlineLevel="0" collapsed="false">
      <c r="A2575" s="4"/>
      <c r="B2575" s="8"/>
      <c r="C2575" s="8"/>
      <c r="D2575" s="8"/>
      <c r="E2575" s="8"/>
      <c r="F2575" s="8"/>
      <c r="G2575" s="8"/>
      <c r="H2575" s="8"/>
      <c r="I2575" s="8"/>
      <c r="J2575" s="8"/>
      <c r="K2575" s="8"/>
      <c r="L2575" s="8"/>
      <c r="M2575" s="8"/>
      <c r="N2575" s="8"/>
      <c r="O2575" s="8"/>
      <c r="P2575" s="4"/>
      <c r="Q2575" s="8"/>
      <c r="R2575" s="4"/>
      <c r="S2575" s="4"/>
    </row>
    <row r="2576" customFormat="false" ht="15" hidden="false" customHeight="false" outlineLevel="0" collapsed="false">
      <c r="A2576" s="4"/>
      <c r="B2576" s="8"/>
      <c r="C2576" s="8"/>
      <c r="D2576" s="8"/>
      <c r="E2576" s="8"/>
      <c r="F2576" s="8"/>
      <c r="G2576" s="8"/>
      <c r="H2576" s="8"/>
      <c r="I2576" s="8"/>
      <c r="J2576" s="8"/>
      <c r="K2576" s="8"/>
      <c r="L2576" s="8"/>
      <c r="M2576" s="8"/>
      <c r="N2576" s="8"/>
      <c r="O2576" s="8"/>
      <c r="P2576" s="4"/>
      <c r="Q2576" s="8"/>
      <c r="R2576" s="4"/>
      <c r="S2576" s="4"/>
    </row>
    <row r="2577" customFormat="false" ht="15" hidden="false" customHeight="false" outlineLevel="0" collapsed="false">
      <c r="A2577" s="4"/>
      <c r="B2577" s="8"/>
      <c r="C2577" s="8"/>
      <c r="D2577" s="8"/>
      <c r="E2577" s="8"/>
      <c r="F2577" s="8"/>
      <c r="G2577" s="8"/>
      <c r="H2577" s="8"/>
      <c r="I2577" s="8"/>
      <c r="J2577" s="8"/>
      <c r="K2577" s="8"/>
      <c r="L2577" s="8"/>
      <c r="M2577" s="8"/>
      <c r="N2577" s="8"/>
      <c r="O2577" s="8"/>
      <c r="P2577" s="4"/>
      <c r="Q2577" s="8"/>
      <c r="R2577" s="4"/>
      <c r="S2577" s="4"/>
    </row>
    <row r="2578" customFormat="false" ht="15" hidden="false" customHeight="false" outlineLevel="0" collapsed="false">
      <c r="A2578" s="4"/>
      <c r="B2578" s="8"/>
      <c r="C2578" s="8"/>
      <c r="D2578" s="8"/>
      <c r="E2578" s="8"/>
      <c r="F2578" s="8"/>
      <c r="G2578" s="8"/>
      <c r="H2578" s="8"/>
      <c r="I2578" s="8"/>
      <c r="J2578" s="8"/>
      <c r="K2578" s="8"/>
      <c r="L2578" s="8"/>
      <c r="M2578" s="8"/>
      <c r="N2578" s="8"/>
      <c r="O2578" s="8"/>
      <c r="P2578" s="4"/>
      <c r="Q2578" s="8"/>
      <c r="R2578" s="4"/>
      <c r="S2578" s="4"/>
    </row>
    <row r="2579" customFormat="false" ht="15" hidden="false" customHeight="false" outlineLevel="0" collapsed="false">
      <c r="A2579" s="4"/>
      <c r="B2579" s="8"/>
      <c r="C2579" s="8"/>
      <c r="D2579" s="8"/>
      <c r="E2579" s="8"/>
      <c r="F2579" s="8"/>
      <c r="G2579" s="8"/>
      <c r="H2579" s="8"/>
      <c r="I2579" s="8"/>
      <c r="J2579" s="8"/>
      <c r="K2579" s="8"/>
      <c r="L2579" s="8"/>
      <c r="M2579" s="8"/>
      <c r="N2579" s="8"/>
      <c r="O2579" s="8"/>
      <c r="P2579" s="4"/>
      <c r="Q2579" s="8"/>
      <c r="R2579" s="4"/>
      <c r="S2579" s="4"/>
    </row>
    <row r="2580" customFormat="false" ht="15" hidden="false" customHeight="false" outlineLevel="0" collapsed="false">
      <c r="A2580" s="4"/>
      <c r="B2580" s="8"/>
      <c r="C2580" s="8"/>
      <c r="D2580" s="8"/>
      <c r="E2580" s="8"/>
      <c r="F2580" s="8"/>
      <c r="G2580" s="8"/>
      <c r="H2580" s="8"/>
      <c r="I2580" s="8"/>
      <c r="J2580" s="8"/>
      <c r="K2580" s="8"/>
      <c r="L2580" s="8"/>
      <c r="M2580" s="8"/>
      <c r="N2580" s="8"/>
      <c r="O2580" s="8"/>
      <c r="P2580" s="4"/>
      <c r="Q2580" s="8"/>
      <c r="R2580" s="4"/>
      <c r="S2580" s="4"/>
    </row>
    <row r="2581" customFormat="false" ht="15" hidden="false" customHeight="false" outlineLevel="0" collapsed="false">
      <c r="A2581" s="4"/>
      <c r="B2581" s="8"/>
      <c r="C2581" s="8"/>
      <c r="D2581" s="8"/>
      <c r="E2581" s="8"/>
      <c r="F2581" s="8"/>
      <c r="G2581" s="8"/>
      <c r="H2581" s="8"/>
      <c r="I2581" s="8"/>
      <c r="J2581" s="8"/>
      <c r="K2581" s="8"/>
      <c r="L2581" s="8"/>
      <c r="M2581" s="8"/>
      <c r="N2581" s="8"/>
      <c r="O2581" s="8"/>
      <c r="P2581" s="4"/>
      <c r="Q2581" s="8"/>
      <c r="R2581" s="4"/>
      <c r="S2581" s="4"/>
    </row>
    <row r="2582" customFormat="false" ht="15" hidden="false" customHeight="false" outlineLevel="0" collapsed="false">
      <c r="A2582" s="4"/>
      <c r="B2582" s="8"/>
      <c r="C2582" s="8"/>
      <c r="D2582" s="8"/>
      <c r="E2582" s="8"/>
      <c r="F2582" s="8"/>
      <c r="G2582" s="8"/>
      <c r="H2582" s="8"/>
      <c r="I2582" s="8"/>
      <c r="J2582" s="8"/>
      <c r="K2582" s="8"/>
      <c r="L2582" s="8"/>
      <c r="M2582" s="8"/>
      <c r="N2582" s="8"/>
      <c r="O2582" s="8"/>
      <c r="P2582" s="4"/>
      <c r="Q2582" s="8"/>
      <c r="R2582" s="4"/>
      <c r="S2582" s="4"/>
    </row>
    <row r="2583" customFormat="false" ht="15" hidden="false" customHeight="false" outlineLevel="0" collapsed="false">
      <c r="A2583" s="4"/>
      <c r="B2583" s="8"/>
      <c r="C2583" s="8"/>
      <c r="D2583" s="8"/>
      <c r="E2583" s="8"/>
      <c r="F2583" s="8"/>
      <c r="G2583" s="8"/>
      <c r="H2583" s="8"/>
      <c r="I2583" s="8"/>
      <c r="J2583" s="8"/>
      <c r="K2583" s="8"/>
      <c r="L2583" s="8"/>
      <c r="M2583" s="8"/>
      <c r="N2583" s="8"/>
      <c r="O2583" s="8"/>
      <c r="P2583" s="4"/>
      <c r="Q2583" s="8"/>
      <c r="R2583" s="4"/>
      <c r="S2583" s="4"/>
    </row>
    <row r="2584" customFormat="false" ht="15" hidden="false" customHeight="false" outlineLevel="0" collapsed="false">
      <c r="A2584" s="4"/>
      <c r="B2584" s="8"/>
      <c r="C2584" s="8"/>
      <c r="D2584" s="8"/>
      <c r="E2584" s="8"/>
      <c r="F2584" s="8"/>
      <c r="G2584" s="8"/>
      <c r="H2584" s="8"/>
      <c r="I2584" s="8"/>
      <c r="J2584" s="8"/>
      <c r="K2584" s="8"/>
      <c r="L2584" s="8"/>
      <c r="M2584" s="8"/>
      <c r="N2584" s="8"/>
      <c r="O2584" s="8"/>
      <c r="P2584" s="4"/>
      <c r="Q2584" s="8"/>
      <c r="R2584" s="4"/>
      <c r="S2584" s="4"/>
    </row>
    <row r="2585" customFormat="false" ht="15" hidden="false" customHeight="false" outlineLevel="0" collapsed="false">
      <c r="A2585" s="4"/>
      <c r="B2585" s="8"/>
      <c r="C2585" s="8"/>
      <c r="D2585" s="8"/>
      <c r="E2585" s="8"/>
      <c r="F2585" s="8"/>
      <c r="G2585" s="8"/>
      <c r="H2585" s="8"/>
      <c r="I2585" s="8"/>
      <c r="J2585" s="8"/>
      <c r="K2585" s="8"/>
      <c r="L2585" s="8"/>
      <c r="M2585" s="8"/>
      <c r="N2585" s="8"/>
      <c r="O2585" s="8"/>
      <c r="P2585" s="4"/>
      <c r="Q2585" s="8"/>
      <c r="R2585" s="4"/>
      <c r="S2585" s="4"/>
    </row>
    <row r="2586" customFormat="false" ht="15" hidden="false" customHeight="false" outlineLevel="0" collapsed="false">
      <c r="A2586" s="4"/>
      <c r="B2586" s="8"/>
      <c r="C2586" s="8"/>
      <c r="D2586" s="8"/>
      <c r="E2586" s="8"/>
      <c r="F2586" s="8"/>
      <c r="G2586" s="8"/>
      <c r="H2586" s="8"/>
      <c r="I2586" s="8"/>
      <c r="J2586" s="8"/>
      <c r="K2586" s="8"/>
      <c r="L2586" s="8"/>
      <c r="M2586" s="8"/>
      <c r="N2586" s="8"/>
      <c r="O2586" s="8"/>
      <c r="P2586" s="4"/>
      <c r="Q2586" s="8"/>
      <c r="R2586" s="4"/>
      <c r="S2586" s="4"/>
    </row>
    <row r="2587" customFormat="false" ht="15" hidden="false" customHeight="false" outlineLevel="0" collapsed="false">
      <c r="A2587" s="4"/>
      <c r="B2587" s="8"/>
      <c r="C2587" s="8"/>
      <c r="D2587" s="8"/>
      <c r="E2587" s="8"/>
      <c r="F2587" s="8"/>
      <c r="G2587" s="8"/>
      <c r="H2587" s="8"/>
      <c r="I2587" s="8"/>
      <c r="J2587" s="8"/>
      <c r="K2587" s="8"/>
      <c r="L2587" s="8"/>
      <c r="M2587" s="8"/>
      <c r="N2587" s="8"/>
      <c r="O2587" s="8"/>
      <c r="P2587" s="4"/>
      <c r="Q2587" s="8"/>
      <c r="R2587" s="4"/>
      <c r="S2587" s="4"/>
    </row>
    <row r="2588" customFormat="false" ht="15" hidden="false" customHeight="false" outlineLevel="0" collapsed="false">
      <c r="A2588" s="4"/>
      <c r="B2588" s="8"/>
      <c r="C2588" s="8"/>
      <c r="D2588" s="8"/>
      <c r="E2588" s="8"/>
      <c r="F2588" s="8"/>
      <c r="G2588" s="8"/>
      <c r="H2588" s="8"/>
      <c r="I2588" s="8"/>
      <c r="J2588" s="8"/>
      <c r="K2588" s="8"/>
      <c r="L2588" s="8"/>
      <c r="M2588" s="8"/>
      <c r="N2588" s="8"/>
      <c r="O2588" s="8"/>
      <c r="P2588" s="4"/>
      <c r="Q2588" s="8"/>
      <c r="R2588" s="4"/>
      <c r="S2588" s="4"/>
    </row>
    <row r="2589" customFormat="false" ht="15" hidden="false" customHeight="false" outlineLevel="0" collapsed="false">
      <c r="A2589" s="4"/>
      <c r="B2589" s="8"/>
      <c r="C2589" s="8"/>
      <c r="D2589" s="8"/>
      <c r="E2589" s="8"/>
      <c r="F2589" s="8"/>
      <c r="G2589" s="8"/>
      <c r="H2589" s="8"/>
      <c r="I2589" s="8"/>
      <c r="J2589" s="8"/>
      <c r="K2589" s="8"/>
      <c r="L2589" s="8"/>
      <c r="M2589" s="8"/>
      <c r="N2589" s="8"/>
      <c r="O2589" s="8"/>
      <c r="P2589" s="4"/>
      <c r="Q2589" s="8"/>
      <c r="R2589" s="4"/>
      <c r="S2589" s="4"/>
    </row>
    <row r="2590" customFormat="false" ht="15" hidden="false" customHeight="false" outlineLevel="0" collapsed="false">
      <c r="A2590" s="4"/>
      <c r="B2590" s="8"/>
      <c r="C2590" s="8"/>
      <c r="D2590" s="8"/>
      <c r="E2590" s="8"/>
      <c r="F2590" s="8"/>
      <c r="G2590" s="8"/>
      <c r="H2590" s="8"/>
      <c r="I2590" s="8"/>
      <c r="J2590" s="8"/>
      <c r="K2590" s="8"/>
      <c r="L2590" s="8"/>
      <c r="M2590" s="8"/>
      <c r="N2590" s="8"/>
      <c r="O2590" s="8"/>
      <c r="P2590" s="4"/>
      <c r="Q2590" s="8"/>
      <c r="R2590" s="4"/>
      <c r="S2590" s="4"/>
    </row>
    <row r="2591" customFormat="false" ht="15" hidden="false" customHeight="false" outlineLevel="0" collapsed="false">
      <c r="A2591" s="4"/>
      <c r="B2591" s="8"/>
      <c r="C2591" s="8"/>
      <c r="D2591" s="8"/>
      <c r="E2591" s="8"/>
      <c r="F2591" s="8"/>
      <c r="G2591" s="8"/>
      <c r="H2591" s="8"/>
      <c r="I2591" s="8"/>
      <c r="J2591" s="8"/>
      <c r="K2591" s="8"/>
      <c r="L2591" s="8"/>
      <c r="M2591" s="8"/>
      <c r="N2591" s="8"/>
      <c r="O2591" s="8"/>
      <c r="P2591" s="4"/>
      <c r="Q2591" s="8"/>
      <c r="R2591" s="4"/>
      <c r="S2591" s="4"/>
    </row>
    <row r="2592" customFormat="false" ht="15" hidden="false" customHeight="false" outlineLevel="0" collapsed="false">
      <c r="A2592" s="4"/>
      <c r="B2592" s="8"/>
      <c r="C2592" s="8"/>
      <c r="D2592" s="8"/>
      <c r="E2592" s="8"/>
      <c r="F2592" s="8"/>
      <c r="G2592" s="8"/>
      <c r="H2592" s="8"/>
      <c r="I2592" s="8"/>
      <c r="J2592" s="8"/>
      <c r="K2592" s="8"/>
      <c r="L2592" s="8"/>
      <c r="M2592" s="8"/>
      <c r="N2592" s="8"/>
      <c r="O2592" s="8"/>
      <c r="P2592" s="4"/>
      <c r="Q2592" s="8"/>
      <c r="R2592" s="4"/>
      <c r="S2592" s="4"/>
    </row>
    <row r="2593" customFormat="false" ht="15" hidden="false" customHeight="false" outlineLevel="0" collapsed="false">
      <c r="A2593" s="4"/>
      <c r="B2593" s="8"/>
      <c r="C2593" s="8"/>
      <c r="D2593" s="8"/>
      <c r="E2593" s="8"/>
      <c r="F2593" s="8"/>
      <c r="G2593" s="8"/>
      <c r="H2593" s="8"/>
      <c r="I2593" s="8"/>
      <c r="J2593" s="8"/>
      <c r="K2593" s="8"/>
      <c r="L2593" s="8"/>
      <c r="M2593" s="8"/>
      <c r="N2593" s="8"/>
      <c r="O2593" s="8"/>
      <c r="P2593" s="4"/>
      <c r="Q2593" s="8"/>
      <c r="R2593" s="4"/>
      <c r="S2593" s="4"/>
    </row>
    <row r="2594" customFormat="false" ht="15" hidden="false" customHeight="false" outlineLevel="0" collapsed="false">
      <c r="A2594" s="4"/>
      <c r="B2594" s="8"/>
      <c r="C2594" s="8"/>
      <c r="D2594" s="8"/>
      <c r="E2594" s="8"/>
      <c r="F2594" s="8"/>
      <c r="G2594" s="8"/>
      <c r="H2594" s="8"/>
      <c r="I2594" s="8"/>
      <c r="J2594" s="8"/>
      <c r="K2594" s="8"/>
      <c r="L2594" s="8"/>
      <c r="M2594" s="8"/>
      <c r="N2594" s="8"/>
      <c r="O2594" s="8"/>
      <c r="P2594" s="4"/>
      <c r="Q2594" s="8"/>
      <c r="R2594" s="4"/>
      <c r="S2594" s="4"/>
    </row>
    <row r="2595" customFormat="false" ht="15" hidden="false" customHeight="false" outlineLevel="0" collapsed="false">
      <c r="A2595" s="4"/>
      <c r="B2595" s="8"/>
      <c r="C2595" s="8"/>
      <c r="D2595" s="8"/>
      <c r="E2595" s="8"/>
      <c r="F2595" s="8"/>
      <c r="G2595" s="8"/>
      <c r="H2595" s="8"/>
      <c r="I2595" s="8"/>
      <c r="J2595" s="8"/>
      <c r="K2595" s="8"/>
      <c r="L2595" s="8"/>
      <c r="M2595" s="8"/>
      <c r="N2595" s="8"/>
      <c r="O2595" s="8"/>
      <c r="P2595" s="4"/>
      <c r="Q2595" s="8"/>
      <c r="R2595" s="4"/>
      <c r="S2595" s="4"/>
    </row>
    <row r="2596" customFormat="false" ht="15" hidden="false" customHeight="false" outlineLevel="0" collapsed="false">
      <c r="A2596" s="4"/>
      <c r="B2596" s="8"/>
      <c r="C2596" s="8"/>
      <c r="D2596" s="8"/>
      <c r="E2596" s="8"/>
      <c r="F2596" s="8"/>
      <c r="G2596" s="8"/>
      <c r="H2596" s="8"/>
      <c r="I2596" s="8"/>
      <c r="J2596" s="8"/>
      <c r="K2596" s="8"/>
      <c r="L2596" s="8"/>
      <c r="M2596" s="8"/>
      <c r="N2596" s="8"/>
      <c r="O2596" s="8"/>
      <c r="P2596" s="4"/>
      <c r="Q2596" s="8"/>
      <c r="R2596" s="4"/>
      <c r="S2596" s="4"/>
    </row>
    <row r="2597" customFormat="false" ht="15" hidden="false" customHeight="false" outlineLevel="0" collapsed="false">
      <c r="A2597" s="4"/>
      <c r="B2597" s="8"/>
      <c r="C2597" s="8"/>
      <c r="D2597" s="8"/>
      <c r="E2597" s="8"/>
      <c r="F2597" s="8"/>
      <c r="G2597" s="8"/>
      <c r="H2597" s="8"/>
      <c r="I2597" s="8"/>
      <c r="J2597" s="8"/>
      <c r="K2597" s="8"/>
      <c r="L2597" s="8"/>
      <c r="M2597" s="8"/>
      <c r="N2597" s="8"/>
      <c r="O2597" s="8"/>
      <c r="P2597" s="4"/>
      <c r="Q2597" s="8"/>
      <c r="R2597" s="4"/>
      <c r="S2597" s="4"/>
    </row>
    <row r="2598" customFormat="false" ht="15" hidden="false" customHeight="false" outlineLevel="0" collapsed="false">
      <c r="A2598" s="4"/>
      <c r="B2598" s="8"/>
      <c r="C2598" s="8"/>
      <c r="D2598" s="8"/>
      <c r="E2598" s="8"/>
      <c r="F2598" s="8"/>
      <c r="G2598" s="8"/>
      <c r="H2598" s="8"/>
      <c r="I2598" s="8"/>
      <c r="J2598" s="8"/>
      <c r="K2598" s="8"/>
      <c r="L2598" s="8"/>
      <c r="M2598" s="8"/>
      <c r="N2598" s="8"/>
      <c r="O2598" s="8"/>
      <c r="P2598" s="4"/>
      <c r="Q2598" s="8"/>
      <c r="R2598" s="4"/>
      <c r="S2598" s="4"/>
    </row>
    <row r="2599" customFormat="false" ht="15" hidden="false" customHeight="false" outlineLevel="0" collapsed="false">
      <c r="A2599" s="4"/>
      <c r="B2599" s="8"/>
      <c r="C2599" s="8"/>
      <c r="D2599" s="8"/>
      <c r="E2599" s="8"/>
      <c r="F2599" s="8"/>
      <c r="G2599" s="8"/>
      <c r="H2599" s="8"/>
      <c r="I2599" s="8"/>
      <c r="J2599" s="8"/>
      <c r="K2599" s="8"/>
      <c r="L2599" s="8"/>
      <c r="M2599" s="8"/>
      <c r="N2599" s="8"/>
      <c r="O2599" s="8"/>
      <c r="P2599" s="4"/>
      <c r="Q2599" s="8"/>
      <c r="R2599" s="4"/>
      <c r="S2599" s="4"/>
    </row>
    <row r="2600" customFormat="false" ht="15" hidden="false" customHeight="false" outlineLevel="0" collapsed="false">
      <c r="A2600" s="4"/>
      <c r="B2600" s="8"/>
      <c r="C2600" s="8"/>
      <c r="D2600" s="8"/>
      <c r="E2600" s="8"/>
      <c r="F2600" s="8"/>
      <c r="G2600" s="8"/>
      <c r="H2600" s="8"/>
      <c r="I2600" s="8"/>
      <c r="J2600" s="8"/>
      <c r="K2600" s="8"/>
      <c r="L2600" s="8"/>
      <c r="M2600" s="8"/>
      <c r="N2600" s="8"/>
      <c r="O2600" s="8"/>
      <c r="P2600" s="4"/>
      <c r="Q2600" s="8"/>
      <c r="R2600" s="4"/>
      <c r="S2600" s="4"/>
    </row>
    <row r="2601" customFormat="false" ht="15" hidden="false" customHeight="false" outlineLevel="0" collapsed="false">
      <c r="A2601" s="4"/>
      <c r="B2601" s="8"/>
      <c r="C2601" s="8"/>
      <c r="D2601" s="8"/>
      <c r="E2601" s="8"/>
      <c r="F2601" s="8"/>
      <c r="G2601" s="8"/>
      <c r="H2601" s="8"/>
      <c r="I2601" s="8"/>
      <c r="J2601" s="8"/>
      <c r="K2601" s="8"/>
      <c r="L2601" s="8"/>
      <c r="M2601" s="8"/>
      <c r="N2601" s="8"/>
      <c r="O2601" s="8"/>
      <c r="P2601" s="4"/>
      <c r="Q2601" s="8"/>
      <c r="R2601" s="4"/>
      <c r="S2601" s="4"/>
    </row>
    <row r="2602" customFormat="false" ht="15" hidden="false" customHeight="false" outlineLevel="0" collapsed="false">
      <c r="A2602" s="4"/>
      <c r="B2602" s="8"/>
      <c r="C2602" s="8"/>
      <c r="D2602" s="8"/>
      <c r="E2602" s="8"/>
      <c r="F2602" s="8"/>
      <c r="G2602" s="8"/>
      <c r="H2602" s="8"/>
      <c r="I2602" s="8"/>
      <c r="J2602" s="8"/>
      <c r="K2602" s="8"/>
      <c r="L2602" s="8"/>
      <c r="M2602" s="8"/>
      <c r="N2602" s="8"/>
      <c r="O2602" s="8"/>
      <c r="P2602" s="4"/>
      <c r="Q2602" s="8"/>
      <c r="R2602" s="4"/>
      <c r="S2602" s="4"/>
    </row>
    <row r="2603" customFormat="false" ht="15" hidden="false" customHeight="false" outlineLevel="0" collapsed="false">
      <c r="A2603" s="4"/>
      <c r="B2603" s="8"/>
      <c r="C2603" s="8"/>
      <c r="D2603" s="8"/>
      <c r="E2603" s="8"/>
      <c r="F2603" s="8"/>
      <c r="G2603" s="8"/>
      <c r="H2603" s="8"/>
      <c r="I2603" s="8"/>
      <c r="J2603" s="8"/>
      <c r="K2603" s="8"/>
      <c r="L2603" s="8"/>
      <c r="M2603" s="8"/>
      <c r="N2603" s="8"/>
      <c r="O2603" s="8"/>
      <c r="P2603" s="4"/>
      <c r="Q2603" s="8"/>
      <c r="R2603" s="4"/>
      <c r="S2603" s="4"/>
    </row>
    <row r="2604" customFormat="false" ht="15" hidden="false" customHeight="false" outlineLevel="0" collapsed="false">
      <c r="A2604" s="4"/>
      <c r="B2604" s="8"/>
      <c r="C2604" s="8"/>
      <c r="D2604" s="8"/>
      <c r="E2604" s="8"/>
      <c r="F2604" s="8"/>
      <c r="G2604" s="8"/>
      <c r="H2604" s="8"/>
      <c r="I2604" s="8"/>
      <c r="J2604" s="8"/>
      <c r="K2604" s="8"/>
      <c r="L2604" s="8"/>
      <c r="M2604" s="8"/>
      <c r="N2604" s="8"/>
      <c r="O2604" s="8"/>
      <c r="P2604" s="4"/>
      <c r="Q2604" s="8"/>
      <c r="R2604" s="4"/>
      <c r="S2604" s="4"/>
    </row>
    <row r="2605" customFormat="false" ht="15" hidden="false" customHeight="false" outlineLevel="0" collapsed="false">
      <c r="A2605" s="4"/>
      <c r="B2605" s="8"/>
      <c r="C2605" s="8"/>
      <c r="D2605" s="8"/>
      <c r="E2605" s="8"/>
      <c r="F2605" s="8"/>
      <c r="G2605" s="8"/>
      <c r="H2605" s="8"/>
      <c r="I2605" s="8"/>
      <c r="J2605" s="8"/>
      <c r="K2605" s="8"/>
      <c r="L2605" s="8"/>
      <c r="M2605" s="8"/>
      <c r="N2605" s="8"/>
      <c r="O2605" s="8"/>
      <c r="P2605" s="4"/>
      <c r="Q2605" s="8"/>
      <c r="R2605" s="4"/>
      <c r="S2605" s="4"/>
    </row>
    <row r="2606" customFormat="false" ht="15" hidden="false" customHeight="false" outlineLevel="0" collapsed="false">
      <c r="A2606" s="4"/>
      <c r="B2606" s="8"/>
      <c r="C2606" s="8"/>
      <c r="D2606" s="8"/>
      <c r="E2606" s="8"/>
      <c r="F2606" s="8"/>
      <c r="G2606" s="8"/>
      <c r="H2606" s="8"/>
      <c r="I2606" s="8"/>
      <c r="J2606" s="8"/>
      <c r="K2606" s="8"/>
      <c r="L2606" s="8"/>
      <c r="M2606" s="8"/>
      <c r="N2606" s="8"/>
      <c r="O2606" s="8"/>
      <c r="P2606" s="4"/>
      <c r="Q2606" s="8"/>
      <c r="R2606" s="4"/>
      <c r="S2606" s="4"/>
    </row>
    <row r="2607" customFormat="false" ht="15" hidden="false" customHeight="false" outlineLevel="0" collapsed="false">
      <c r="A2607" s="4"/>
      <c r="B2607" s="8"/>
      <c r="C2607" s="8"/>
      <c r="D2607" s="8"/>
      <c r="E2607" s="8"/>
      <c r="F2607" s="8"/>
      <c r="G2607" s="8"/>
      <c r="H2607" s="8"/>
      <c r="I2607" s="8"/>
      <c r="J2607" s="8"/>
      <c r="K2607" s="8"/>
      <c r="L2607" s="8"/>
      <c r="M2607" s="8"/>
      <c r="N2607" s="8"/>
      <c r="O2607" s="8"/>
      <c r="P2607" s="4"/>
      <c r="Q2607" s="8"/>
      <c r="R2607" s="4"/>
      <c r="S2607" s="4"/>
    </row>
    <row r="2608" customFormat="false" ht="15" hidden="false" customHeight="false" outlineLevel="0" collapsed="false">
      <c r="A2608" s="4"/>
      <c r="B2608" s="8"/>
      <c r="C2608" s="8"/>
      <c r="D2608" s="8"/>
      <c r="E2608" s="8"/>
      <c r="F2608" s="8"/>
      <c r="G2608" s="8"/>
      <c r="H2608" s="8"/>
      <c r="I2608" s="8"/>
      <c r="J2608" s="8"/>
      <c r="K2608" s="8"/>
      <c r="L2608" s="8"/>
      <c r="M2608" s="8"/>
      <c r="N2608" s="8"/>
      <c r="O2608" s="8"/>
      <c r="P2608" s="4"/>
      <c r="Q2608" s="8"/>
      <c r="R2608" s="4"/>
      <c r="S2608" s="4"/>
    </row>
    <row r="2609" customFormat="false" ht="15" hidden="false" customHeight="false" outlineLevel="0" collapsed="false">
      <c r="A2609" s="4"/>
      <c r="B2609" s="8"/>
      <c r="C2609" s="8"/>
      <c r="D2609" s="8"/>
      <c r="E2609" s="8"/>
      <c r="F2609" s="8"/>
      <c r="G2609" s="8"/>
      <c r="H2609" s="8"/>
      <c r="I2609" s="8"/>
      <c r="J2609" s="8"/>
      <c r="K2609" s="8"/>
      <c r="L2609" s="8"/>
      <c r="M2609" s="8"/>
      <c r="N2609" s="8"/>
      <c r="O2609" s="8"/>
      <c r="P2609" s="4"/>
      <c r="Q2609" s="8"/>
      <c r="R2609" s="4"/>
      <c r="S2609" s="4"/>
    </row>
    <row r="2610" customFormat="false" ht="15" hidden="false" customHeight="false" outlineLevel="0" collapsed="false">
      <c r="A2610" s="4"/>
      <c r="B2610" s="8"/>
      <c r="C2610" s="8"/>
      <c r="D2610" s="8"/>
      <c r="E2610" s="8"/>
      <c r="F2610" s="8"/>
      <c r="G2610" s="8"/>
      <c r="H2610" s="8"/>
      <c r="I2610" s="8"/>
      <c r="J2610" s="8"/>
      <c r="K2610" s="8"/>
      <c r="L2610" s="8"/>
      <c r="M2610" s="8"/>
      <c r="N2610" s="8"/>
      <c r="O2610" s="8"/>
      <c r="P2610" s="4"/>
      <c r="Q2610" s="8"/>
      <c r="R2610" s="4"/>
      <c r="S2610" s="4"/>
    </row>
    <row r="2611" customFormat="false" ht="15" hidden="false" customHeight="false" outlineLevel="0" collapsed="false">
      <c r="A2611" s="4"/>
      <c r="B2611" s="8"/>
      <c r="C2611" s="8"/>
      <c r="D2611" s="8"/>
      <c r="E2611" s="8"/>
      <c r="F2611" s="8"/>
      <c r="G2611" s="8"/>
      <c r="H2611" s="8"/>
      <c r="I2611" s="8"/>
      <c r="J2611" s="8"/>
      <c r="K2611" s="8"/>
      <c r="L2611" s="8"/>
      <c r="M2611" s="8"/>
      <c r="N2611" s="8"/>
      <c r="O2611" s="8"/>
      <c r="P2611" s="4"/>
      <c r="Q2611" s="8"/>
      <c r="R2611" s="4"/>
      <c r="S2611" s="4"/>
    </row>
    <row r="2612" customFormat="false" ht="15" hidden="false" customHeight="false" outlineLevel="0" collapsed="false">
      <c r="A2612" s="4"/>
      <c r="B2612" s="8"/>
      <c r="C2612" s="8"/>
      <c r="D2612" s="8"/>
      <c r="E2612" s="8"/>
      <c r="F2612" s="8"/>
      <c r="G2612" s="8"/>
      <c r="H2612" s="8"/>
      <c r="I2612" s="8"/>
      <c r="J2612" s="8"/>
      <c r="K2612" s="8"/>
      <c r="L2612" s="8"/>
      <c r="M2612" s="8"/>
      <c r="N2612" s="8"/>
      <c r="O2612" s="8"/>
      <c r="P2612" s="4"/>
      <c r="Q2612" s="8"/>
      <c r="R2612" s="4"/>
      <c r="S2612" s="4"/>
    </row>
    <row r="2613" customFormat="false" ht="15" hidden="false" customHeight="false" outlineLevel="0" collapsed="false">
      <c r="A2613" s="4"/>
      <c r="B2613" s="8"/>
      <c r="C2613" s="8"/>
      <c r="D2613" s="8"/>
      <c r="E2613" s="8"/>
      <c r="F2613" s="8"/>
      <c r="G2613" s="8"/>
      <c r="H2613" s="8"/>
      <c r="I2613" s="8"/>
      <c r="J2613" s="8"/>
      <c r="K2613" s="8"/>
      <c r="L2613" s="8"/>
      <c r="M2613" s="8"/>
      <c r="N2613" s="8"/>
      <c r="O2613" s="8"/>
      <c r="P2613" s="4"/>
      <c r="Q2613" s="8"/>
      <c r="R2613" s="4"/>
      <c r="S2613" s="4"/>
    </row>
    <row r="2614" customFormat="false" ht="15" hidden="false" customHeight="false" outlineLevel="0" collapsed="false">
      <c r="A2614" s="4"/>
      <c r="B2614" s="8"/>
      <c r="C2614" s="8"/>
      <c r="D2614" s="8"/>
      <c r="E2614" s="8"/>
      <c r="F2614" s="8"/>
      <c r="G2614" s="8"/>
      <c r="H2614" s="8"/>
      <c r="I2614" s="8"/>
      <c r="J2614" s="8"/>
      <c r="K2614" s="8"/>
      <c r="L2614" s="8"/>
      <c r="M2614" s="8"/>
      <c r="N2614" s="8"/>
      <c r="O2614" s="8"/>
      <c r="P2614" s="4"/>
      <c r="Q2614" s="8"/>
      <c r="R2614" s="4"/>
      <c r="S2614" s="4"/>
    </row>
    <row r="2615" customFormat="false" ht="15" hidden="false" customHeight="false" outlineLevel="0" collapsed="false">
      <c r="A2615" s="4"/>
      <c r="B2615" s="8"/>
      <c r="C2615" s="8"/>
      <c r="D2615" s="8"/>
      <c r="E2615" s="8"/>
      <c r="F2615" s="8"/>
      <c r="G2615" s="8"/>
      <c r="H2615" s="8"/>
      <c r="I2615" s="8"/>
      <c r="J2615" s="8"/>
      <c r="K2615" s="8"/>
      <c r="L2615" s="8"/>
      <c r="M2615" s="8"/>
      <c r="N2615" s="8"/>
      <c r="O2615" s="8"/>
      <c r="P2615" s="4"/>
      <c r="Q2615" s="8"/>
      <c r="R2615" s="4"/>
      <c r="S2615" s="4"/>
    </row>
    <row r="2616" customFormat="false" ht="15" hidden="false" customHeight="false" outlineLevel="0" collapsed="false">
      <c r="A2616" s="4"/>
      <c r="B2616" s="8"/>
      <c r="C2616" s="8"/>
      <c r="D2616" s="8"/>
      <c r="E2616" s="8"/>
      <c r="F2616" s="8"/>
      <c r="G2616" s="8"/>
      <c r="H2616" s="8"/>
      <c r="I2616" s="8"/>
      <c r="J2616" s="8"/>
      <c r="K2616" s="8"/>
      <c r="L2616" s="8"/>
      <c r="M2616" s="8"/>
      <c r="N2616" s="8"/>
      <c r="O2616" s="8"/>
      <c r="P2616" s="4"/>
      <c r="Q2616" s="8"/>
      <c r="R2616" s="4"/>
      <c r="S2616" s="4"/>
    </row>
    <row r="2617" customFormat="false" ht="15" hidden="false" customHeight="false" outlineLevel="0" collapsed="false">
      <c r="A2617" s="4"/>
      <c r="B2617" s="8"/>
      <c r="C2617" s="8"/>
      <c r="D2617" s="8"/>
      <c r="E2617" s="8"/>
      <c r="F2617" s="8"/>
      <c r="G2617" s="8"/>
      <c r="H2617" s="8"/>
      <c r="I2617" s="8"/>
      <c r="J2617" s="8"/>
      <c r="K2617" s="8"/>
      <c r="L2617" s="8"/>
      <c r="M2617" s="8"/>
      <c r="N2617" s="8"/>
      <c r="O2617" s="8"/>
      <c r="P2617" s="4"/>
      <c r="Q2617" s="8"/>
      <c r="R2617" s="4"/>
      <c r="S2617" s="4"/>
    </row>
    <row r="2618" customFormat="false" ht="15" hidden="false" customHeight="false" outlineLevel="0" collapsed="false">
      <c r="A2618" s="4"/>
      <c r="B2618" s="8"/>
      <c r="C2618" s="8"/>
      <c r="D2618" s="8"/>
      <c r="E2618" s="8"/>
      <c r="F2618" s="8"/>
      <c r="G2618" s="8"/>
      <c r="H2618" s="8"/>
      <c r="I2618" s="8"/>
      <c r="J2618" s="8"/>
      <c r="K2618" s="8"/>
      <c r="L2618" s="8"/>
      <c r="M2618" s="8"/>
      <c r="N2618" s="8"/>
      <c r="O2618" s="8"/>
      <c r="P2618" s="4"/>
      <c r="Q2618" s="8"/>
      <c r="R2618" s="4"/>
      <c r="S2618" s="4"/>
    </row>
    <row r="2619" customFormat="false" ht="15" hidden="false" customHeight="false" outlineLevel="0" collapsed="false">
      <c r="A2619" s="4"/>
      <c r="B2619" s="8"/>
      <c r="C2619" s="8"/>
      <c r="D2619" s="8"/>
      <c r="E2619" s="8"/>
      <c r="F2619" s="8"/>
      <c r="G2619" s="8"/>
      <c r="H2619" s="8"/>
      <c r="I2619" s="8"/>
      <c r="J2619" s="8"/>
      <c r="K2619" s="8"/>
      <c r="L2619" s="8"/>
      <c r="M2619" s="8"/>
      <c r="N2619" s="8"/>
      <c r="O2619" s="8"/>
      <c r="P2619" s="4"/>
      <c r="Q2619" s="8"/>
      <c r="R2619" s="4"/>
      <c r="S2619" s="4"/>
    </row>
    <row r="2620" customFormat="false" ht="15" hidden="false" customHeight="false" outlineLevel="0" collapsed="false">
      <c r="A2620" s="4"/>
      <c r="B2620" s="8"/>
      <c r="C2620" s="8"/>
      <c r="D2620" s="8"/>
      <c r="E2620" s="8"/>
      <c r="F2620" s="8"/>
      <c r="G2620" s="8"/>
      <c r="H2620" s="8"/>
      <c r="I2620" s="8"/>
      <c r="J2620" s="8"/>
      <c r="K2620" s="8"/>
      <c r="L2620" s="8"/>
      <c r="M2620" s="8"/>
      <c r="N2620" s="8"/>
      <c r="O2620" s="8"/>
      <c r="P2620" s="4"/>
      <c r="Q2620" s="8"/>
      <c r="R2620" s="4"/>
      <c r="S2620" s="4"/>
    </row>
    <row r="2621" customFormat="false" ht="15" hidden="false" customHeight="false" outlineLevel="0" collapsed="false">
      <c r="A2621" s="4"/>
      <c r="B2621" s="8"/>
      <c r="C2621" s="8"/>
      <c r="D2621" s="8"/>
      <c r="E2621" s="8"/>
      <c r="F2621" s="8"/>
      <c r="G2621" s="8"/>
      <c r="H2621" s="8"/>
      <c r="I2621" s="8"/>
      <c r="J2621" s="8"/>
      <c r="K2621" s="8"/>
      <c r="L2621" s="8"/>
      <c r="M2621" s="8"/>
      <c r="N2621" s="8"/>
      <c r="O2621" s="8"/>
      <c r="P2621" s="4"/>
      <c r="Q2621" s="8"/>
      <c r="R2621" s="4"/>
      <c r="S2621" s="4"/>
    </row>
    <row r="2622" customFormat="false" ht="15" hidden="false" customHeight="false" outlineLevel="0" collapsed="false">
      <c r="A2622" s="4"/>
      <c r="B2622" s="8"/>
      <c r="C2622" s="8"/>
      <c r="D2622" s="8"/>
      <c r="E2622" s="8"/>
      <c r="F2622" s="8"/>
      <c r="G2622" s="8"/>
      <c r="H2622" s="8"/>
      <c r="I2622" s="8"/>
      <c r="J2622" s="8"/>
      <c r="K2622" s="8"/>
      <c r="L2622" s="8"/>
      <c r="M2622" s="8"/>
      <c r="N2622" s="8"/>
      <c r="O2622" s="8"/>
      <c r="P2622" s="4"/>
      <c r="Q2622" s="8"/>
      <c r="R2622" s="4"/>
      <c r="S2622" s="4"/>
    </row>
    <row r="2623" customFormat="false" ht="15" hidden="false" customHeight="false" outlineLevel="0" collapsed="false">
      <c r="A2623" s="4"/>
      <c r="B2623" s="8"/>
      <c r="C2623" s="8"/>
      <c r="D2623" s="8"/>
      <c r="E2623" s="8"/>
      <c r="F2623" s="8"/>
      <c r="G2623" s="8"/>
      <c r="H2623" s="8"/>
      <c r="I2623" s="8"/>
      <c r="J2623" s="8"/>
      <c r="K2623" s="8"/>
      <c r="L2623" s="8"/>
      <c r="M2623" s="8"/>
      <c r="N2623" s="8"/>
      <c r="O2623" s="8"/>
      <c r="P2623" s="4"/>
      <c r="Q2623" s="8"/>
      <c r="R2623" s="4"/>
      <c r="S2623" s="4"/>
    </row>
    <row r="2624" customFormat="false" ht="15" hidden="false" customHeight="false" outlineLevel="0" collapsed="false">
      <c r="A2624" s="4"/>
      <c r="B2624" s="8"/>
      <c r="C2624" s="8"/>
      <c r="D2624" s="8"/>
      <c r="E2624" s="8"/>
      <c r="F2624" s="8"/>
      <c r="G2624" s="8"/>
      <c r="H2624" s="8"/>
      <c r="I2624" s="8"/>
      <c r="J2624" s="8"/>
      <c r="K2624" s="8"/>
      <c r="L2624" s="8"/>
      <c r="M2624" s="8"/>
      <c r="N2624" s="8"/>
      <c r="O2624" s="8"/>
      <c r="P2624" s="4"/>
      <c r="Q2624" s="8"/>
      <c r="R2624" s="4"/>
      <c r="S2624" s="4"/>
    </row>
    <row r="2625" customFormat="false" ht="15" hidden="false" customHeight="false" outlineLevel="0" collapsed="false">
      <c r="A2625" s="4"/>
      <c r="B2625" s="8"/>
      <c r="C2625" s="8"/>
      <c r="D2625" s="8"/>
      <c r="E2625" s="8"/>
      <c r="F2625" s="8"/>
      <c r="G2625" s="8"/>
      <c r="H2625" s="8"/>
      <c r="I2625" s="8"/>
      <c r="J2625" s="8"/>
      <c r="K2625" s="8"/>
      <c r="L2625" s="8"/>
      <c r="M2625" s="8"/>
      <c r="N2625" s="8"/>
      <c r="O2625" s="8"/>
      <c r="P2625" s="4"/>
      <c r="Q2625" s="8"/>
      <c r="R2625" s="4"/>
      <c r="S2625" s="4"/>
    </row>
    <row r="2626" customFormat="false" ht="15" hidden="false" customHeight="false" outlineLevel="0" collapsed="false">
      <c r="A2626" s="4"/>
      <c r="B2626" s="8"/>
      <c r="C2626" s="8"/>
      <c r="D2626" s="8"/>
      <c r="E2626" s="8"/>
      <c r="F2626" s="8"/>
      <c r="G2626" s="8"/>
      <c r="H2626" s="8"/>
      <c r="I2626" s="8"/>
      <c r="J2626" s="8"/>
      <c r="K2626" s="8"/>
      <c r="L2626" s="8"/>
      <c r="M2626" s="8"/>
      <c r="N2626" s="8"/>
      <c r="O2626" s="8"/>
      <c r="P2626" s="4"/>
      <c r="Q2626" s="8"/>
      <c r="R2626" s="4"/>
      <c r="S2626" s="4"/>
    </row>
    <row r="2627" customFormat="false" ht="15" hidden="false" customHeight="false" outlineLevel="0" collapsed="false">
      <c r="A2627" s="4"/>
      <c r="B2627" s="8"/>
      <c r="C2627" s="8"/>
      <c r="D2627" s="8"/>
      <c r="E2627" s="8"/>
      <c r="F2627" s="8"/>
      <c r="G2627" s="8"/>
      <c r="H2627" s="8"/>
      <c r="I2627" s="8"/>
      <c r="J2627" s="8"/>
      <c r="K2627" s="8"/>
      <c r="L2627" s="8"/>
      <c r="M2627" s="8"/>
      <c r="N2627" s="8"/>
      <c r="O2627" s="8"/>
      <c r="P2627" s="4"/>
      <c r="Q2627" s="8"/>
      <c r="R2627" s="4"/>
      <c r="S2627" s="4"/>
    </row>
    <row r="2628" customFormat="false" ht="15" hidden="false" customHeight="false" outlineLevel="0" collapsed="false">
      <c r="A2628" s="4"/>
      <c r="B2628" s="8"/>
      <c r="C2628" s="8"/>
      <c r="D2628" s="8"/>
      <c r="E2628" s="8"/>
      <c r="F2628" s="8"/>
      <c r="G2628" s="8"/>
      <c r="H2628" s="8"/>
      <c r="I2628" s="8"/>
      <c r="J2628" s="8"/>
      <c r="K2628" s="8"/>
      <c r="L2628" s="8"/>
      <c r="M2628" s="8"/>
      <c r="N2628" s="8"/>
      <c r="O2628" s="8"/>
      <c r="P2628" s="4"/>
      <c r="Q2628" s="8"/>
      <c r="R2628" s="4"/>
      <c r="S2628" s="4"/>
    </row>
    <row r="2629" customFormat="false" ht="15" hidden="false" customHeight="false" outlineLevel="0" collapsed="false">
      <c r="A2629" s="4"/>
      <c r="B2629" s="8"/>
      <c r="C2629" s="8"/>
      <c r="D2629" s="8"/>
      <c r="E2629" s="8"/>
      <c r="F2629" s="8"/>
      <c r="G2629" s="8"/>
      <c r="H2629" s="8"/>
      <c r="I2629" s="8"/>
      <c r="J2629" s="8"/>
      <c r="K2629" s="8"/>
      <c r="L2629" s="8"/>
      <c r="M2629" s="8"/>
      <c r="N2629" s="8"/>
      <c r="O2629" s="8"/>
      <c r="P2629" s="4"/>
      <c r="Q2629" s="8"/>
      <c r="R2629" s="4"/>
      <c r="S2629" s="4"/>
    </row>
    <row r="2630" customFormat="false" ht="15" hidden="false" customHeight="false" outlineLevel="0" collapsed="false">
      <c r="A2630" s="4"/>
      <c r="B2630" s="8"/>
      <c r="C2630" s="8"/>
      <c r="D2630" s="8"/>
      <c r="E2630" s="8"/>
      <c r="F2630" s="8"/>
      <c r="G2630" s="8"/>
      <c r="H2630" s="8"/>
      <c r="I2630" s="8"/>
      <c r="J2630" s="8"/>
      <c r="K2630" s="8"/>
      <c r="L2630" s="8"/>
      <c r="M2630" s="8"/>
      <c r="N2630" s="8"/>
      <c r="O2630" s="8"/>
      <c r="P2630" s="4"/>
      <c r="Q2630" s="8"/>
      <c r="R2630" s="4"/>
      <c r="S2630" s="4"/>
    </row>
    <row r="2631" customFormat="false" ht="15" hidden="false" customHeight="false" outlineLevel="0" collapsed="false">
      <c r="A2631" s="4"/>
      <c r="B2631" s="8"/>
      <c r="C2631" s="8"/>
      <c r="D2631" s="8"/>
      <c r="E2631" s="8"/>
      <c r="F2631" s="8"/>
      <c r="G2631" s="8"/>
      <c r="H2631" s="8"/>
      <c r="I2631" s="8"/>
      <c r="J2631" s="8"/>
      <c r="K2631" s="8"/>
      <c r="L2631" s="8"/>
      <c r="M2631" s="8"/>
      <c r="N2631" s="8"/>
      <c r="O2631" s="8"/>
      <c r="P2631" s="4"/>
      <c r="Q2631" s="8"/>
      <c r="R2631" s="4"/>
      <c r="S2631" s="4"/>
    </row>
    <row r="2632" customFormat="false" ht="15" hidden="false" customHeight="false" outlineLevel="0" collapsed="false">
      <c r="A2632" s="4"/>
      <c r="B2632" s="8"/>
      <c r="C2632" s="8"/>
      <c r="D2632" s="8"/>
      <c r="E2632" s="8"/>
      <c r="F2632" s="8"/>
      <c r="G2632" s="8"/>
      <c r="H2632" s="8"/>
      <c r="I2632" s="8"/>
      <c r="J2632" s="8"/>
      <c r="K2632" s="8"/>
      <c r="L2632" s="8"/>
      <c r="M2632" s="8"/>
      <c r="N2632" s="8"/>
      <c r="O2632" s="8"/>
      <c r="P2632" s="4"/>
      <c r="Q2632" s="8"/>
      <c r="R2632" s="4"/>
      <c r="S2632" s="4"/>
    </row>
    <row r="2633" customFormat="false" ht="15" hidden="false" customHeight="false" outlineLevel="0" collapsed="false">
      <c r="A2633" s="4"/>
      <c r="B2633" s="8"/>
      <c r="C2633" s="8"/>
      <c r="D2633" s="8"/>
      <c r="E2633" s="8"/>
      <c r="F2633" s="8"/>
      <c r="G2633" s="8"/>
      <c r="H2633" s="8"/>
      <c r="I2633" s="8"/>
      <c r="J2633" s="8"/>
      <c r="K2633" s="8"/>
      <c r="L2633" s="8"/>
      <c r="M2633" s="8"/>
      <c r="N2633" s="8"/>
      <c r="O2633" s="8"/>
      <c r="P2633" s="4"/>
      <c r="Q2633" s="8"/>
      <c r="R2633" s="4"/>
      <c r="S2633" s="4"/>
    </row>
    <row r="2634" customFormat="false" ht="15" hidden="false" customHeight="false" outlineLevel="0" collapsed="false">
      <c r="A2634" s="4"/>
      <c r="B2634" s="8"/>
      <c r="C2634" s="8"/>
      <c r="D2634" s="8"/>
      <c r="E2634" s="8"/>
      <c r="F2634" s="8"/>
      <c r="G2634" s="8"/>
      <c r="H2634" s="8"/>
      <c r="I2634" s="8"/>
      <c r="J2634" s="8"/>
      <c r="K2634" s="8"/>
      <c r="L2634" s="8"/>
      <c r="M2634" s="8"/>
      <c r="N2634" s="8"/>
      <c r="O2634" s="8"/>
      <c r="P2634" s="4"/>
      <c r="Q2634" s="8"/>
      <c r="R2634" s="4"/>
      <c r="S2634" s="4"/>
    </row>
    <row r="2635" customFormat="false" ht="15" hidden="false" customHeight="false" outlineLevel="0" collapsed="false">
      <c r="A2635" s="4"/>
      <c r="B2635" s="8"/>
      <c r="C2635" s="8"/>
      <c r="D2635" s="8"/>
      <c r="E2635" s="8"/>
      <c r="F2635" s="8"/>
      <c r="G2635" s="8"/>
      <c r="H2635" s="8"/>
      <c r="I2635" s="8"/>
      <c r="J2635" s="8"/>
      <c r="K2635" s="8"/>
      <c r="L2635" s="8"/>
      <c r="M2635" s="8"/>
      <c r="N2635" s="8"/>
      <c r="O2635" s="8"/>
      <c r="P2635" s="4"/>
      <c r="Q2635" s="8"/>
      <c r="R2635" s="4"/>
      <c r="S2635" s="4"/>
    </row>
    <row r="2636" customFormat="false" ht="15" hidden="false" customHeight="false" outlineLevel="0" collapsed="false">
      <c r="A2636" s="4"/>
      <c r="B2636" s="8"/>
      <c r="C2636" s="8"/>
      <c r="D2636" s="8"/>
      <c r="E2636" s="8"/>
      <c r="F2636" s="8"/>
      <c r="G2636" s="8"/>
      <c r="H2636" s="8"/>
      <c r="I2636" s="8"/>
      <c r="J2636" s="8"/>
      <c r="K2636" s="8"/>
      <c r="L2636" s="8"/>
      <c r="M2636" s="8"/>
      <c r="N2636" s="8"/>
      <c r="O2636" s="8"/>
      <c r="P2636" s="4"/>
      <c r="Q2636" s="8"/>
      <c r="R2636" s="4"/>
      <c r="S2636" s="4"/>
    </row>
    <row r="2637" customFormat="false" ht="15" hidden="false" customHeight="false" outlineLevel="0" collapsed="false">
      <c r="A2637" s="4"/>
      <c r="B2637" s="8"/>
      <c r="C2637" s="8"/>
      <c r="D2637" s="8"/>
      <c r="E2637" s="8"/>
      <c r="F2637" s="8"/>
      <c r="G2637" s="8"/>
      <c r="H2637" s="8"/>
      <c r="I2637" s="8"/>
      <c r="J2637" s="8"/>
      <c r="K2637" s="8"/>
      <c r="L2637" s="8"/>
      <c r="M2637" s="8"/>
      <c r="N2637" s="8"/>
      <c r="O2637" s="8"/>
      <c r="P2637" s="4"/>
      <c r="Q2637" s="8"/>
      <c r="R2637" s="4"/>
      <c r="S2637" s="4"/>
    </row>
    <row r="2638" customFormat="false" ht="15" hidden="false" customHeight="false" outlineLevel="0" collapsed="false">
      <c r="A2638" s="4"/>
      <c r="B2638" s="8"/>
      <c r="C2638" s="8"/>
      <c r="D2638" s="8"/>
      <c r="E2638" s="8"/>
      <c r="F2638" s="8"/>
      <c r="G2638" s="8"/>
      <c r="H2638" s="8"/>
      <c r="I2638" s="8"/>
      <c r="J2638" s="8"/>
      <c r="K2638" s="8"/>
      <c r="L2638" s="8"/>
      <c r="M2638" s="8"/>
      <c r="N2638" s="8"/>
      <c r="O2638" s="8"/>
      <c r="P2638" s="4"/>
      <c r="Q2638" s="8"/>
      <c r="R2638" s="4"/>
      <c r="S2638" s="4"/>
    </row>
    <row r="2639" customFormat="false" ht="15" hidden="false" customHeight="false" outlineLevel="0" collapsed="false">
      <c r="A2639" s="4"/>
      <c r="B2639" s="8"/>
      <c r="C2639" s="8"/>
      <c r="D2639" s="8"/>
      <c r="E2639" s="8"/>
      <c r="F2639" s="8"/>
      <c r="G2639" s="8"/>
      <c r="H2639" s="8"/>
      <c r="I2639" s="8"/>
      <c r="J2639" s="8"/>
      <c r="K2639" s="8"/>
      <c r="L2639" s="8"/>
      <c r="M2639" s="8"/>
      <c r="N2639" s="8"/>
      <c r="O2639" s="8"/>
      <c r="P2639" s="4"/>
      <c r="Q2639" s="8"/>
      <c r="R2639" s="4"/>
      <c r="S2639" s="4"/>
    </row>
    <row r="2640" customFormat="false" ht="15" hidden="false" customHeight="false" outlineLevel="0" collapsed="false">
      <c r="A2640" s="4"/>
      <c r="B2640" s="8"/>
      <c r="C2640" s="8"/>
      <c r="D2640" s="8"/>
      <c r="E2640" s="8"/>
      <c r="F2640" s="8"/>
      <c r="G2640" s="8"/>
      <c r="H2640" s="8"/>
      <c r="I2640" s="8"/>
      <c r="J2640" s="8"/>
      <c r="K2640" s="8"/>
      <c r="L2640" s="8"/>
      <c r="M2640" s="8"/>
      <c r="N2640" s="8"/>
      <c r="O2640" s="8"/>
      <c r="P2640" s="4"/>
      <c r="Q2640" s="8"/>
      <c r="R2640" s="4"/>
      <c r="S2640" s="4"/>
    </row>
    <row r="2641" customFormat="false" ht="15" hidden="false" customHeight="false" outlineLevel="0" collapsed="false">
      <c r="A2641" s="4"/>
      <c r="B2641" s="8"/>
      <c r="C2641" s="8"/>
      <c r="D2641" s="8"/>
      <c r="E2641" s="8"/>
      <c r="F2641" s="8"/>
      <c r="G2641" s="8"/>
      <c r="H2641" s="8"/>
      <c r="I2641" s="8"/>
      <c r="J2641" s="8"/>
      <c r="K2641" s="8"/>
      <c r="L2641" s="8"/>
      <c r="M2641" s="8"/>
      <c r="N2641" s="8"/>
      <c r="O2641" s="8"/>
      <c r="P2641" s="4"/>
      <c r="Q2641" s="8"/>
      <c r="R2641" s="4"/>
      <c r="S2641" s="4"/>
    </row>
    <row r="2642" customFormat="false" ht="15" hidden="false" customHeight="false" outlineLevel="0" collapsed="false">
      <c r="A2642" s="4"/>
      <c r="B2642" s="8"/>
      <c r="C2642" s="8"/>
      <c r="D2642" s="8"/>
      <c r="E2642" s="8"/>
      <c r="F2642" s="8"/>
      <c r="G2642" s="8"/>
      <c r="H2642" s="8"/>
      <c r="I2642" s="8"/>
      <c r="J2642" s="8"/>
      <c r="K2642" s="8"/>
      <c r="L2642" s="8"/>
      <c r="M2642" s="8"/>
      <c r="N2642" s="8"/>
      <c r="O2642" s="8"/>
      <c r="P2642" s="4"/>
      <c r="Q2642" s="8"/>
      <c r="R2642" s="4"/>
      <c r="S2642" s="4"/>
    </row>
    <row r="2643" customFormat="false" ht="15" hidden="false" customHeight="false" outlineLevel="0" collapsed="false">
      <c r="A2643" s="4"/>
      <c r="B2643" s="8"/>
      <c r="C2643" s="8"/>
      <c r="D2643" s="8"/>
      <c r="E2643" s="8"/>
      <c r="F2643" s="8"/>
      <c r="G2643" s="8"/>
      <c r="H2643" s="8"/>
      <c r="I2643" s="8"/>
      <c r="J2643" s="8"/>
      <c r="K2643" s="8"/>
      <c r="L2643" s="8"/>
      <c r="M2643" s="8"/>
      <c r="N2643" s="8"/>
      <c r="O2643" s="8"/>
      <c r="P2643" s="4"/>
      <c r="Q2643" s="8"/>
      <c r="R2643" s="4"/>
      <c r="S2643" s="4"/>
    </row>
    <row r="2644" customFormat="false" ht="15" hidden="false" customHeight="false" outlineLevel="0" collapsed="false">
      <c r="A2644" s="4"/>
      <c r="B2644" s="8"/>
      <c r="C2644" s="8"/>
      <c r="D2644" s="8"/>
      <c r="E2644" s="8"/>
      <c r="F2644" s="8"/>
      <c r="G2644" s="8"/>
      <c r="H2644" s="8"/>
      <c r="I2644" s="8"/>
      <c r="J2644" s="8"/>
      <c r="K2644" s="8"/>
      <c r="L2644" s="8"/>
      <c r="M2644" s="8"/>
      <c r="N2644" s="8"/>
      <c r="O2644" s="8"/>
      <c r="P2644" s="4"/>
      <c r="Q2644" s="8"/>
      <c r="R2644" s="4"/>
      <c r="S2644" s="4"/>
    </row>
    <row r="2645" customFormat="false" ht="15" hidden="false" customHeight="false" outlineLevel="0" collapsed="false">
      <c r="A2645" s="4"/>
      <c r="B2645" s="8"/>
      <c r="C2645" s="8"/>
      <c r="D2645" s="8"/>
      <c r="E2645" s="8"/>
      <c r="F2645" s="8"/>
      <c r="G2645" s="8"/>
      <c r="H2645" s="8"/>
      <c r="I2645" s="8"/>
      <c r="J2645" s="8"/>
      <c r="K2645" s="8"/>
      <c r="L2645" s="8"/>
      <c r="M2645" s="8"/>
      <c r="N2645" s="8"/>
      <c r="O2645" s="8"/>
      <c r="P2645" s="4"/>
      <c r="Q2645" s="8"/>
      <c r="R2645" s="4"/>
      <c r="S2645" s="4"/>
    </row>
    <row r="2646" customFormat="false" ht="15" hidden="false" customHeight="false" outlineLevel="0" collapsed="false">
      <c r="A2646" s="4"/>
      <c r="B2646" s="8"/>
      <c r="C2646" s="8"/>
      <c r="D2646" s="8"/>
      <c r="E2646" s="8"/>
      <c r="F2646" s="8"/>
      <c r="G2646" s="8"/>
      <c r="H2646" s="8"/>
      <c r="I2646" s="8"/>
      <c r="J2646" s="8"/>
      <c r="K2646" s="8"/>
      <c r="L2646" s="8"/>
      <c r="M2646" s="8"/>
      <c r="N2646" s="8"/>
      <c r="O2646" s="8"/>
      <c r="P2646" s="4"/>
      <c r="Q2646" s="8"/>
      <c r="R2646" s="4"/>
      <c r="S2646" s="4"/>
    </row>
    <row r="2647" customFormat="false" ht="15" hidden="false" customHeight="false" outlineLevel="0" collapsed="false">
      <c r="A2647" s="4"/>
      <c r="B2647" s="8"/>
      <c r="C2647" s="8"/>
      <c r="D2647" s="8"/>
      <c r="E2647" s="8"/>
      <c r="F2647" s="8"/>
      <c r="G2647" s="8"/>
      <c r="H2647" s="8"/>
      <c r="I2647" s="8"/>
      <c r="J2647" s="8"/>
      <c r="K2647" s="8"/>
      <c r="L2647" s="8"/>
      <c r="M2647" s="8"/>
      <c r="N2647" s="8"/>
      <c r="O2647" s="8"/>
      <c r="P2647" s="4"/>
      <c r="Q2647" s="8"/>
      <c r="R2647" s="4"/>
      <c r="S2647" s="4"/>
    </row>
    <row r="2648" customFormat="false" ht="15" hidden="false" customHeight="false" outlineLevel="0" collapsed="false">
      <c r="A2648" s="4"/>
      <c r="B2648" s="8"/>
      <c r="C2648" s="8"/>
      <c r="D2648" s="8"/>
      <c r="E2648" s="8"/>
      <c r="F2648" s="8"/>
      <c r="G2648" s="8"/>
      <c r="H2648" s="8"/>
      <c r="I2648" s="8"/>
      <c r="J2648" s="8"/>
      <c r="K2648" s="8"/>
      <c r="L2648" s="8"/>
      <c r="M2648" s="8"/>
      <c r="N2648" s="8"/>
      <c r="O2648" s="8"/>
      <c r="P2648" s="4"/>
      <c r="Q2648" s="8"/>
      <c r="R2648" s="4"/>
      <c r="S2648" s="4"/>
    </row>
    <row r="2649" customFormat="false" ht="15" hidden="false" customHeight="false" outlineLevel="0" collapsed="false">
      <c r="A2649" s="4"/>
      <c r="B2649" s="8"/>
      <c r="C2649" s="8"/>
      <c r="D2649" s="8"/>
      <c r="E2649" s="8"/>
      <c r="F2649" s="8"/>
      <c r="G2649" s="8"/>
      <c r="H2649" s="8"/>
      <c r="I2649" s="8"/>
      <c r="J2649" s="8"/>
      <c r="K2649" s="8"/>
      <c r="L2649" s="8"/>
      <c r="M2649" s="8"/>
      <c r="N2649" s="8"/>
      <c r="O2649" s="8"/>
      <c r="P2649" s="4"/>
      <c r="Q2649" s="8"/>
      <c r="R2649" s="4"/>
      <c r="S2649" s="4"/>
    </row>
    <row r="2650" customFormat="false" ht="15" hidden="false" customHeight="false" outlineLevel="0" collapsed="false">
      <c r="A2650" s="4"/>
      <c r="B2650" s="8"/>
      <c r="C2650" s="8"/>
      <c r="D2650" s="8"/>
      <c r="E2650" s="8"/>
      <c r="F2650" s="8"/>
      <c r="G2650" s="8"/>
      <c r="H2650" s="8"/>
      <c r="I2650" s="8"/>
      <c r="J2650" s="8"/>
      <c r="K2650" s="8"/>
      <c r="L2650" s="8"/>
      <c r="M2650" s="8"/>
      <c r="N2650" s="8"/>
      <c r="O2650" s="8"/>
      <c r="P2650" s="4"/>
      <c r="Q2650" s="8"/>
      <c r="R2650" s="4"/>
      <c r="S2650" s="4"/>
    </row>
    <row r="2651" customFormat="false" ht="15" hidden="false" customHeight="false" outlineLevel="0" collapsed="false">
      <c r="A2651" s="4"/>
      <c r="B2651" s="8"/>
      <c r="C2651" s="8"/>
      <c r="D2651" s="8"/>
      <c r="E2651" s="8"/>
      <c r="F2651" s="8"/>
      <c r="G2651" s="8"/>
      <c r="H2651" s="8"/>
      <c r="I2651" s="8"/>
      <c r="J2651" s="8"/>
      <c r="K2651" s="8"/>
      <c r="L2651" s="8"/>
      <c r="M2651" s="8"/>
      <c r="N2651" s="8"/>
      <c r="O2651" s="8"/>
      <c r="P2651" s="4"/>
      <c r="Q2651" s="8"/>
      <c r="R2651" s="4"/>
      <c r="S2651" s="4"/>
    </row>
    <row r="2652" customFormat="false" ht="15" hidden="false" customHeight="false" outlineLevel="0" collapsed="false">
      <c r="A2652" s="4"/>
      <c r="B2652" s="8"/>
      <c r="C2652" s="8"/>
      <c r="D2652" s="8"/>
      <c r="E2652" s="8"/>
      <c r="F2652" s="8"/>
      <c r="G2652" s="8"/>
      <c r="H2652" s="8"/>
      <c r="I2652" s="8"/>
      <c r="J2652" s="8"/>
      <c r="K2652" s="8"/>
      <c r="L2652" s="8"/>
      <c r="M2652" s="8"/>
      <c r="N2652" s="8"/>
      <c r="O2652" s="8"/>
      <c r="P2652" s="4"/>
      <c r="Q2652" s="8"/>
      <c r="R2652" s="4"/>
      <c r="S2652" s="4"/>
    </row>
    <row r="2653" customFormat="false" ht="15" hidden="false" customHeight="false" outlineLevel="0" collapsed="false">
      <c r="A2653" s="4"/>
      <c r="B2653" s="8"/>
      <c r="C2653" s="8"/>
      <c r="D2653" s="8"/>
      <c r="E2653" s="8"/>
      <c r="F2653" s="8"/>
      <c r="G2653" s="8"/>
      <c r="H2653" s="8"/>
      <c r="I2653" s="8"/>
      <c r="J2653" s="8"/>
      <c r="K2653" s="8"/>
      <c r="L2653" s="8"/>
      <c r="M2653" s="8"/>
      <c r="N2653" s="8"/>
      <c r="O2653" s="8"/>
      <c r="P2653" s="4"/>
      <c r="Q2653" s="8"/>
      <c r="R2653" s="4"/>
      <c r="S2653" s="4"/>
    </row>
    <row r="2654" customFormat="false" ht="15" hidden="false" customHeight="false" outlineLevel="0" collapsed="false">
      <c r="A2654" s="4"/>
      <c r="B2654" s="8"/>
      <c r="C2654" s="8"/>
      <c r="D2654" s="8"/>
      <c r="E2654" s="8"/>
      <c r="F2654" s="8"/>
      <c r="G2654" s="8"/>
      <c r="H2654" s="8"/>
      <c r="I2654" s="8"/>
      <c r="J2654" s="8"/>
      <c r="K2654" s="8"/>
      <c r="L2654" s="8"/>
      <c r="M2654" s="8"/>
      <c r="N2654" s="8"/>
      <c r="O2654" s="8"/>
      <c r="P2654" s="4"/>
      <c r="Q2654" s="8"/>
      <c r="R2654" s="4"/>
      <c r="S2654" s="4"/>
    </row>
    <row r="2655" customFormat="false" ht="15" hidden="false" customHeight="false" outlineLevel="0" collapsed="false">
      <c r="A2655" s="4"/>
      <c r="B2655" s="8"/>
      <c r="C2655" s="8"/>
      <c r="D2655" s="8"/>
      <c r="E2655" s="8"/>
      <c r="F2655" s="8"/>
      <c r="G2655" s="8"/>
      <c r="H2655" s="8"/>
      <c r="I2655" s="8"/>
      <c r="J2655" s="8"/>
      <c r="K2655" s="8"/>
      <c r="L2655" s="8"/>
      <c r="M2655" s="8"/>
      <c r="N2655" s="8"/>
      <c r="O2655" s="8"/>
      <c r="P2655" s="4"/>
      <c r="Q2655" s="8"/>
      <c r="R2655" s="4"/>
      <c r="S2655" s="4"/>
    </row>
    <row r="2656" customFormat="false" ht="15" hidden="false" customHeight="false" outlineLevel="0" collapsed="false">
      <c r="A2656" s="4"/>
      <c r="B2656" s="8"/>
      <c r="C2656" s="8"/>
      <c r="D2656" s="8"/>
      <c r="E2656" s="8"/>
      <c r="F2656" s="8"/>
      <c r="G2656" s="8"/>
      <c r="H2656" s="8"/>
      <c r="I2656" s="8"/>
      <c r="J2656" s="8"/>
      <c r="K2656" s="8"/>
      <c r="L2656" s="8"/>
      <c r="M2656" s="8"/>
      <c r="N2656" s="8"/>
      <c r="O2656" s="8"/>
      <c r="P2656" s="4"/>
      <c r="Q2656" s="8"/>
      <c r="R2656" s="4"/>
      <c r="S2656" s="4"/>
    </row>
    <row r="2657" customFormat="false" ht="15" hidden="false" customHeight="false" outlineLevel="0" collapsed="false">
      <c r="A2657" s="4"/>
      <c r="B2657" s="8"/>
      <c r="C2657" s="8"/>
      <c r="D2657" s="8"/>
      <c r="E2657" s="8"/>
      <c r="F2657" s="8"/>
      <c r="G2657" s="8"/>
      <c r="H2657" s="8"/>
      <c r="I2657" s="8"/>
      <c r="J2657" s="8"/>
      <c r="K2657" s="8"/>
      <c r="L2657" s="8"/>
      <c r="M2657" s="8"/>
      <c r="N2657" s="8"/>
      <c r="O2657" s="8"/>
      <c r="P2657" s="4"/>
      <c r="Q2657" s="8"/>
      <c r="R2657" s="4"/>
      <c r="S2657" s="4"/>
    </row>
    <row r="2658" customFormat="false" ht="15" hidden="false" customHeight="false" outlineLevel="0" collapsed="false">
      <c r="A2658" s="4"/>
      <c r="B2658" s="8"/>
      <c r="C2658" s="8"/>
      <c r="D2658" s="8"/>
      <c r="E2658" s="8"/>
      <c r="F2658" s="8"/>
      <c r="G2658" s="8"/>
      <c r="H2658" s="8"/>
      <c r="I2658" s="8"/>
      <c r="J2658" s="8"/>
      <c r="K2658" s="8"/>
      <c r="L2658" s="8"/>
      <c r="M2658" s="8"/>
      <c r="N2658" s="8"/>
      <c r="O2658" s="8"/>
      <c r="P2658" s="4"/>
      <c r="Q2658" s="8"/>
      <c r="R2658" s="4"/>
      <c r="S2658" s="4"/>
    </row>
    <row r="2659" customFormat="false" ht="15" hidden="false" customHeight="false" outlineLevel="0" collapsed="false">
      <c r="A2659" s="4"/>
      <c r="B2659" s="8"/>
      <c r="C2659" s="8"/>
      <c r="D2659" s="8"/>
      <c r="E2659" s="8"/>
      <c r="F2659" s="8"/>
      <c r="G2659" s="8"/>
      <c r="H2659" s="8"/>
      <c r="I2659" s="8"/>
      <c r="J2659" s="8"/>
      <c r="K2659" s="8"/>
      <c r="L2659" s="8"/>
      <c r="M2659" s="8"/>
      <c r="N2659" s="8"/>
      <c r="O2659" s="8"/>
      <c r="P2659" s="4"/>
      <c r="Q2659" s="8"/>
      <c r="R2659" s="4"/>
      <c r="S2659" s="4"/>
    </row>
    <row r="2660" customFormat="false" ht="15" hidden="false" customHeight="false" outlineLevel="0" collapsed="false">
      <c r="A2660" s="4"/>
      <c r="B2660" s="8"/>
      <c r="C2660" s="8"/>
      <c r="D2660" s="8"/>
      <c r="E2660" s="8"/>
      <c r="F2660" s="8"/>
      <c r="G2660" s="8"/>
      <c r="H2660" s="8"/>
      <c r="I2660" s="8"/>
      <c r="J2660" s="8"/>
      <c r="K2660" s="8"/>
      <c r="L2660" s="8"/>
      <c r="M2660" s="8"/>
      <c r="N2660" s="8"/>
      <c r="O2660" s="8"/>
      <c r="P2660" s="4"/>
      <c r="Q2660" s="8"/>
      <c r="R2660" s="4"/>
      <c r="S2660" s="4"/>
    </row>
    <row r="2661" customFormat="false" ht="15" hidden="false" customHeight="false" outlineLevel="0" collapsed="false">
      <c r="A2661" s="4"/>
      <c r="B2661" s="8"/>
      <c r="C2661" s="8"/>
      <c r="D2661" s="8"/>
      <c r="E2661" s="8"/>
      <c r="F2661" s="8"/>
      <c r="G2661" s="8"/>
      <c r="H2661" s="8"/>
      <c r="I2661" s="8"/>
      <c r="J2661" s="8"/>
      <c r="K2661" s="8"/>
      <c r="L2661" s="8"/>
      <c r="M2661" s="8"/>
      <c r="N2661" s="8"/>
      <c r="O2661" s="8"/>
      <c r="P2661" s="4"/>
      <c r="Q2661" s="8"/>
      <c r="R2661" s="4"/>
      <c r="S2661" s="4"/>
    </row>
    <row r="2662" customFormat="false" ht="15" hidden="false" customHeight="false" outlineLevel="0" collapsed="false">
      <c r="A2662" s="4"/>
      <c r="B2662" s="8"/>
      <c r="C2662" s="8"/>
      <c r="D2662" s="8"/>
      <c r="E2662" s="8"/>
      <c r="F2662" s="8"/>
      <c r="G2662" s="8"/>
      <c r="H2662" s="8"/>
      <c r="I2662" s="8"/>
      <c r="J2662" s="8"/>
      <c r="K2662" s="8"/>
      <c r="L2662" s="8"/>
      <c r="M2662" s="8"/>
      <c r="N2662" s="8"/>
      <c r="O2662" s="8"/>
      <c r="P2662" s="4"/>
      <c r="Q2662" s="8"/>
      <c r="R2662" s="4"/>
      <c r="S2662" s="4"/>
    </row>
    <row r="2663" customFormat="false" ht="15" hidden="false" customHeight="false" outlineLevel="0" collapsed="false">
      <c r="A2663" s="4"/>
      <c r="B2663" s="8"/>
      <c r="C2663" s="8"/>
      <c r="D2663" s="8"/>
      <c r="E2663" s="8"/>
      <c r="F2663" s="8"/>
      <c r="G2663" s="8"/>
      <c r="H2663" s="8"/>
      <c r="I2663" s="8"/>
      <c r="J2663" s="8"/>
      <c r="K2663" s="8"/>
      <c r="L2663" s="8"/>
      <c r="M2663" s="8"/>
      <c r="N2663" s="8"/>
      <c r="O2663" s="8"/>
      <c r="P2663" s="4"/>
      <c r="Q2663" s="8"/>
      <c r="R2663" s="4"/>
      <c r="S2663" s="4"/>
    </row>
    <row r="2664" customFormat="false" ht="15" hidden="false" customHeight="false" outlineLevel="0" collapsed="false">
      <c r="A2664" s="4"/>
      <c r="B2664" s="8"/>
      <c r="C2664" s="8"/>
      <c r="D2664" s="8"/>
      <c r="E2664" s="8"/>
      <c r="F2664" s="8"/>
      <c r="G2664" s="8"/>
      <c r="H2664" s="8"/>
      <c r="I2664" s="8"/>
      <c r="J2664" s="8"/>
      <c r="K2664" s="8"/>
      <c r="L2664" s="8"/>
      <c r="M2664" s="8"/>
      <c r="N2664" s="8"/>
      <c r="O2664" s="8"/>
      <c r="P2664" s="4"/>
      <c r="Q2664" s="8"/>
      <c r="R2664" s="4"/>
      <c r="S2664" s="4"/>
    </row>
    <row r="2665" customFormat="false" ht="15" hidden="false" customHeight="false" outlineLevel="0" collapsed="false">
      <c r="A2665" s="4"/>
      <c r="B2665" s="8"/>
      <c r="C2665" s="8"/>
      <c r="D2665" s="8"/>
      <c r="E2665" s="8"/>
      <c r="F2665" s="8"/>
      <c r="G2665" s="8"/>
      <c r="H2665" s="8"/>
      <c r="I2665" s="8"/>
      <c r="J2665" s="8"/>
      <c r="K2665" s="8"/>
      <c r="L2665" s="8"/>
      <c r="M2665" s="8"/>
      <c r="N2665" s="8"/>
      <c r="O2665" s="8"/>
      <c r="P2665" s="4"/>
      <c r="Q2665" s="8"/>
      <c r="R2665" s="4"/>
      <c r="S2665" s="4"/>
    </row>
    <row r="2666" customFormat="false" ht="15" hidden="false" customHeight="false" outlineLevel="0" collapsed="false">
      <c r="A2666" s="4"/>
      <c r="B2666" s="8"/>
      <c r="C2666" s="8"/>
      <c r="D2666" s="8"/>
      <c r="E2666" s="8"/>
      <c r="F2666" s="8"/>
      <c r="G2666" s="8"/>
      <c r="H2666" s="8"/>
      <c r="I2666" s="8"/>
      <c r="J2666" s="8"/>
      <c r="K2666" s="8"/>
      <c r="L2666" s="8"/>
      <c r="M2666" s="8"/>
      <c r="N2666" s="8"/>
      <c r="O2666" s="8"/>
      <c r="P2666" s="4"/>
      <c r="Q2666" s="8"/>
      <c r="R2666" s="4"/>
      <c r="S2666" s="4"/>
    </row>
    <row r="2667" customFormat="false" ht="15" hidden="false" customHeight="false" outlineLevel="0" collapsed="false">
      <c r="A2667" s="4"/>
      <c r="B2667" s="8"/>
      <c r="C2667" s="8"/>
      <c r="D2667" s="8"/>
      <c r="E2667" s="8"/>
      <c r="F2667" s="8"/>
      <c r="G2667" s="8"/>
      <c r="H2667" s="8"/>
      <c r="I2667" s="8"/>
      <c r="J2667" s="8"/>
      <c r="K2667" s="8"/>
      <c r="L2667" s="8"/>
      <c r="M2667" s="8"/>
      <c r="N2667" s="8"/>
      <c r="O2667" s="8"/>
      <c r="P2667" s="4"/>
      <c r="Q2667" s="8"/>
      <c r="R2667" s="4"/>
      <c r="S2667" s="4"/>
    </row>
    <row r="2668" customFormat="false" ht="15" hidden="false" customHeight="false" outlineLevel="0" collapsed="false">
      <c r="A2668" s="4"/>
      <c r="B2668" s="8"/>
      <c r="C2668" s="8"/>
      <c r="D2668" s="8"/>
      <c r="E2668" s="8"/>
      <c r="F2668" s="8"/>
      <c r="G2668" s="8"/>
      <c r="H2668" s="8"/>
      <c r="I2668" s="8"/>
      <c r="J2668" s="8"/>
      <c r="K2668" s="8"/>
      <c r="L2668" s="8"/>
      <c r="M2668" s="8"/>
      <c r="N2668" s="8"/>
      <c r="O2668" s="8"/>
      <c r="P2668" s="4"/>
      <c r="Q2668" s="8"/>
      <c r="R2668" s="4"/>
      <c r="S2668" s="4"/>
    </row>
    <row r="2669" customFormat="false" ht="15" hidden="false" customHeight="false" outlineLevel="0" collapsed="false">
      <c r="A2669" s="4"/>
      <c r="B2669" s="8"/>
      <c r="C2669" s="8"/>
      <c r="D2669" s="8"/>
      <c r="E2669" s="8"/>
      <c r="F2669" s="8"/>
      <c r="G2669" s="8"/>
      <c r="H2669" s="8"/>
      <c r="I2669" s="8"/>
      <c r="J2669" s="8"/>
      <c r="K2669" s="8"/>
      <c r="L2669" s="8"/>
      <c r="M2669" s="8"/>
      <c r="N2669" s="8"/>
      <c r="O2669" s="8"/>
      <c r="P2669" s="4"/>
      <c r="Q2669" s="8"/>
      <c r="R2669" s="4"/>
      <c r="S2669" s="4"/>
    </row>
    <row r="2670" customFormat="false" ht="15" hidden="false" customHeight="false" outlineLevel="0" collapsed="false">
      <c r="A2670" s="4"/>
      <c r="B2670" s="8"/>
      <c r="C2670" s="8"/>
      <c r="D2670" s="8"/>
      <c r="E2670" s="8"/>
      <c r="F2670" s="8"/>
      <c r="G2670" s="8"/>
      <c r="H2670" s="8"/>
      <c r="I2670" s="8"/>
      <c r="J2670" s="8"/>
      <c r="K2670" s="8"/>
      <c r="L2670" s="8"/>
      <c r="M2670" s="8"/>
      <c r="N2670" s="8"/>
      <c r="O2670" s="8"/>
      <c r="P2670" s="4"/>
      <c r="Q2670" s="8"/>
      <c r="R2670" s="4"/>
      <c r="S2670" s="4"/>
    </row>
    <row r="2671" customFormat="false" ht="15" hidden="false" customHeight="false" outlineLevel="0" collapsed="false">
      <c r="A2671" s="4"/>
      <c r="B2671" s="8"/>
      <c r="C2671" s="8"/>
      <c r="D2671" s="8"/>
      <c r="E2671" s="8"/>
      <c r="F2671" s="8"/>
      <c r="G2671" s="8"/>
      <c r="H2671" s="8"/>
      <c r="I2671" s="8"/>
      <c r="J2671" s="8"/>
      <c r="K2671" s="8"/>
      <c r="L2671" s="8"/>
      <c r="M2671" s="8"/>
      <c r="N2671" s="8"/>
      <c r="O2671" s="8"/>
      <c r="P2671" s="4"/>
      <c r="Q2671" s="8"/>
      <c r="R2671" s="4"/>
      <c r="S2671" s="4"/>
    </row>
    <row r="2672" customFormat="false" ht="15" hidden="false" customHeight="false" outlineLevel="0" collapsed="false">
      <c r="A2672" s="4"/>
      <c r="B2672" s="8"/>
      <c r="C2672" s="8"/>
      <c r="D2672" s="8"/>
      <c r="E2672" s="8"/>
      <c r="F2672" s="8"/>
      <c r="G2672" s="8"/>
      <c r="H2672" s="8"/>
      <c r="I2672" s="8"/>
      <c r="J2672" s="8"/>
      <c r="K2672" s="8"/>
      <c r="L2672" s="8"/>
      <c r="M2672" s="8"/>
      <c r="N2672" s="8"/>
      <c r="O2672" s="8"/>
      <c r="P2672" s="4"/>
      <c r="Q2672" s="8"/>
      <c r="R2672" s="4"/>
      <c r="S2672" s="4"/>
    </row>
    <row r="2673" customFormat="false" ht="15" hidden="false" customHeight="false" outlineLevel="0" collapsed="false">
      <c r="A2673" s="4"/>
      <c r="B2673" s="8"/>
      <c r="C2673" s="8"/>
      <c r="D2673" s="8"/>
      <c r="E2673" s="8"/>
      <c r="F2673" s="8"/>
      <c r="G2673" s="8"/>
      <c r="H2673" s="8"/>
      <c r="I2673" s="8"/>
      <c r="J2673" s="8"/>
      <c r="K2673" s="8"/>
      <c r="L2673" s="8"/>
      <c r="M2673" s="8"/>
      <c r="N2673" s="8"/>
      <c r="O2673" s="8"/>
      <c r="P2673" s="4"/>
      <c r="Q2673" s="8"/>
      <c r="R2673" s="4"/>
      <c r="S2673" s="4"/>
    </row>
    <row r="2674" customFormat="false" ht="15" hidden="false" customHeight="false" outlineLevel="0" collapsed="false">
      <c r="A2674" s="4"/>
      <c r="B2674" s="8"/>
      <c r="C2674" s="8"/>
      <c r="D2674" s="8"/>
      <c r="E2674" s="8"/>
      <c r="F2674" s="8"/>
      <c r="G2674" s="8"/>
      <c r="H2674" s="8"/>
      <c r="I2674" s="8"/>
      <c r="J2674" s="8"/>
      <c r="K2674" s="8"/>
      <c r="L2674" s="8"/>
      <c r="M2674" s="8"/>
      <c r="N2674" s="8"/>
      <c r="O2674" s="8"/>
      <c r="P2674" s="4"/>
      <c r="Q2674" s="8"/>
      <c r="R2674" s="4"/>
      <c r="S2674" s="4"/>
    </row>
    <row r="2675" customFormat="false" ht="15" hidden="false" customHeight="false" outlineLevel="0" collapsed="false">
      <c r="A2675" s="4"/>
      <c r="B2675" s="8"/>
      <c r="C2675" s="8"/>
      <c r="D2675" s="8"/>
      <c r="E2675" s="8"/>
      <c r="F2675" s="8"/>
      <c r="G2675" s="8"/>
      <c r="H2675" s="8"/>
      <c r="I2675" s="8"/>
      <c r="J2675" s="8"/>
      <c r="K2675" s="8"/>
      <c r="L2675" s="8"/>
      <c r="M2675" s="8"/>
      <c r="N2675" s="8"/>
      <c r="O2675" s="8"/>
      <c r="P2675" s="4"/>
      <c r="Q2675" s="8"/>
      <c r="R2675" s="4"/>
      <c r="S2675" s="4"/>
    </row>
    <row r="2676" customFormat="false" ht="15" hidden="false" customHeight="false" outlineLevel="0" collapsed="false">
      <c r="A2676" s="4"/>
      <c r="B2676" s="8"/>
      <c r="C2676" s="8"/>
      <c r="D2676" s="8"/>
      <c r="E2676" s="8"/>
      <c r="F2676" s="8"/>
      <c r="G2676" s="8"/>
      <c r="H2676" s="8"/>
      <c r="I2676" s="8"/>
      <c r="J2676" s="8"/>
      <c r="K2676" s="8"/>
      <c r="L2676" s="8"/>
      <c r="M2676" s="8"/>
      <c r="N2676" s="8"/>
      <c r="O2676" s="8"/>
      <c r="P2676" s="4"/>
      <c r="Q2676" s="8"/>
      <c r="R2676" s="4"/>
      <c r="S2676" s="4"/>
    </row>
    <row r="2677" customFormat="false" ht="15" hidden="false" customHeight="false" outlineLevel="0" collapsed="false">
      <c r="A2677" s="4"/>
      <c r="B2677" s="8"/>
      <c r="C2677" s="8"/>
      <c r="D2677" s="8"/>
      <c r="E2677" s="8"/>
      <c r="F2677" s="8"/>
      <c r="G2677" s="8"/>
      <c r="H2677" s="8"/>
      <c r="I2677" s="8"/>
      <c r="J2677" s="8"/>
      <c r="K2677" s="8"/>
      <c r="L2677" s="8"/>
      <c r="M2677" s="8"/>
      <c r="N2677" s="8"/>
      <c r="O2677" s="8"/>
      <c r="P2677" s="4"/>
      <c r="Q2677" s="8"/>
      <c r="R2677" s="4"/>
      <c r="S2677" s="4"/>
    </row>
    <row r="2678" customFormat="false" ht="15" hidden="false" customHeight="false" outlineLevel="0" collapsed="false">
      <c r="A2678" s="4"/>
      <c r="B2678" s="8"/>
      <c r="C2678" s="8"/>
      <c r="D2678" s="8"/>
      <c r="E2678" s="8"/>
      <c r="F2678" s="8"/>
      <c r="G2678" s="8"/>
      <c r="H2678" s="8"/>
      <c r="I2678" s="8"/>
      <c r="J2678" s="8"/>
      <c r="K2678" s="8"/>
      <c r="L2678" s="8"/>
      <c r="M2678" s="8"/>
      <c r="N2678" s="8"/>
      <c r="O2678" s="8"/>
      <c r="P2678" s="4"/>
      <c r="Q2678" s="8"/>
      <c r="R2678" s="4"/>
      <c r="S2678" s="4"/>
    </row>
    <row r="2679" customFormat="false" ht="15" hidden="false" customHeight="false" outlineLevel="0" collapsed="false">
      <c r="A2679" s="4"/>
      <c r="B2679" s="8"/>
      <c r="C2679" s="8"/>
      <c r="D2679" s="8"/>
      <c r="E2679" s="8"/>
      <c r="F2679" s="8"/>
      <c r="G2679" s="8"/>
      <c r="H2679" s="8"/>
      <c r="I2679" s="8"/>
      <c r="J2679" s="8"/>
      <c r="K2679" s="8"/>
      <c r="L2679" s="8"/>
      <c r="M2679" s="8"/>
      <c r="N2679" s="8"/>
      <c r="O2679" s="8"/>
      <c r="P2679" s="4"/>
      <c r="Q2679" s="8"/>
      <c r="R2679" s="4"/>
      <c r="S2679" s="4"/>
    </row>
    <row r="2680" customFormat="false" ht="15" hidden="false" customHeight="false" outlineLevel="0" collapsed="false">
      <c r="A2680" s="4"/>
      <c r="B2680" s="8"/>
      <c r="C2680" s="8"/>
      <c r="D2680" s="8"/>
      <c r="E2680" s="8"/>
      <c r="F2680" s="8"/>
      <c r="G2680" s="8"/>
      <c r="H2680" s="8"/>
      <c r="I2680" s="8"/>
      <c r="J2680" s="8"/>
      <c r="K2680" s="8"/>
      <c r="L2680" s="8"/>
      <c r="M2680" s="8"/>
      <c r="N2680" s="8"/>
      <c r="O2680" s="8"/>
      <c r="P2680" s="4"/>
      <c r="Q2680" s="8"/>
      <c r="R2680" s="4"/>
      <c r="S2680" s="4"/>
    </row>
    <row r="2681" customFormat="false" ht="15" hidden="false" customHeight="false" outlineLevel="0" collapsed="false">
      <c r="A2681" s="4"/>
      <c r="B2681" s="8"/>
      <c r="C2681" s="8"/>
      <c r="D2681" s="8"/>
      <c r="E2681" s="8"/>
      <c r="F2681" s="8"/>
      <c r="G2681" s="8"/>
      <c r="H2681" s="8"/>
      <c r="I2681" s="8"/>
      <c r="J2681" s="8"/>
      <c r="K2681" s="8"/>
      <c r="L2681" s="8"/>
      <c r="M2681" s="8"/>
      <c r="N2681" s="8"/>
      <c r="O2681" s="8"/>
      <c r="P2681" s="4"/>
      <c r="Q2681" s="8"/>
      <c r="R2681" s="4"/>
      <c r="S2681" s="4"/>
    </row>
    <row r="2682" customFormat="false" ht="15" hidden="false" customHeight="false" outlineLevel="0" collapsed="false">
      <c r="A2682" s="4"/>
      <c r="B2682" s="8"/>
      <c r="C2682" s="8"/>
      <c r="D2682" s="8"/>
      <c r="E2682" s="8"/>
      <c r="F2682" s="8"/>
      <c r="G2682" s="8"/>
      <c r="H2682" s="8"/>
      <c r="I2682" s="8"/>
      <c r="J2682" s="8"/>
      <c r="K2682" s="8"/>
      <c r="L2682" s="8"/>
      <c r="M2682" s="8"/>
      <c r="N2682" s="8"/>
      <c r="O2682" s="8"/>
      <c r="P2682" s="4"/>
      <c r="Q2682" s="8"/>
      <c r="R2682" s="4"/>
      <c r="S2682" s="4"/>
    </row>
    <row r="2683" customFormat="false" ht="15" hidden="false" customHeight="false" outlineLevel="0" collapsed="false">
      <c r="A2683" s="4"/>
      <c r="B2683" s="8"/>
      <c r="C2683" s="8"/>
      <c r="D2683" s="8"/>
      <c r="E2683" s="8"/>
      <c r="F2683" s="8"/>
      <c r="G2683" s="8"/>
      <c r="H2683" s="8"/>
      <c r="I2683" s="8"/>
      <c r="J2683" s="8"/>
      <c r="K2683" s="8"/>
      <c r="L2683" s="8"/>
      <c r="M2683" s="8"/>
      <c r="N2683" s="8"/>
      <c r="O2683" s="8"/>
      <c r="P2683" s="4"/>
      <c r="Q2683" s="8"/>
      <c r="R2683" s="4"/>
      <c r="S2683" s="4"/>
    </row>
    <row r="2684" customFormat="false" ht="15" hidden="false" customHeight="false" outlineLevel="0" collapsed="false">
      <c r="A2684" s="4"/>
      <c r="B2684" s="8"/>
      <c r="C2684" s="8"/>
      <c r="D2684" s="8"/>
      <c r="E2684" s="8"/>
      <c r="F2684" s="8"/>
      <c r="G2684" s="8"/>
      <c r="H2684" s="8"/>
      <c r="I2684" s="8"/>
      <c r="J2684" s="8"/>
      <c r="K2684" s="8"/>
      <c r="L2684" s="8"/>
      <c r="M2684" s="8"/>
      <c r="N2684" s="8"/>
      <c r="O2684" s="8"/>
      <c r="P2684" s="4"/>
      <c r="Q2684" s="8"/>
      <c r="R2684" s="4"/>
      <c r="S2684" s="4"/>
    </row>
    <row r="2685" customFormat="false" ht="15" hidden="false" customHeight="false" outlineLevel="0" collapsed="false">
      <c r="A2685" s="4"/>
      <c r="B2685" s="8"/>
      <c r="C2685" s="8"/>
      <c r="D2685" s="8"/>
      <c r="E2685" s="8"/>
      <c r="F2685" s="8"/>
      <c r="G2685" s="8"/>
      <c r="H2685" s="8"/>
      <c r="I2685" s="8"/>
      <c r="J2685" s="8"/>
      <c r="K2685" s="8"/>
      <c r="L2685" s="8"/>
      <c r="M2685" s="8"/>
      <c r="N2685" s="8"/>
      <c r="O2685" s="8"/>
      <c r="P2685" s="4"/>
      <c r="Q2685" s="8"/>
      <c r="R2685" s="4"/>
      <c r="S2685" s="4"/>
    </row>
    <row r="2686" customFormat="false" ht="15" hidden="false" customHeight="false" outlineLevel="0" collapsed="false">
      <c r="A2686" s="4"/>
      <c r="B2686" s="8"/>
      <c r="C2686" s="8"/>
      <c r="D2686" s="8"/>
      <c r="E2686" s="8"/>
      <c r="F2686" s="8"/>
      <c r="G2686" s="8"/>
      <c r="H2686" s="8"/>
      <c r="I2686" s="8"/>
      <c r="J2686" s="8"/>
      <c r="K2686" s="8"/>
      <c r="L2686" s="8"/>
      <c r="M2686" s="8"/>
      <c r="N2686" s="8"/>
      <c r="O2686" s="8"/>
      <c r="P2686" s="4"/>
      <c r="Q2686" s="8"/>
      <c r="R2686" s="4"/>
      <c r="S2686" s="4"/>
    </row>
    <row r="2687" customFormat="false" ht="15" hidden="false" customHeight="false" outlineLevel="0" collapsed="false">
      <c r="A2687" s="4"/>
      <c r="B2687" s="8"/>
      <c r="C2687" s="8"/>
      <c r="D2687" s="8"/>
      <c r="E2687" s="8"/>
      <c r="F2687" s="8"/>
      <c r="G2687" s="8"/>
      <c r="H2687" s="8"/>
      <c r="I2687" s="8"/>
      <c r="J2687" s="8"/>
      <c r="K2687" s="8"/>
      <c r="L2687" s="8"/>
      <c r="M2687" s="8"/>
      <c r="N2687" s="8"/>
      <c r="O2687" s="8"/>
      <c r="P2687" s="4"/>
      <c r="Q2687" s="8"/>
      <c r="R2687" s="4"/>
      <c r="S2687" s="4"/>
    </row>
    <row r="2688" customFormat="false" ht="15" hidden="false" customHeight="false" outlineLevel="0" collapsed="false">
      <c r="A2688" s="4"/>
      <c r="B2688" s="8"/>
      <c r="C2688" s="8"/>
      <c r="D2688" s="8"/>
      <c r="E2688" s="8"/>
      <c r="F2688" s="8"/>
      <c r="G2688" s="8"/>
      <c r="H2688" s="8"/>
      <c r="I2688" s="8"/>
      <c r="J2688" s="8"/>
      <c r="K2688" s="8"/>
      <c r="L2688" s="8"/>
      <c r="M2688" s="8"/>
      <c r="N2688" s="8"/>
      <c r="O2688" s="8"/>
      <c r="P2688" s="4"/>
      <c r="Q2688" s="8"/>
      <c r="R2688" s="4"/>
      <c r="S2688" s="4"/>
    </row>
    <row r="2689" customFormat="false" ht="15" hidden="false" customHeight="false" outlineLevel="0" collapsed="false">
      <c r="A2689" s="4"/>
      <c r="B2689" s="8"/>
      <c r="C2689" s="8"/>
      <c r="D2689" s="8"/>
      <c r="E2689" s="8"/>
      <c r="F2689" s="8"/>
      <c r="G2689" s="8"/>
      <c r="H2689" s="8"/>
      <c r="I2689" s="8"/>
      <c r="J2689" s="8"/>
      <c r="K2689" s="8"/>
      <c r="L2689" s="8"/>
      <c r="M2689" s="8"/>
      <c r="N2689" s="8"/>
      <c r="O2689" s="8"/>
      <c r="P2689" s="4"/>
      <c r="Q2689" s="8"/>
      <c r="R2689" s="4"/>
      <c r="S2689" s="4"/>
    </row>
    <row r="2690" customFormat="false" ht="15" hidden="false" customHeight="false" outlineLevel="0" collapsed="false">
      <c r="A2690" s="4"/>
      <c r="B2690" s="8"/>
      <c r="C2690" s="8"/>
      <c r="D2690" s="8"/>
      <c r="E2690" s="8"/>
      <c r="F2690" s="8"/>
      <c r="G2690" s="8"/>
      <c r="H2690" s="8"/>
      <c r="I2690" s="8"/>
      <c r="J2690" s="8"/>
      <c r="K2690" s="8"/>
      <c r="L2690" s="8"/>
      <c r="M2690" s="8"/>
      <c r="N2690" s="8"/>
      <c r="O2690" s="8"/>
      <c r="P2690" s="4"/>
      <c r="Q2690" s="8"/>
      <c r="R2690" s="4"/>
      <c r="S2690" s="4"/>
    </row>
    <row r="2691" customFormat="false" ht="15" hidden="false" customHeight="false" outlineLevel="0" collapsed="false">
      <c r="A2691" s="4"/>
      <c r="B2691" s="8"/>
      <c r="C2691" s="8"/>
      <c r="D2691" s="8"/>
      <c r="E2691" s="8"/>
      <c r="F2691" s="8"/>
      <c r="G2691" s="8"/>
      <c r="H2691" s="8"/>
      <c r="I2691" s="8"/>
      <c r="J2691" s="8"/>
      <c r="K2691" s="8"/>
      <c r="L2691" s="8"/>
      <c r="M2691" s="8"/>
      <c r="N2691" s="8"/>
      <c r="O2691" s="8"/>
      <c r="P2691" s="4"/>
      <c r="Q2691" s="8"/>
      <c r="R2691" s="4"/>
      <c r="S2691" s="4"/>
    </row>
    <row r="2692" customFormat="false" ht="15" hidden="false" customHeight="false" outlineLevel="0" collapsed="false">
      <c r="A2692" s="4"/>
      <c r="B2692" s="8"/>
      <c r="C2692" s="8"/>
      <c r="D2692" s="8"/>
      <c r="E2692" s="8"/>
      <c r="F2692" s="8"/>
      <c r="G2692" s="8"/>
      <c r="H2692" s="8"/>
      <c r="I2692" s="8"/>
      <c r="J2692" s="8"/>
      <c r="K2692" s="8"/>
      <c r="L2692" s="8"/>
      <c r="M2692" s="8"/>
      <c r="N2692" s="8"/>
      <c r="O2692" s="8"/>
      <c r="P2692" s="4"/>
      <c r="Q2692" s="8"/>
      <c r="R2692" s="4"/>
      <c r="S2692" s="4"/>
    </row>
    <row r="2693" customFormat="false" ht="15" hidden="false" customHeight="false" outlineLevel="0" collapsed="false">
      <c r="A2693" s="4"/>
      <c r="B2693" s="8"/>
      <c r="C2693" s="8"/>
      <c r="D2693" s="8"/>
      <c r="E2693" s="8"/>
      <c r="F2693" s="8"/>
      <c r="G2693" s="8"/>
      <c r="H2693" s="8"/>
      <c r="I2693" s="8"/>
      <c r="J2693" s="8"/>
      <c r="K2693" s="8"/>
      <c r="L2693" s="8"/>
      <c r="M2693" s="8"/>
      <c r="N2693" s="8"/>
      <c r="O2693" s="8"/>
      <c r="P2693" s="4"/>
      <c r="Q2693" s="8"/>
      <c r="R2693" s="4"/>
      <c r="S2693" s="4"/>
    </row>
    <row r="2694" customFormat="false" ht="15" hidden="false" customHeight="false" outlineLevel="0" collapsed="false">
      <c r="A2694" s="4"/>
      <c r="B2694" s="8"/>
      <c r="C2694" s="8"/>
      <c r="D2694" s="8"/>
      <c r="E2694" s="8"/>
      <c r="F2694" s="8"/>
      <c r="G2694" s="8"/>
      <c r="H2694" s="8"/>
      <c r="I2694" s="8"/>
      <c r="J2694" s="8"/>
      <c r="K2694" s="8"/>
      <c r="L2694" s="8"/>
      <c r="M2694" s="8"/>
      <c r="N2694" s="8"/>
      <c r="O2694" s="8"/>
      <c r="P2694" s="4"/>
      <c r="Q2694" s="8"/>
      <c r="R2694" s="4"/>
      <c r="S2694" s="4"/>
    </row>
    <row r="2695" customFormat="false" ht="15" hidden="false" customHeight="false" outlineLevel="0" collapsed="false">
      <c r="A2695" s="4"/>
      <c r="B2695" s="8"/>
      <c r="C2695" s="8"/>
      <c r="D2695" s="8"/>
      <c r="E2695" s="8"/>
      <c r="F2695" s="8"/>
      <c r="G2695" s="8"/>
      <c r="H2695" s="8"/>
      <c r="I2695" s="8"/>
      <c r="J2695" s="8"/>
      <c r="K2695" s="8"/>
      <c r="L2695" s="8"/>
      <c r="M2695" s="8"/>
      <c r="N2695" s="8"/>
      <c r="O2695" s="8"/>
      <c r="P2695" s="4"/>
      <c r="Q2695" s="8"/>
      <c r="R2695" s="4"/>
      <c r="S2695" s="4"/>
    </row>
    <row r="2696" customFormat="false" ht="15" hidden="false" customHeight="false" outlineLevel="0" collapsed="false">
      <c r="A2696" s="4"/>
      <c r="B2696" s="8"/>
      <c r="C2696" s="8"/>
      <c r="D2696" s="8"/>
      <c r="E2696" s="8"/>
      <c r="F2696" s="8"/>
      <c r="G2696" s="8"/>
      <c r="H2696" s="8"/>
      <c r="I2696" s="8"/>
      <c r="J2696" s="8"/>
      <c r="K2696" s="8"/>
      <c r="L2696" s="8"/>
      <c r="M2696" s="8"/>
      <c r="N2696" s="8"/>
      <c r="O2696" s="8"/>
      <c r="P2696" s="4"/>
      <c r="Q2696" s="8"/>
      <c r="R2696" s="4"/>
      <c r="S2696" s="4"/>
    </row>
    <row r="2697" customFormat="false" ht="15" hidden="false" customHeight="false" outlineLevel="0" collapsed="false">
      <c r="A2697" s="4"/>
      <c r="B2697" s="8"/>
      <c r="C2697" s="8"/>
      <c r="D2697" s="8"/>
      <c r="E2697" s="8"/>
      <c r="F2697" s="8"/>
      <c r="G2697" s="8"/>
      <c r="H2697" s="8"/>
      <c r="I2697" s="8"/>
      <c r="J2697" s="8"/>
      <c r="K2697" s="8"/>
      <c r="L2697" s="8"/>
      <c r="M2697" s="8"/>
      <c r="N2697" s="8"/>
      <c r="O2697" s="8"/>
      <c r="P2697" s="4"/>
      <c r="Q2697" s="8"/>
      <c r="R2697" s="4"/>
      <c r="S2697" s="4"/>
    </row>
    <row r="2698" customFormat="false" ht="15" hidden="false" customHeight="false" outlineLevel="0" collapsed="false">
      <c r="A2698" s="4"/>
      <c r="B2698" s="8"/>
      <c r="C2698" s="8"/>
      <c r="D2698" s="8"/>
      <c r="E2698" s="8"/>
      <c r="F2698" s="8"/>
      <c r="G2698" s="8"/>
      <c r="H2698" s="8"/>
      <c r="I2698" s="8"/>
      <c r="J2698" s="8"/>
      <c r="K2698" s="8"/>
      <c r="L2698" s="8"/>
      <c r="M2698" s="8"/>
      <c r="N2698" s="8"/>
      <c r="O2698" s="8"/>
      <c r="P2698" s="4"/>
      <c r="Q2698" s="8"/>
      <c r="R2698" s="4"/>
      <c r="S2698" s="4"/>
    </row>
    <row r="2699" customFormat="false" ht="15" hidden="false" customHeight="false" outlineLevel="0" collapsed="false">
      <c r="A2699" s="4"/>
      <c r="B2699" s="8"/>
      <c r="C2699" s="8"/>
      <c r="D2699" s="8"/>
      <c r="E2699" s="8"/>
      <c r="F2699" s="8"/>
      <c r="G2699" s="8"/>
      <c r="H2699" s="8"/>
      <c r="I2699" s="8"/>
      <c r="J2699" s="8"/>
      <c r="K2699" s="8"/>
      <c r="L2699" s="8"/>
      <c r="M2699" s="8"/>
      <c r="N2699" s="8"/>
      <c r="O2699" s="8"/>
      <c r="P2699" s="4"/>
      <c r="Q2699" s="8"/>
      <c r="R2699" s="4"/>
      <c r="S2699" s="4"/>
    </row>
    <row r="2700" customFormat="false" ht="15" hidden="false" customHeight="false" outlineLevel="0" collapsed="false">
      <c r="A2700" s="4"/>
      <c r="B2700" s="8"/>
      <c r="C2700" s="8"/>
      <c r="D2700" s="8"/>
      <c r="E2700" s="8"/>
      <c r="F2700" s="8"/>
      <c r="G2700" s="8"/>
      <c r="H2700" s="8"/>
      <c r="I2700" s="8"/>
      <c r="J2700" s="8"/>
      <c r="K2700" s="8"/>
      <c r="L2700" s="8"/>
      <c r="M2700" s="8"/>
      <c r="N2700" s="8"/>
      <c r="O2700" s="8"/>
      <c r="P2700" s="4"/>
      <c r="Q2700" s="8"/>
      <c r="R2700" s="4"/>
      <c r="S2700" s="4"/>
    </row>
    <row r="2701" customFormat="false" ht="15" hidden="false" customHeight="false" outlineLevel="0" collapsed="false">
      <c r="A2701" s="4"/>
      <c r="B2701" s="8"/>
      <c r="C2701" s="8"/>
      <c r="D2701" s="8"/>
      <c r="E2701" s="8"/>
      <c r="F2701" s="8"/>
      <c r="G2701" s="8"/>
      <c r="H2701" s="8"/>
      <c r="I2701" s="8"/>
      <c r="J2701" s="8"/>
      <c r="K2701" s="8"/>
      <c r="L2701" s="8"/>
      <c r="M2701" s="8"/>
      <c r="N2701" s="8"/>
      <c r="O2701" s="8"/>
      <c r="P2701" s="4"/>
      <c r="Q2701" s="8"/>
      <c r="R2701" s="4"/>
      <c r="S2701" s="4"/>
    </row>
    <row r="2702" customFormat="false" ht="15" hidden="false" customHeight="false" outlineLevel="0" collapsed="false">
      <c r="A2702" s="4"/>
      <c r="B2702" s="8"/>
      <c r="C2702" s="8"/>
      <c r="D2702" s="8"/>
      <c r="E2702" s="8"/>
      <c r="F2702" s="8"/>
      <c r="G2702" s="8"/>
      <c r="H2702" s="8"/>
      <c r="I2702" s="8"/>
      <c r="J2702" s="8"/>
      <c r="K2702" s="8"/>
      <c r="L2702" s="8"/>
      <c r="M2702" s="8"/>
      <c r="N2702" s="8"/>
      <c r="O2702" s="8"/>
      <c r="P2702" s="4"/>
      <c r="Q2702" s="8"/>
      <c r="R2702" s="4"/>
      <c r="S2702" s="4"/>
    </row>
    <row r="2703" customFormat="false" ht="15" hidden="false" customHeight="false" outlineLevel="0" collapsed="false">
      <c r="A2703" s="4"/>
      <c r="B2703" s="8"/>
      <c r="C2703" s="8"/>
      <c r="D2703" s="8"/>
      <c r="E2703" s="8"/>
      <c r="F2703" s="8"/>
      <c r="G2703" s="8"/>
      <c r="H2703" s="8"/>
      <c r="I2703" s="8"/>
      <c r="J2703" s="8"/>
      <c r="K2703" s="8"/>
      <c r="L2703" s="8"/>
      <c r="M2703" s="8"/>
      <c r="N2703" s="8"/>
      <c r="O2703" s="8"/>
      <c r="P2703" s="4"/>
      <c r="Q2703" s="8"/>
      <c r="R2703" s="4"/>
      <c r="S2703" s="4"/>
    </row>
    <row r="2704" customFormat="false" ht="15" hidden="false" customHeight="false" outlineLevel="0" collapsed="false">
      <c r="A2704" s="4"/>
      <c r="B2704" s="8"/>
      <c r="C2704" s="8"/>
      <c r="D2704" s="8"/>
      <c r="E2704" s="8"/>
      <c r="F2704" s="8"/>
      <c r="G2704" s="8"/>
      <c r="H2704" s="8"/>
      <c r="I2704" s="8"/>
      <c r="J2704" s="8"/>
      <c r="K2704" s="8"/>
      <c r="L2704" s="8"/>
      <c r="M2704" s="8"/>
      <c r="N2704" s="8"/>
      <c r="O2704" s="8"/>
      <c r="P2704" s="4"/>
      <c r="Q2704" s="8"/>
      <c r="R2704" s="4"/>
      <c r="S2704" s="4"/>
    </row>
    <row r="2705" customFormat="false" ht="15" hidden="false" customHeight="false" outlineLevel="0" collapsed="false">
      <c r="A2705" s="4"/>
      <c r="B2705" s="8"/>
      <c r="C2705" s="8"/>
      <c r="D2705" s="8"/>
      <c r="E2705" s="8"/>
      <c r="F2705" s="8"/>
      <c r="G2705" s="8"/>
      <c r="H2705" s="8"/>
      <c r="I2705" s="8"/>
      <c r="J2705" s="8"/>
      <c r="K2705" s="8"/>
      <c r="L2705" s="8"/>
      <c r="M2705" s="8"/>
      <c r="N2705" s="8"/>
      <c r="O2705" s="8"/>
      <c r="P2705" s="4"/>
      <c r="Q2705" s="8"/>
      <c r="R2705" s="4"/>
      <c r="S2705" s="4"/>
    </row>
    <row r="2706" customFormat="false" ht="15" hidden="false" customHeight="false" outlineLevel="0" collapsed="false">
      <c r="A2706" s="4"/>
      <c r="B2706" s="8"/>
      <c r="C2706" s="8"/>
      <c r="D2706" s="8"/>
      <c r="E2706" s="8"/>
      <c r="F2706" s="8"/>
      <c r="G2706" s="8"/>
      <c r="H2706" s="8"/>
      <c r="I2706" s="8"/>
      <c r="J2706" s="8"/>
      <c r="K2706" s="8"/>
      <c r="L2706" s="8"/>
      <c r="M2706" s="8"/>
      <c r="N2706" s="8"/>
      <c r="O2706" s="8"/>
      <c r="P2706" s="4"/>
      <c r="Q2706" s="8"/>
      <c r="R2706" s="4"/>
      <c r="S2706" s="4"/>
    </row>
    <row r="2707" customFormat="false" ht="15" hidden="false" customHeight="false" outlineLevel="0" collapsed="false">
      <c r="A2707" s="4"/>
      <c r="B2707" s="8"/>
      <c r="C2707" s="8"/>
      <c r="D2707" s="8"/>
      <c r="E2707" s="8"/>
      <c r="F2707" s="8"/>
      <c r="G2707" s="8"/>
      <c r="H2707" s="8"/>
      <c r="I2707" s="8"/>
      <c r="J2707" s="8"/>
      <c r="K2707" s="8"/>
      <c r="L2707" s="8"/>
      <c r="M2707" s="8"/>
      <c r="N2707" s="8"/>
      <c r="O2707" s="8"/>
      <c r="P2707" s="4"/>
      <c r="Q2707" s="8"/>
      <c r="R2707" s="4"/>
      <c r="S2707" s="4"/>
    </row>
    <row r="2708" customFormat="false" ht="15" hidden="false" customHeight="false" outlineLevel="0" collapsed="false">
      <c r="A2708" s="4"/>
      <c r="B2708" s="8"/>
      <c r="C2708" s="8"/>
      <c r="D2708" s="8"/>
      <c r="E2708" s="8"/>
      <c r="F2708" s="8"/>
      <c r="G2708" s="8"/>
      <c r="H2708" s="8"/>
      <c r="I2708" s="8"/>
      <c r="J2708" s="8"/>
      <c r="K2708" s="8"/>
      <c r="L2708" s="8"/>
      <c r="M2708" s="8"/>
      <c r="N2708" s="8"/>
      <c r="O2708" s="8"/>
      <c r="P2708" s="4"/>
      <c r="Q2708" s="8"/>
      <c r="R2708" s="4"/>
      <c r="S2708" s="4"/>
    </row>
    <row r="2709" customFormat="false" ht="15" hidden="false" customHeight="false" outlineLevel="0" collapsed="false">
      <c r="A2709" s="4"/>
      <c r="B2709" s="8"/>
      <c r="C2709" s="8"/>
      <c r="D2709" s="8"/>
      <c r="E2709" s="8"/>
      <c r="F2709" s="8"/>
      <c r="G2709" s="8"/>
      <c r="H2709" s="8"/>
      <c r="I2709" s="8"/>
      <c r="J2709" s="8"/>
      <c r="K2709" s="8"/>
      <c r="L2709" s="8"/>
      <c r="M2709" s="8"/>
      <c r="N2709" s="8"/>
      <c r="O2709" s="8"/>
      <c r="P2709" s="4"/>
      <c r="Q2709" s="8"/>
      <c r="R2709" s="4"/>
      <c r="S2709" s="4"/>
    </row>
    <row r="2710" customFormat="false" ht="15" hidden="false" customHeight="false" outlineLevel="0" collapsed="false">
      <c r="A2710" s="4"/>
      <c r="B2710" s="8"/>
      <c r="C2710" s="8"/>
      <c r="D2710" s="8"/>
      <c r="E2710" s="8"/>
      <c r="F2710" s="8"/>
      <c r="G2710" s="8"/>
      <c r="H2710" s="8"/>
      <c r="I2710" s="8"/>
      <c r="J2710" s="8"/>
      <c r="K2710" s="8"/>
      <c r="L2710" s="8"/>
      <c r="M2710" s="8"/>
      <c r="N2710" s="8"/>
      <c r="O2710" s="8"/>
      <c r="P2710" s="4"/>
      <c r="Q2710" s="8"/>
      <c r="R2710" s="4"/>
      <c r="S2710" s="4"/>
    </row>
    <row r="2711" customFormat="false" ht="15" hidden="false" customHeight="false" outlineLevel="0" collapsed="false">
      <c r="A2711" s="4"/>
      <c r="B2711" s="8"/>
      <c r="C2711" s="8"/>
      <c r="D2711" s="8"/>
      <c r="E2711" s="8"/>
      <c r="F2711" s="8"/>
      <c r="G2711" s="8"/>
      <c r="H2711" s="8"/>
      <c r="I2711" s="8"/>
      <c r="J2711" s="8"/>
      <c r="K2711" s="8"/>
      <c r="L2711" s="8"/>
      <c r="M2711" s="8"/>
      <c r="N2711" s="8"/>
      <c r="O2711" s="8"/>
      <c r="P2711" s="4"/>
      <c r="Q2711" s="8"/>
      <c r="R2711" s="4"/>
      <c r="S2711" s="4"/>
    </row>
    <row r="2712" customFormat="false" ht="15" hidden="false" customHeight="false" outlineLevel="0" collapsed="false">
      <c r="A2712" s="4"/>
      <c r="B2712" s="8"/>
      <c r="C2712" s="8"/>
      <c r="D2712" s="8"/>
      <c r="E2712" s="8"/>
      <c r="F2712" s="8"/>
      <c r="G2712" s="8"/>
      <c r="H2712" s="8"/>
      <c r="I2712" s="8"/>
      <c r="J2712" s="8"/>
      <c r="K2712" s="8"/>
      <c r="L2712" s="8"/>
      <c r="M2712" s="8"/>
      <c r="N2712" s="8"/>
      <c r="O2712" s="8"/>
      <c r="P2712" s="4"/>
      <c r="Q2712" s="8"/>
      <c r="R2712" s="4"/>
      <c r="S2712" s="4"/>
    </row>
    <row r="2713" customFormat="false" ht="15" hidden="false" customHeight="false" outlineLevel="0" collapsed="false">
      <c r="A2713" s="4"/>
      <c r="B2713" s="8"/>
      <c r="C2713" s="8"/>
      <c r="D2713" s="8"/>
      <c r="E2713" s="8"/>
      <c r="F2713" s="8"/>
      <c r="G2713" s="8"/>
      <c r="H2713" s="8"/>
      <c r="I2713" s="8"/>
      <c r="J2713" s="8"/>
      <c r="K2713" s="8"/>
      <c r="L2713" s="8"/>
      <c r="M2713" s="8"/>
      <c r="N2713" s="8"/>
      <c r="O2713" s="8"/>
      <c r="P2713" s="4"/>
      <c r="Q2713" s="8"/>
      <c r="R2713" s="4"/>
      <c r="S2713" s="4"/>
    </row>
    <row r="2714" customFormat="false" ht="15" hidden="false" customHeight="false" outlineLevel="0" collapsed="false">
      <c r="A2714" s="4"/>
      <c r="B2714" s="8"/>
      <c r="C2714" s="8"/>
      <c r="D2714" s="8"/>
      <c r="E2714" s="8"/>
      <c r="F2714" s="8"/>
      <c r="G2714" s="8"/>
      <c r="H2714" s="8"/>
      <c r="I2714" s="8"/>
      <c r="J2714" s="8"/>
      <c r="K2714" s="8"/>
      <c r="L2714" s="8"/>
      <c r="M2714" s="8"/>
      <c r="N2714" s="8"/>
      <c r="O2714" s="8"/>
      <c r="P2714" s="4"/>
      <c r="Q2714" s="8"/>
      <c r="R2714" s="4"/>
      <c r="S2714" s="4"/>
    </row>
    <row r="2715" customFormat="false" ht="15" hidden="false" customHeight="false" outlineLevel="0" collapsed="false">
      <c r="A2715" s="4"/>
      <c r="B2715" s="8"/>
      <c r="C2715" s="8"/>
      <c r="D2715" s="8"/>
      <c r="E2715" s="8"/>
      <c r="F2715" s="8"/>
      <c r="G2715" s="8"/>
      <c r="H2715" s="8"/>
      <c r="I2715" s="8"/>
      <c r="J2715" s="8"/>
      <c r="K2715" s="8"/>
      <c r="L2715" s="8"/>
      <c r="M2715" s="8"/>
      <c r="N2715" s="8"/>
      <c r="O2715" s="8"/>
      <c r="P2715" s="4"/>
      <c r="Q2715" s="8"/>
      <c r="R2715" s="4"/>
      <c r="S2715" s="4"/>
    </row>
    <row r="2716" customFormat="false" ht="15" hidden="false" customHeight="false" outlineLevel="0" collapsed="false">
      <c r="A2716" s="4"/>
      <c r="B2716" s="8"/>
      <c r="C2716" s="8"/>
      <c r="D2716" s="8"/>
      <c r="E2716" s="8"/>
      <c r="F2716" s="8"/>
      <c r="G2716" s="8"/>
      <c r="H2716" s="8"/>
      <c r="I2716" s="8"/>
      <c r="J2716" s="8"/>
      <c r="K2716" s="8"/>
      <c r="L2716" s="8"/>
      <c r="M2716" s="8"/>
      <c r="N2716" s="8"/>
      <c r="O2716" s="8"/>
      <c r="P2716" s="4"/>
      <c r="Q2716" s="8"/>
      <c r="R2716" s="4"/>
      <c r="S2716" s="4"/>
    </row>
    <row r="2717" customFormat="false" ht="15" hidden="false" customHeight="false" outlineLevel="0" collapsed="false">
      <c r="A2717" s="4"/>
      <c r="B2717" s="8"/>
      <c r="C2717" s="8"/>
      <c r="D2717" s="8"/>
      <c r="E2717" s="8"/>
      <c r="F2717" s="8"/>
      <c r="G2717" s="8"/>
      <c r="H2717" s="8"/>
      <c r="I2717" s="8"/>
      <c r="J2717" s="8"/>
      <c r="K2717" s="8"/>
      <c r="L2717" s="8"/>
      <c r="M2717" s="8"/>
      <c r="N2717" s="8"/>
      <c r="O2717" s="8"/>
      <c r="P2717" s="4"/>
      <c r="Q2717" s="8"/>
      <c r="R2717" s="4"/>
      <c r="S2717" s="4"/>
    </row>
    <row r="2718" customFormat="false" ht="15" hidden="false" customHeight="false" outlineLevel="0" collapsed="false">
      <c r="A2718" s="4"/>
      <c r="B2718" s="8"/>
      <c r="C2718" s="8"/>
      <c r="D2718" s="8"/>
      <c r="E2718" s="8"/>
      <c r="F2718" s="8"/>
      <c r="G2718" s="8"/>
      <c r="H2718" s="8"/>
      <c r="I2718" s="8"/>
      <c r="J2718" s="8"/>
      <c r="K2718" s="8"/>
      <c r="L2718" s="8"/>
      <c r="M2718" s="8"/>
      <c r="N2718" s="8"/>
      <c r="O2718" s="8"/>
      <c r="P2718" s="4"/>
      <c r="Q2718" s="8"/>
      <c r="R2718" s="4"/>
      <c r="S2718" s="4"/>
    </row>
    <row r="2719" customFormat="false" ht="15" hidden="false" customHeight="false" outlineLevel="0" collapsed="false">
      <c r="A2719" s="4"/>
      <c r="B2719" s="8"/>
      <c r="C2719" s="8"/>
      <c r="D2719" s="8"/>
      <c r="E2719" s="8"/>
      <c r="F2719" s="8"/>
      <c r="G2719" s="8"/>
      <c r="H2719" s="8"/>
      <c r="I2719" s="8"/>
      <c r="J2719" s="8"/>
      <c r="K2719" s="8"/>
      <c r="L2719" s="8"/>
      <c r="M2719" s="8"/>
      <c r="N2719" s="8"/>
      <c r="O2719" s="8"/>
      <c r="P2719" s="4"/>
      <c r="Q2719" s="8"/>
      <c r="R2719" s="4"/>
      <c r="S2719" s="4"/>
    </row>
    <row r="2720" customFormat="false" ht="15" hidden="false" customHeight="false" outlineLevel="0" collapsed="false">
      <c r="A2720" s="4"/>
      <c r="B2720" s="8"/>
      <c r="C2720" s="8"/>
      <c r="D2720" s="8"/>
      <c r="E2720" s="8"/>
      <c r="F2720" s="8"/>
      <c r="G2720" s="8"/>
      <c r="H2720" s="8"/>
      <c r="I2720" s="8"/>
      <c r="J2720" s="8"/>
      <c r="K2720" s="8"/>
      <c r="L2720" s="8"/>
      <c r="M2720" s="8"/>
      <c r="N2720" s="8"/>
      <c r="O2720" s="8"/>
      <c r="P2720" s="4"/>
      <c r="Q2720" s="8"/>
      <c r="R2720" s="4"/>
      <c r="S2720" s="4"/>
    </row>
    <row r="2721" customFormat="false" ht="15" hidden="false" customHeight="false" outlineLevel="0" collapsed="false">
      <c r="A2721" s="4"/>
      <c r="B2721" s="8"/>
      <c r="C2721" s="8"/>
      <c r="D2721" s="8"/>
      <c r="E2721" s="8"/>
      <c r="F2721" s="8"/>
      <c r="G2721" s="8"/>
      <c r="H2721" s="8"/>
      <c r="I2721" s="8"/>
      <c r="J2721" s="8"/>
      <c r="K2721" s="8"/>
      <c r="L2721" s="8"/>
      <c r="M2721" s="8"/>
      <c r="N2721" s="8"/>
      <c r="O2721" s="8"/>
      <c r="P2721" s="4"/>
      <c r="Q2721" s="8"/>
      <c r="R2721" s="4"/>
      <c r="S2721" s="4"/>
    </row>
    <row r="2722" customFormat="false" ht="15" hidden="false" customHeight="false" outlineLevel="0" collapsed="false">
      <c r="A2722" s="4"/>
      <c r="B2722" s="8"/>
      <c r="C2722" s="8"/>
      <c r="D2722" s="8"/>
      <c r="E2722" s="8"/>
      <c r="F2722" s="8"/>
      <c r="G2722" s="8"/>
      <c r="H2722" s="8"/>
      <c r="I2722" s="8"/>
      <c r="J2722" s="8"/>
      <c r="K2722" s="8"/>
      <c r="L2722" s="8"/>
      <c r="M2722" s="8"/>
      <c r="N2722" s="8"/>
      <c r="O2722" s="8"/>
      <c r="P2722" s="4"/>
      <c r="Q2722" s="8"/>
      <c r="R2722" s="4"/>
      <c r="S2722" s="4"/>
    </row>
    <row r="2723" customFormat="false" ht="15" hidden="false" customHeight="false" outlineLevel="0" collapsed="false">
      <c r="A2723" s="4"/>
      <c r="B2723" s="8"/>
      <c r="C2723" s="8"/>
      <c r="D2723" s="8"/>
      <c r="E2723" s="8"/>
      <c r="F2723" s="8"/>
      <c r="G2723" s="8"/>
      <c r="H2723" s="8"/>
      <c r="I2723" s="8"/>
      <c r="J2723" s="8"/>
      <c r="K2723" s="8"/>
      <c r="L2723" s="8"/>
      <c r="M2723" s="8"/>
      <c r="N2723" s="8"/>
      <c r="O2723" s="8"/>
      <c r="P2723" s="4"/>
      <c r="Q2723" s="8"/>
      <c r="R2723" s="4"/>
      <c r="S2723" s="4"/>
    </row>
    <row r="2724" customFormat="false" ht="15" hidden="false" customHeight="false" outlineLevel="0" collapsed="false">
      <c r="A2724" s="4"/>
      <c r="B2724" s="8"/>
      <c r="C2724" s="8"/>
      <c r="D2724" s="8"/>
      <c r="E2724" s="8"/>
      <c r="F2724" s="8"/>
      <c r="G2724" s="8"/>
      <c r="H2724" s="8"/>
      <c r="I2724" s="8"/>
      <c r="J2724" s="8"/>
      <c r="K2724" s="8"/>
      <c r="L2724" s="8"/>
      <c r="M2724" s="8"/>
      <c r="N2724" s="8"/>
      <c r="O2724" s="8"/>
      <c r="P2724" s="4"/>
      <c r="Q2724" s="8"/>
      <c r="R2724" s="4"/>
      <c r="S2724" s="4"/>
    </row>
    <row r="2725" customFormat="false" ht="15" hidden="false" customHeight="false" outlineLevel="0" collapsed="false">
      <c r="A2725" s="4"/>
      <c r="B2725" s="8"/>
      <c r="C2725" s="8"/>
      <c r="D2725" s="8"/>
      <c r="E2725" s="8"/>
      <c r="F2725" s="8"/>
      <c r="G2725" s="8"/>
      <c r="H2725" s="8"/>
      <c r="I2725" s="8"/>
      <c r="J2725" s="8"/>
      <c r="K2725" s="8"/>
      <c r="L2725" s="8"/>
      <c r="M2725" s="8"/>
      <c r="N2725" s="8"/>
      <c r="O2725" s="8"/>
      <c r="P2725" s="4"/>
      <c r="Q2725" s="8"/>
      <c r="R2725" s="4"/>
      <c r="S2725" s="4"/>
    </row>
    <row r="2726" customFormat="false" ht="15" hidden="false" customHeight="false" outlineLevel="0" collapsed="false">
      <c r="A2726" s="4"/>
      <c r="B2726" s="8"/>
      <c r="C2726" s="8"/>
      <c r="D2726" s="8"/>
      <c r="E2726" s="8"/>
      <c r="F2726" s="8"/>
      <c r="G2726" s="8"/>
      <c r="H2726" s="8"/>
      <c r="I2726" s="8"/>
      <c r="J2726" s="8"/>
      <c r="K2726" s="8"/>
      <c r="L2726" s="8"/>
      <c r="M2726" s="8"/>
      <c r="N2726" s="8"/>
      <c r="O2726" s="8"/>
      <c r="P2726" s="4"/>
      <c r="Q2726" s="8"/>
      <c r="R2726" s="4"/>
      <c r="S2726" s="4"/>
    </row>
    <row r="2727" customFormat="false" ht="15" hidden="false" customHeight="false" outlineLevel="0" collapsed="false">
      <c r="A2727" s="4"/>
      <c r="B2727" s="8"/>
      <c r="C2727" s="8"/>
      <c r="D2727" s="8"/>
      <c r="E2727" s="8"/>
      <c r="F2727" s="8"/>
      <c r="G2727" s="8"/>
      <c r="H2727" s="8"/>
      <c r="I2727" s="8"/>
      <c r="J2727" s="8"/>
      <c r="K2727" s="8"/>
      <c r="L2727" s="8"/>
      <c r="M2727" s="8"/>
      <c r="N2727" s="8"/>
      <c r="O2727" s="8"/>
      <c r="P2727" s="4"/>
      <c r="Q2727" s="8"/>
      <c r="R2727" s="4"/>
      <c r="S2727" s="4"/>
    </row>
    <row r="2728" customFormat="false" ht="15" hidden="false" customHeight="false" outlineLevel="0" collapsed="false">
      <c r="A2728" s="4"/>
      <c r="B2728" s="8"/>
      <c r="C2728" s="8"/>
      <c r="D2728" s="8"/>
      <c r="E2728" s="8"/>
      <c r="F2728" s="8"/>
      <c r="G2728" s="8"/>
      <c r="H2728" s="8"/>
      <c r="I2728" s="8"/>
      <c r="J2728" s="8"/>
      <c r="K2728" s="8"/>
      <c r="L2728" s="8"/>
      <c r="M2728" s="8"/>
      <c r="N2728" s="8"/>
      <c r="O2728" s="8"/>
      <c r="P2728" s="4"/>
      <c r="Q2728" s="8"/>
      <c r="R2728" s="4"/>
      <c r="S2728" s="4"/>
    </row>
    <row r="2729" customFormat="false" ht="15" hidden="false" customHeight="false" outlineLevel="0" collapsed="false">
      <c r="A2729" s="4"/>
      <c r="B2729" s="8"/>
      <c r="C2729" s="8"/>
      <c r="D2729" s="8"/>
      <c r="E2729" s="8"/>
      <c r="F2729" s="8"/>
      <c r="G2729" s="8"/>
      <c r="H2729" s="8"/>
      <c r="I2729" s="8"/>
      <c r="J2729" s="8"/>
      <c r="K2729" s="8"/>
      <c r="L2729" s="8"/>
      <c r="M2729" s="8"/>
      <c r="N2729" s="8"/>
      <c r="O2729" s="8"/>
      <c r="P2729" s="4"/>
      <c r="Q2729" s="8"/>
      <c r="R2729" s="4"/>
      <c r="S2729" s="4"/>
    </row>
    <row r="2730" customFormat="false" ht="15" hidden="false" customHeight="false" outlineLevel="0" collapsed="false">
      <c r="A2730" s="4"/>
      <c r="B2730" s="8"/>
      <c r="C2730" s="8"/>
      <c r="D2730" s="8"/>
      <c r="E2730" s="8"/>
      <c r="F2730" s="8"/>
      <c r="G2730" s="8"/>
      <c r="H2730" s="8"/>
      <c r="I2730" s="8"/>
      <c r="J2730" s="8"/>
      <c r="K2730" s="8"/>
      <c r="L2730" s="8"/>
      <c r="M2730" s="8"/>
      <c r="N2730" s="8"/>
      <c r="O2730" s="8"/>
      <c r="P2730" s="4"/>
      <c r="Q2730" s="8"/>
      <c r="R2730" s="4"/>
      <c r="S2730" s="4"/>
    </row>
    <row r="2731" customFormat="false" ht="15" hidden="false" customHeight="false" outlineLevel="0" collapsed="false">
      <c r="A2731" s="4"/>
      <c r="B2731" s="8"/>
      <c r="C2731" s="8"/>
      <c r="D2731" s="8"/>
      <c r="E2731" s="8"/>
      <c r="F2731" s="8"/>
      <c r="G2731" s="8"/>
      <c r="H2731" s="8"/>
      <c r="I2731" s="8"/>
      <c r="J2731" s="8"/>
      <c r="K2731" s="8"/>
      <c r="L2731" s="8"/>
      <c r="M2731" s="8"/>
      <c r="N2731" s="8"/>
      <c r="O2731" s="8"/>
      <c r="P2731" s="4"/>
      <c r="Q2731" s="8"/>
      <c r="R2731" s="4"/>
      <c r="S2731" s="4"/>
    </row>
    <row r="2732" customFormat="false" ht="15" hidden="false" customHeight="false" outlineLevel="0" collapsed="false">
      <c r="A2732" s="4"/>
      <c r="B2732" s="8"/>
      <c r="C2732" s="8"/>
      <c r="D2732" s="8"/>
      <c r="E2732" s="8"/>
      <c r="F2732" s="8"/>
      <c r="G2732" s="8"/>
      <c r="H2732" s="8"/>
      <c r="I2732" s="8"/>
      <c r="J2732" s="8"/>
      <c r="K2732" s="8"/>
      <c r="L2732" s="8"/>
      <c r="M2732" s="8"/>
      <c r="N2732" s="8"/>
      <c r="O2732" s="8"/>
      <c r="P2732" s="4"/>
      <c r="Q2732" s="8"/>
      <c r="R2732" s="4"/>
      <c r="S2732" s="4"/>
    </row>
    <row r="2733" customFormat="false" ht="15" hidden="false" customHeight="false" outlineLevel="0" collapsed="false">
      <c r="A2733" s="4"/>
      <c r="B2733" s="8"/>
      <c r="C2733" s="8"/>
      <c r="D2733" s="8"/>
      <c r="E2733" s="8"/>
      <c r="F2733" s="8"/>
      <c r="G2733" s="8"/>
      <c r="H2733" s="8"/>
      <c r="I2733" s="8"/>
      <c r="J2733" s="8"/>
      <c r="K2733" s="8"/>
      <c r="L2733" s="8"/>
      <c r="M2733" s="8"/>
      <c r="N2733" s="8"/>
      <c r="O2733" s="8"/>
      <c r="P2733" s="4"/>
      <c r="Q2733" s="8"/>
      <c r="R2733" s="4"/>
      <c r="S2733" s="4"/>
    </row>
    <row r="2734" customFormat="false" ht="15" hidden="false" customHeight="false" outlineLevel="0" collapsed="false">
      <c r="A2734" s="4"/>
      <c r="B2734" s="8"/>
      <c r="C2734" s="8"/>
      <c r="D2734" s="8"/>
      <c r="E2734" s="8"/>
      <c r="F2734" s="8"/>
      <c r="G2734" s="8"/>
      <c r="H2734" s="8"/>
      <c r="I2734" s="8"/>
      <c r="J2734" s="8"/>
      <c r="K2734" s="8"/>
      <c r="L2734" s="8"/>
      <c r="M2734" s="8"/>
      <c r="N2734" s="8"/>
      <c r="O2734" s="8"/>
      <c r="P2734" s="4"/>
      <c r="Q2734" s="8"/>
      <c r="R2734" s="4"/>
      <c r="S2734" s="4"/>
    </row>
    <row r="2735" customFormat="false" ht="15" hidden="false" customHeight="false" outlineLevel="0" collapsed="false">
      <c r="A2735" s="4"/>
      <c r="B2735" s="8"/>
      <c r="C2735" s="8"/>
      <c r="D2735" s="8"/>
      <c r="E2735" s="8"/>
      <c r="F2735" s="8"/>
      <c r="G2735" s="8"/>
      <c r="H2735" s="8"/>
      <c r="I2735" s="8"/>
      <c r="J2735" s="8"/>
      <c r="K2735" s="8"/>
      <c r="L2735" s="8"/>
      <c r="M2735" s="8"/>
      <c r="N2735" s="8"/>
      <c r="O2735" s="8"/>
      <c r="P2735" s="4"/>
      <c r="Q2735" s="8"/>
      <c r="R2735" s="4"/>
      <c r="S2735" s="4"/>
    </row>
    <row r="2736" customFormat="false" ht="15" hidden="false" customHeight="false" outlineLevel="0" collapsed="false">
      <c r="A2736" s="4"/>
      <c r="B2736" s="8"/>
      <c r="C2736" s="8"/>
      <c r="D2736" s="8"/>
      <c r="E2736" s="8"/>
      <c r="F2736" s="8"/>
      <c r="G2736" s="8"/>
      <c r="H2736" s="8"/>
      <c r="I2736" s="8"/>
      <c r="J2736" s="8"/>
      <c r="K2736" s="8"/>
      <c r="L2736" s="8"/>
      <c r="M2736" s="8"/>
      <c r="N2736" s="8"/>
      <c r="O2736" s="8"/>
      <c r="P2736" s="4"/>
      <c r="Q2736" s="8"/>
      <c r="R2736" s="4"/>
      <c r="S2736" s="4"/>
    </row>
    <row r="2737" customFormat="false" ht="15" hidden="false" customHeight="false" outlineLevel="0" collapsed="false">
      <c r="A2737" s="4"/>
      <c r="B2737" s="8"/>
      <c r="C2737" s="8"/>
      <c r="D2737" s="8"/>
      <c r="E2737" s="8"/>
      <c r="F2737" s="8"/>
      <c r="G2737" s="8"/>
      <c r="H2737" s="8"/>
      <c r="I2737" s="8"/>
      <c r="J2737" s="8"/>
      <c r="K2737" s="8"/>
      <c r="L2737" s="8"/>
      <c r="M2737" s="8"/>
      <c r="N2737" s="8"/>
      <c r="O2737" s="8"/>
      <c r="P2737" s="4"/>
      <c r="Q2737" s="8"/>
      <c r="R2737" s="4"/>
      <c r="S2737" s="4"/>
    </row>
    <row r="2738" customFormat="false" ht="15" hidden="false" customHeight="false" outlineLevel="0" collapsed="false">
      <c r="A2738" s="4"/>
      <c r="B2738" s="8"/>
      <c r="C2738" s="8"/>
      <c r="D2738" s="8"/>
      <c r="E2738" s="8"/>
      <c r="F2738" s="8"/>
      <c r="G2738" s="8"/>
      <c r="H2738" s="8"/>
      <c r="I2738" s="8"/>
      <c r="J2738" s="8"/>
      <c r="K2738" s="8"/>
      <c r="L2738" s="8"/>
      <c r="M2738" s="8"/>
      <c r="N2738" s="8"/>
      <c r="O2738" s="8"/>
      <c r="P2738" s="4"/>
      <c r="Q2738" s="8"/>
      <c r="R2738" s="4"/>
      <c r="S2738" s="4"/>
    </row>
    <row r="2739" customFormat="false" ht="15" hidden="false" customHeight="false" outlineLevel="0" collapsed="false">
      <c r="A2739" s="4"/>
      <c r="B2739" s="8"/>
      <c r="C2739" s="8"/>
      <c r="D2739" s="8"/>
      <c r="E2739" s="8"/>
      <c r="F2739" s="8"/>
      <c r="G2739" s="8"/>
      <c r="H2739" s="8"/>
      <c r="I2739" s="8"/>
      <c r="J2739" s="8"/>
      <c r="K2739" s="8"/>
      <c r="L2739" s="8"/>
      <c r="M2739" s="8"/>
      <c r="N2739" s="8"/>
      <c r="O2739" s="8"/>
      <c r="P2739" s="4"/>
      <c r="Q2739" s="8"/>
      <c r="R2739" s="4"/>
      <c r="S2739" s="4"/>
    </row>
    <row r="2740" customFormat="false" ht="15" hidden="false" customHeight="false" outlineLevel="0" collapsed="false">
      <c r="A2740" s="4"/>
      <c r="B2740" s="8"/>
      <c r="C2740" s="8"/>
      <c r="D2740" s="8"/>
      <c r="E2740" s="8"/>
      <c r="F2740" s="8"/>
      <c r="G2740" s="8"/>
      <c r="H2740" s="8"/>
      <c r="I2740" s="8"/>
      <c r="J2740" s="8"/>
      <c r="K2740" s="8"/>
      <c r="L2740" s="8"/>
      <c r="M2740" s="8"/>
      <c r="N2740" s="8"/>
      <c r="O2740" s="8"/>
      <c r="P2740" s="4"/>
      <c r="Q2740" s="8"/>
      <c r="R2740" s="4"/>
      <c r="S2740" s="4"/>
    </row>
    <row r="2741" customFormat="false" ht="15" hidden="false" customHeight="false" outlineLevel="0" collapsed="false">
      <c r="A2741" s="4"/>
      <c r="B2741" s="8"/>
      <c r="C2741" s="8"/>
      <c r="D2741" s="8"/>
      <c r="E2741" s="8"/>
      <c r="F2741" s="8"/>
      <c r="G2741" s="8"/>
      <c r="H2741" s="8"/>
      <c r="I2741" s="8"/>
      <c r="J2741" s="8"/>
      <c r="K2741" s="8"/>
      <c r="L2741" s="8"/>
      <c r="M2741" s="8"/>
      <c r="N2741" s="8"/>
      <c r="O2741" s="8"/>
      <c r="P2741" s="4"/>
      <c r="Q2741" s="8"/>
      <c r="R2741" s="4"/>
      <c r="S2741" s="4"/>
    </row>
    <row r="2742" customFormat="false" ht="15" hidden="false" customHeight="false" outlineLevel="0" collapsed="false">
      <c r="A2742" s="4"/>
      <c r="B2742" s="8"/>
      <c r="C2742" s="8"/>
      <c r="D2742" s="8"/>
      <c r="E2742" s="8"/>
      <c r="F2742" s="8"/>
      <c r="G2742" s="8"/>
      <c r="H2742" s="8"/>
      <c r="I2742" s="8"/>
      <c r="J2742" s="8"/>
      <c r="K2742" s="8"/>
      <c r="L2742" s="8"/>
      <c r="M2742" s="8"/>
      <c r="N2742" s="8"/>
      <c r="O2742" s="8"/>
      <c r="P2742" s="4"/>
      <c r="Q2742" s="8"/>
      <c r="R2742" s="4"/>
      <c r="S2742" s="4"/>
    </row>
    <row r="2743" customFormat="false" ht="15" hidden="false" customHeight="false" outlineLevel="0" collapsed="false">
      <c r="A2743" s="4"/>
      <c r="B2743" s="8"/>
      <c r="C2743" s="8"/>
      <c r="D2743" s="8"/>
      <c r="E2743" s="8"/>
      <c r="F2743" s="8"/>
      <c r="G2743" s="8"/>
      <c r="H2743" s="8"/>
      <c r="I2743" s="8"/>
      <c r="J2743" s="8"/>
      <c r="K2743" s="8"/>
      <c r="L2743" s="8"/>
      <c r="M2743" s="8"/>
      <c r="N2743" s="8"/>
      <c r="O2743" s="8"/>
      <c r="P2743" s="4"/>
      <c r="Q2743" s="8"/>
      <c r="R2743" s="4"/>
      <c r="S2743" s="4"/>
    </row>
    <row r="2744" customFormat="false" ht="15" hidden="false" customHeight="false" outlineLevel="0" collapsed="false">
      <c r="A2744" s="4"/>
      <c r="B2744" s="8"/>
      <c r="C2744" s="8"/>
      <c r="D2744" s="8"/>
      <c r="E2744" s="8"/>
      <c r="F2744" s="8"/>
      <c r="G2744" s="8"/>
      <c r="H2744" s="8"/>
      <c r="I2744" s="8"/>
      <c r="J2744" s="8"/>
      <c r="K2744" s="8"/>
      <c r="L2744" s="8"/>
      <c r="M2744" s="8"/>
      <c r="N2744" s="8"/>
      <c r="O2744" s="8"/>
      <c r="P2744" s="4"/>
      <c r="Q2744" s="8"/>
      <c r="R2744" s="4"/>
      <c r="S2744" s="4"/>
    </row>
    <row r="2745" customFormat="false" ht="15" hidden="false" customHeight="false" outlineLevel="0" collapsed="false">
      <c r="A2745" s="4"/>
      <c r="B2745" s="8"/>
      <c r="C2745" s="8"/>
      <c r="D2745" s="8"/>
      <c r="E2745" s="8"/>
      <c r="F2745" s="8"/>
      <c r="G2745" s="8"/>
      <c r="H2745" s="8"/>
      <c r="I2745" s="8"/>
      <c r="J2745" s="8"/>
      <c r="K2745" s="8"/>
      <c r="L2745" s="8"/>
      <c r="M2745" s="8"/>
      <c r="N2745" s="8"/>
      <c r="O2745" s="8"/>
      <c r="P2745" s="4"/>
      <c r="Q2745" s="8"/>
      <c r="R2745" s="4"/>
      <c r="S2745" s="4"/>
    </row>
    <row r="2746" customFormat="false" ht="15" hidden="false" customHeight="false" outlineLevel="0" collapsed="false">
      <c r="A2746" s="4"/>
      <c r="B2746" s="8"/>
      <c r="C2746" s="8"/>
      <c r="D2746" s="8"/>
      <c r="E2746" s="8"/>
      <c r="F2746" s="8"/>
      <c r="G2746" s="8"/>
      <c r="H2746" s="8"/>
      <c r="I2746" s="8"/>
      <c r="J2746" s="8"/>
      <c r="K2746" s="8"/>
      <c r="L2746" s="8"/>
      <c r="M2746" s="8"/>
      <c r="N2746" s="8"/>
      <c r="O2746" s="8"/>
      <c r="P2746" s="4"/>
      <c r="Q2746" s="8"/>
      <c r="R2746" s="4"/>
      <c r="S2746" s="4"/>
    </row>
    <row r="2747" customFormat="false" ht="15" hidden="false" customHeight="false" outlineLevel="0" collapsed="false">
      <c r="A2747" s="4"/>
      <c r="B2747" s="8"/>
      <c r="C2747" s="8"/>
      <c r="D2747" s="8"/>
      <c r="E2747" s="8"/>
      <c r="F2747" s="8"/>
      <c r="G2747" s="8"/>
      <c r="H2747" s="8"/>
      <c r="I2747" s="8"/>
      <c r="J2747" s="8"/>
      <c r="K2747" s="8"/>
      <c r="L2747" s="8"/>
      <c r="M2747" s="8"/>
      <c r="N2747" s="8"/>
      <c r="O2747" s="8"/>
      <c r="P2747" s="4"/>
      <c r="Q2747" s="8"/>
      <c r="R2747" s="4"/>
      <c r="S2747" s="4"/>
    </row>
    <row r="2748" customFormat="false" ht="15" hidden="false" customHeight="false" outlineLevel="0" collapsed="false">
      <c r="A2748" s="4"/>
      <c r="B2748" s="8"/>
      <c r="C2748" s="8"/>
      <c r="D2748" s="8"/>
      <c r="E2748" s="8"/>
      <c r="F2748" s="8"/>
      <c r="G2748" s="8"/>
      <c r="H2748" s="8"/>
      <c r="I2748" s="8"/>
      <c r="J2748" s="8"/>
      <c r="K2748" s="8"/>
      <c r="L2748" s="8"/>
      <c r="M2748" s="8"/>
      <c r="N2748" s="8"/>
      <c r="O2748" s="8"/>
      <c r="P2748" s="4"/>
      <c r="Q2748" s="8"/>
      <c r="R2748" s="4"/>
      <c r="S2748" s="4"/>
    </row>
    <row r="2749" customFormat="false" ht="15" hidden="false" customHeight="false" outlineLevel="0" collapsed="false">
      <c r="A2749" s="4"/>
      <c r="B2749" s="8"/>
      <c r="C2749" s="8"/>
      <c r="D2749" s="8"/>
      <c r="E2749" s="8"/>
      <c r="F2749" s="8"/>
      <c r="G2749" s="8"/>
      <c r="H2749" s="8"/>
      <c r="I2749" s="8"/>
      <c r="J2749" s="8"/>
      <c r="K2749" s="8"/>
      <c r="L2749" s="8"/>
      <c r="M2749" s="8"/>
      <c r="N2749" s="8"/>
      <c r="O2749" s="8"/>
      <c r="P2749" s="4"/>
      <c r="Q2749" s="8"/>
      <c r="R2749" s="4"/>
      <c r="S2749" s="4"/>
    </row>
    <row r="2750" customFormat="false" ht="15" hidden="false" customHeight="false" outlineLevel="0" collapsed="false">
      <c r="A2750" s="4"/>
      <c r="B2750" s="8"/>
      <c r="C2750" s="8"/>
      <c r="D2750" s="8"/>
      <c r="E2750" s="8"/>
      <c r="F2750" s="8"/>
      <c r="G2750" s="8"/>
      <c r="H2750" s="8"/>
      <c r="I2750" s="8"/>
      <c r="J2750" s="8"/>
      <c r="K2750" s="8"/>
      <c r="L2750" s="8"/>
      <c r="M2750" s="8"/>
      <c r="N2750" s="8"/>
      <c r="O2750" s="8"/>
      <c r="P2750" s="4"/>
      <c r="Q2750" s="8"/>
      <c r="R2750" s="4"/>
      <c r="S2750" s="4"/>
    </row>
    <row r="2751" customFormat="false" ht="15" hidden="false" customHeight="false" outlineLevel="0" collapsed="false">
      <c r="A2751" s="4"/>
      <c r="B2751" s="8"/>
      <c r="C2751" s="8"/>
      <c r="D2751" s="8"/>
      <c r="E2751" s="8"/>
      <c r="F2751" s="8"/>
      <c r="G2751" s="8"/>
      <c r="H2751" s="8"/>
      <c r="I2751" s="8"/>
      <c r="J2751" s="8"/>
      <c r="K2751" s="8"/>
      <c r="L2751" s="8"/>
      <c r="M2751" s="8"/>
      <c r="N2751" s="8"/>
      <c r="O2751" s="8"/>
      <c r="P2751" s="4"/>
      <c r="Q2751" s="8"/>
      <c r="R2751" s="4"/>
      <c r="S2751" s="4"/>
    </row>
    <row r="2752" customFormat="false" ht="15" hidden="false" customHeight="false" outlineLevel="0" collapsed="false">
      <c r="A2752" s="4"/>
      <c r="B2752" s="8"/>
      <c r="C2752" s="8"/>
      <c r="D2752" s="8"/>
      <c r="E2752" s="8"/>
      <c r="F2752" s="8"/>
      <c r="G2752" s="8"/>
      <c r="H2752" s="8"/>
      <c r="I2752" s="8"/>
      <c r="J2752" s="8"/>
      <c r="K2752" s="8"/>
      <c r="L2752" s="8"/>
      <c r="M2752" s="8"/>
      <c r="N2752" s="8"/>
      <c r="O2752" s="8"/>
      <c r="P2752" s="4"/>
      <c r="Q2752" s="8"/>
      <c r="R2752" s="4"/>
      <c r="S2752" s="4"/>
    </row>
    <row r="2753" customFormat="false" ht="15" hidden="false" customHeight="false" outlineLevel="0" collapsed="false">
      <c r="A2753" s="4"/>
      <c r="B2753" s="8"/>
      <c r="C2753" s="8"/>
      <c r="D2753" s="8"/>
      <c r="E2753" s="8"/>
      <c r="F2753" s="8"/>
      <c r="G2753" s="8"/>
      <c r="H2753" s="8"/>
      <c r="I2753" s="8"/>
      <c r="J2753" s="8"/>
      <c r="K2753" s="8"/>
      <c r="L2753" s="8"/>
      <c r="M2753" s="8"/>
      <c r="N2753" s="8"/>
      <c r="O2753" s="8"/>
      <c r="P2753" s="4"/>
      <c r="Q2753" s="8"/>
      <c r="R2753" s="4"/>
      <c r="S2753" s="4"/>
    </row>
    <row r="2754" customFormat="false" ht="15" hidden="false" customHeight="false" outlineLevel="0" collapsed="false">
      <c r="A2754" s="4"/>
      <c r="B2754" s="8"/>
      <c r="C2754" s="8"/>
      <c r="D2754" s="8"/>
      <c r="E2754" s="8"/>
      <c r="F2754" s="8"/>
      <c r="G2754" s="8"/>
      <c r="H2754" s="8"/>
      <c r="I2754" s="8"/>
      <c r="J2754" s="8"/>
      <c r="K2754" s="8"/>
      <c r="L2754" s="8"/>
      <c r="M2754" s="8"/>
      <c r="N2754" s="8"/>
      <c r="O2754" s="8"/>
      <c r="P2754" s="4"/>
      <c r="Q2754" s="8"/>
      <c r="R2754" s="4"/>
      <c r="S2754" s="4"/>
    </row>
    <row r="2755" customFormat="false" ht="15" hidden="false" customHeight="false" outlineLevel="0" collapsed="false">
      <c r="A2755" s="4"/>
      <c r="B2755" s="8"/>
      <c r="C2755" s="8"/>
      <c r="D2755" s="8"/>
      <c r="E2755" s="8"/>
      <c r="F2755" s="8"/>
      <c r="G2755" s="8"/>
      <c r="H2755" s="8"/>
      <c r="I2755" s="8"/>
      <c r="J2755" s="8"/>
      <c r="K2755" s="8"/>
      <c r="L2755" s="8"/>
      <c r="M2755" s="8"/>
      <c r="N2755" s="8"/>
      <c r="O2755" s="8"/>
      <c r="P2755" s="4"/>
      <c r="Q2755" s="8"/>
      <c r="R2755" s="4"/>
      <c r="S2755" s="4"/>
    </row>
    <row r="2756" customFormat="false" ht="15" hidden="false" customHeight="false" outlineLevel="0" collapsed="false">
      <c r="A2756" s="4"/>
      <c r="B2756" s="8"/>
      <c r="C2756" s="8"/>
      <c r="D2756" s="8"/>
      <c r="E2756" s="8"/>
      <c r="F2756" s="8"/>
      <c r="G2756" s="8"/>
      <c r="H2756" s="8"/>
      <c r="I2756" s="8"/>
      <c r="J2756" s="8"/>
      <c r="K2756" s="8"/>
      <c r="L2756" s="8"/>
      <c r="M2756" s="8"/>
      <c r="N2756" s="8"/>
      <c r="O2756" s="8"/>
      <c r="P2756" s="4"/>
      <c r="Q2756" s="8"/>
      <c r="R2756" s="4"/>
      <c r="S2756" s="4"/>
    </row>
    <row r="2757" customFormat="false" ht="15" hidden="false" customHeight="false" outlineLevel="0" collapsed="false">
      <c r="A2757" s="4"/>
      <c r="B2757" s="8"/>
      <c r="C2757" s="8"/>
      <c r="D2757" s="8"/>
      <c r="E2757" s="8"/>
      <c r="F2757" s="8"/>
      <c r="G2757" s="8"/>
      <c r="H2757" s="8"/>
      <c r="I2757" s="8"/>
      <c r="J2757" s="8"/>
      <c r="K2757" s="8"/>
      <c r="L2757" s="8"/>
      <c r="M2757" s="8"/>
      <c r="N2757" s="8"/>
      <c r="O2757" s="8"/>
      <c r="P2757" s="4"/>
      <c r="Q2757" s="8"/>
      <c r="R2757" s="4"/>
      <c r="S2757" s="4"/>
    </row>
    <row r="2758" customFormat="false" ht="15" hidden="false" customHeight="false" outlineLevel="0" collapsed="false">
      <c r="A2758" s="4"/>
      <c r="B2758" s="8"/>
      <c r="C2758" s="8"/>
      <c r="D2758" s="8"/>
      <c r="E2758" s="8"/>
      <c r="F2758" s="8"/>
      <c r="G2758" s="8"/>
      <c r="H2758" s="8"/>
      <c r="I2758" s="8"/>
      <c r="J2758" s="8"/>
      <c r="K2758" s="8"/>
      <c r="L2758" s="8"/>
      <c r="M2758" s="8"/>
      <c r="N2758" s="8"/>
      <c r="O2758" s="8"/>
      <c r="P2758" s="4"/>
      <c r="Q2758" s="8"/>
      <c r="R2758" s="4"/>
      <c r="S2758" s="4"/>
    </row>
    <row r="2759" customFormat="false" ht="15" hidden="false" customHeight="false" outlineLevel="0" collapsed="false">
      <c r="A2759" s="4"/>
      <c r="B2759" s="8"/>
      <c r="C2759" s="8"/>
      <c r="D2759" s="8"/>
      <c r="E2759" s="8"/>
      <c r="F2759" s="8"/>
      <c r="G2759" s="8"/>
      <c r="H2759" s="8"/>
      <c r="I2759" s="8"/>
      <c r="J2759" s="8"/>
      <c r="K2759" s="8"/>
      <c r="L2759" s="8"/>
      <c r="M2759" s="8"/>
      <c r="N2759" s="8"/>
      <c r="O2759" s="8"/>
      <c r="P2759" s="4"/>
      <c r="Q2759" s="8"/>
      <c r="R2759" s="4"/>
      <c r="S2759" s="4"/>
    </row>
    <row r="2760" customFormat="false" ht="15" hidden="false" customHeight="false" outlineLevel="0" collapsed="false">
      <c r="A2760" s="4"/>
      <c r="B2760" s="8"/>
      <c r="C2760" s="8"/>
      <c r="D2760" s="8"/>
      <c r="E2760" s="8"/>
      <c r="F2760" s="8"/>
      <c r="G2760" s="8"/>
      <c r="H2760" s="8"/>
      <c r="I2760" s="8"/>
      <c r="J2760" s="8"/>
      <c r="K2760" s="8"/>
      <c r="L2760" s="8"/>
      <c r="M2760" s="8"/>
      <c r="N2760" s="8"/>
      <c r="O2760" s="8"/>
      <c r="P2760" s="4"/>
      <c r="Q2760" s="8"/>
      <c r="R2760" s="4"/>
      <c r="S2760" s="4"/>
    </row>
    <row r="2761" customFormat="false" ht="15" hidden="false" customHeight="false" outlineLevel="0" collapsed="false">
      <c r="A2761" s="4"/>
      <c r="B2761" s="8"/>
      <c r="C2761" s="8"/>
      <c r="D2761" s="8"/>
      <c r="E2761" s="8"/>
      <c r="F2761" s="8"/>
      <c r="G2761" s="8"/>
      <c r="H2761" s="8"/>
      <c r="I2761" s="8"/>
      <c r="J2761" s="8"/>
      <c r="K2761" s="8"/>
      <c r="L2761" s="8"/>
      <c r="M2761" s="8"/>
      <c r="N2761" s="8"/>
      <c r="O2761" s="8"/>
      <c r="P2761" s="4"/>
      <c r="Q2761" s="8"/>
      <c r="R2761" s="4"/>
      <c r="S2761" s="4"/>
    </row>
    <row r="2762" customFormat="false" ht="15" hidden="false" customHeight="false" outlineLevel="0" collapsed="false">
      <c r="A2762" s="4"/>
      <c r="B2762" s="8"/>
      <c r="C2762" s="8"/>
      <c r="D2762" s="8"/>
      <c r="E2762" s="8"/>
      <c r="F2762" s="8"/>
      <c r="G2762" s="8"/>
      <c r="H2762" s="8"/>
      <c r="I2762" s="8"/>
      <c r="J2762" s="8"/>
      <c r="K2762" s="8"/>
      <c r="L2762" s="8"/>
      <c r="M2762" s="8"/>
      <c r="N2762" s="8"/>
      <c r="O2762" s="8"/>
      <c r="P2762" s="4"/>
      <c r="Q2762" s="8"/>
      <c r="R2762" s="4"/>
      <c r="S2762" s="4"/>
    </row>
    <row r="2763" customFormat="false" ht="15" hidden="false" customHeight="false" outlineLevel="0" collapsed="false">
      <c r="A2763" s="4"/>
      <c r="B2763" s="8"/>
      <c r="C2763" s="8"/>
      <c r="D2763" s="8"/>
      <c r="E2763" s="8"/>
      <c r="F2763" s="8"/>
      <c r="G2763" s="8"/>
      <c r="H2763" s="8"/>
      <c r="I2763" s="8"/>
      <c r="J2763" s="8"/>
      <c r="K2763" s="8"/>
      <c r="L2763" s="8"/>
      <c r="M2763" s="8"/>
      <c r="N2763" s="8"/>
      <c r="O2763" s="8"/>
      <c r="P2763" s="4"/>
      <c r="Q2763" s="8"/>
      <c r="R2763" s="4"/>
      <c r="S2763" s="4"/>
    </row>
    <row r="2764" customFormat="false" ht="15" hidden="false" customHeight="false" outlineLevel="0" collapsed="false">
      <c r="A2764" s="4"/>
      <c r="B2764" s="8"/>
      <c r="C2764" s="8"/>
      <c r="D2764" s="8"/>
      <c r="E2764" s="8"/>
      <c r="F2764" s="8"/>
      <c r="G2764" s="8"/>
      <c r="H2764" s="8"/>
      <c r="I2764" s="8"/>
      <c r="J2764" s="8"/>
      <c r="K2764" s="8"/>
      <c r="L2764" s="8"/>
      <c r="M2764" s="8"/>
      <c r="N2764" s="8"/>
      <c r="O2764" s="8"/>
      <c r="P2764" s="4"/>
      <c r="Q2764" s="8"/>
      <c r="R2764" s="4"/>
      <c r="S2764" s="4"/>
    </row>
    <row r="2765" customFormat="false" ht="15" hidden="false" customHeight="false" outlineLevel="0" collapsed="false">
      <c r="A2765" s="4"/>
      <c r="B2765" s="8"/>
      <c r="C2765" s="8"/>
      <c r="D2765" s="8"/>
      <c r="E2765" s="8"/>
      <c r="F2765" s="8"/>
      <c r="G2765" s="8"/>
      <c r="H2765" s="8"/>
      <c r="I2765" s="8"/>
      <c r="J2765" s="8"/>
      <c r="K2765" s="8"/>
      <c r="L2765" s="8"/>
      <c r="M2765" s="8"/>
      <c r="N2765" s="8"/>
      <c r="O2765" s="8"/>
      <c r="P2765" s="4"/>
      <c r="Q2765" s="8"/>
      <c r="R2765" s="4"/>
      <c r="S2765" s="4"/>
    </row>
    <row r="2766" customFormat="false" ht="15" hidden="false" customHeight="false" outlineLevel="0" collapsed="false">
      <c r="A2766" s="4"/>
      <c r="B2766" s="8"/>
      <c r="C2766" s="8"/>
      <c r="D2766" s="8"/>
      <c r="E2766" s="8"/>
      <c r="F2766" s="8"/>
      <c r="G2766" s="8"/>
      <c r="H2766" s="8"/>
      <c r="I2766" s="8"/>
      <c r="J2766" s="8"/>
      <c r="K2766" s="8"/>
      <c r="L2766" s="8"/>
      <c r="M2766" s="8"/>
      <c r="N2766" s="8"/>
      <c r="O2766" s="8"/>
      <c r="P2766" s="4"/>
      <c r="Q2766" s="8"/>
      <c r="R2766" s="4"/>
      <c r="S2766" s="4"/>
    </row>
    <row r="2767" customFormat="false" ht="15" hidden="false" customHeight="false" outlineLevel="0" collapsed="false">
      <c r="A2767" s="4"/>
      <c r="B2767" s="8"/>
      <c r="C2767" s="8"/>
      <c r="D2767" s="8"/>
      <c r="E2767" s="8"/>
      <c r="F2767" s="8"/>
      <c r="G2767" s="8"/>
      <c r="H2767" s="8"/>
      <c r="I2767" s="8"/>
      <c r="J2767" s="8"/>
      <c r="K2767" s="8"/>
      <c r="L2767" s="8"/>
      <c r="M2767" s="8"/>
      <c r="N2767" s="8"/>
      <c r="O2767" s="8"/>
      <c r="P2767" s="4"/>
      <c r="Q2767" s="8"/>
      <c r="R2767" s="4"/>
      <c r="S2767" s="4"/>
    </row>
    <row r="2768" customFormat="false" ht="15" hidden="false" customHeight="false" outlineLevel="0" collapsed="false">
      <c r="A2768" s="4"/>
      <c r="B2768" s="8"/>
      <c r="C2768" s="8"/>
      <c r="D2768" s="8"/>
      <c r="E2768" s="8"/>
      <c r="F2768" s="8"/>
      <c r="G2768" s="8"/>
      <c r="H2768" s="8"/>
      <c r="I2768" s="8"/>
      <c r="J2768" s="8"/>
      <c r="K2768" s="8"/>
      <c r="L2768" s="8"/>
      <c r="M2768" s="8"/>
      <c r="N2768" s="8"/>
      <c r="O2768" s="8"/>
      <c r="P2768" s="4"/>
      <c r="Q2768" s="8"/>
      <c r="R2768" s="4"/>
      <c r="S2768" s="4"/>
    </row>
    <row r="2769" customFormat="false" ht="15" hidden="false" customHeight="false" outlineLevel="0" collapsed="false">
      <c r="A2769" s="4"/>
      <c r="B2769" s="8"/>
      <c r="C2769" s="8"/>
      <c r="D2769" s="8"/>
      <c r="E2769" s="8"/>
      <c r="F2769" s="8"/>
      <c r="G2769" s="8"/>
      <c r="H2769" s="8"/>
      <c r="I2769" s="8"/>
      <c r="J2769" s="8"/>
      <c r="K2769" s="8"/>
      <c r="L2769" s="8"/>
      <c r="M2769" s="8"/>
      <c r="N2769" s="8"/>
      <c r="O2769" s="8"/>
      <c r="P2769" s="4"/>
      <c r="Q2769" s="8"/>
      <c r="R2769" s="4"/>
      <c r="S2769" s="4"/>
    </row>
    <row r="2770" customFormat="false" ht="15" hidden="false" customHeight="false" outlineLevel="0" collapsed="false">
      <c r="A2770" s="4"/>
      <c r="B2770" s="8"/>
      <c r="C2770" s="8"/>
      <c r="D2770" s="8"/>
      <c r="E2770" s="8"/>
      <c r="F2770" s="8"/>
      <c r="G2770" s="8"/>
      <c r="H2770" s="8"/>
      <c r="I2770" s="8"/>
      <c r="J2770" s="8"/>
      <c r="K2770" s="8"/>
      <c r="L2770" s="8"/>
      <c r="M2770" s="8"/>
      <c r="N2770" s="8"/>
      <c r="O2770" s="8"/>
      <c r="P2770" s="4"/>
      <c r="Q2770" s="8"/>
      <c r="R2770" s="4"/>
      <c r="S2770" s="4"/>
    </row>
    <row r="2771" customFormat="false" ht="15" hidden="false" customHeight="false" outlineLevel="0" collapsed="false">
      <c r="A2771" s="4"/>
      <c r="B2771" s="8"/>
      <c r="C2771" s="8"/>
      <c r="D2771" s="8"/>
      <c r="E2771" s="8"/>
      <c r="F2771" s="8"/>
      <c r="G2771" s="8"/>
      <c r="H2771" s="8"/>
      <c r="I2771" s="8"/>
      <c r="J2771" s="8"/>
      <c r="K2771" s="8"/>
      <c r="L2771" s="8"/>
      <c r="M2771" s="8"/>
      <c r="N2771" s="8"/>
      <c r="O2771" s="8"/>
      <c r="P2771" s="4"/>
      <c r="Q2771" s="8"/>
      <c r="R2771" s="4"/>
      <c r="S2771" s="4"/>
    </row>
    <row r="2772" customFormat="false" ht="15" hidden="false" customHeight="false" outlineLevel="0" collapsed="false">
      <c r="A2772" s="4"/>
      <c r="B2772" s="8"/>
      <c r="C2772" s="8"/>
      <c r="D2772" s="8"/>
      <c r="E2772" s="8"/>
      <c r="F2772" s="8"/>
      <c r="G2772" s="8"/>
      <c r="H2772" s="8"/>
      <c r="I2772" s="8"/>
      <c r="J2772" s="8"/>
      <c r="K2772" s="8"/>
      <c r="L2772" s="8"/>
      <c r="M2772" s="8"/>
      <c r="N2772" s="8"/>
      <c r="O2772" s="8"/>
      <c r="P2772" s="4"/>
      <c r="Q2772" s="8"/>
      <c r="R2772" s="4"/>
      <c r="S2772" s="4"/>
    </row>
    <row r="2773" customFormat="false" ht="15" hidden="false" customHeight="false" outlineLevel="0" collapsed="false">
      <c r="A2773" s="4"/>
      <c r="B2773" s="8"/>
      <c r="C2773" s="8"/>
      <c r="D2773" s="8"/>
      <c r="E2773" s="8"/>
      <c r="F2773" s="8"/>
      <c r="G2773" s="8"/>
      <c r="H2773" s="8"/>
      <c r="I2773" s="8"/>
      <c r="J2773" s="8"/>
      <c r="K2773" s="8"/>
      <c r="L2773" s="8"/>
      <c r="M2773" s="8"/>
      <c r="N2773" s="8"/>
      <c r="O2773" s="8"/>
      <c r="P2773" s="4"/>
      <c r="Q2773" s="8"/>
      <c r="R2773" s="4"/>
      <c r="S2773" s="4"/>
    </row>
    <row r="2774" customFormat="false" ht="15" hidden="false" customHeight="false" outlineLevel="0" collapsed="false">
      <c r="A2774" s="4"/>
      <c r="B2774" s="8"/>
      <c r="C2774" s="8"/>
      <c r="D2774" s="8"/>
      <c r="E2774" s="8"/>
      <c r="F2774" s="8"/>
      <c r="G2774" s="8"/>
      <c r="H2774" s="8"/>
      <c r="I2774" s="8"/>
      <c r="J2774" s="8"/>
      <c r="K2774" s="8"/>
      <c r="L2774" s="8"/>
      <c r="M2774" s="8"/>
      <c r="N2774" s="8"/>
      <c r="O2774" s="8"/>
      <c r="P2774" s="4"/>
      <c r="Q2774" s="8"/>
      <c r="R2774" s="4"/>
      <c r="S2774" s="4"/>
    </row>
    <row r="2775" customFormat="false" ht="15" hidden="false" customHeight="false" outlineLevel="0" collapsed="false">
      <c r="A2775" s="4"/>
      <c r="B2775" s="8"/>
      <c r="C2775" s="8"/>
      <c r="D2775" s="8"/>
      <c r="E2775" s="8"/>
      <c r="F2775" s="8"/>
      <c r="G2775" s="8"/>
      <c r="H2775" s="8"/>
      <c r="I2775" s="8"/>
      <c r="J2775" s="8"/>
      <c r="K2775" s="8"/>
      <c r="L2775" s="8"/>
      <c r="M2775" s="8"/>
      <c r="N2775" s="8"/>
      <c r="O2775" s="8"/>
      <c r="P2775" s="4"/>
      <c r="Q2775" s="8"/>
      <c r="R2775" s="4"/>
      <c r="S2775" s="4"/>
    </row>
    <row r="2776" customFormat="false" ht="15" hidden="false" customHeight="false" outlineLevel="0" collapsed="false">
      <c r="A2776" s="4"/>
      <c r="B2776" s="8"/>
      <c r="C2776" s="8"/>
      <c r="D2776" s="8"/>
      <c r="E2776" s="8"/>
      <c r="F2776" s="8"/>
      <c r="G2776" s="8"/>
      <c r="H2776" s="8"/>
      <c r="I2776" s="8"/>
      <c r="J2776" s="8"/>
      <c r="K2776" s="8"/>
      <c r="L2776" s="8"/>
      <c r="M2776" s="8"/>
      <c r="N2776" s="8"/>
      <c r="O2776" s="8"/>
      <c r="P2776" s="4"/>
      <c r="Q2776" s="8"/>
      <c r="R2776" s="4"/>
      <c r="S2776" s="4"/>
    </row>
    <row r="2777" customFormat="false" ht="15" hidden="false" customHeight="false" outlineLevel="0" collapsed="false">
      <c r="A2777" s="4"/>
      <c r="B2777" s="8"/>
      <c r="C2777" s="8"/>
      <c r="D2777" s="8"/>
      <c r="E2777" s="8"/>
      <c r="F2777" s="8"/>
      <c r="G2777" s="8"/>
      <c r="H2777" s="8"/>
      <c r="I2777" s="8"/>
      <c r="J2777" s="8"/>
      <c r="K2777" s="8"/>
      <c r="L2777" s="8"/>
      <c r="M2777" s="8"/>
      <c r="N2777" s="8"/>
      <c r="O2777" s="8"/>
      <c r="P2777" s="4"/>
      <c r="Q2777" s="8"/>
      <c r="R2777" s="4"/>
      <c r="S2777" s="4"/>
    </row>
    <row r="2778" customFormat="false" ht="15" hidden="false" customHeight="false" outlineLevel="0" collapsed="false">
      <c r="A2778" s="4"/>
      <c r="B2778" s="8"/>
      <c r="C2778" s="8"/>
      <c r="D2778" s="8"/>
      <c r="E2778" s="8"/>
      <c r="F2778" s="8"/>
      <c r="G2778" s="8"/>
      <c r="H2778" s="8"/>
      <c r="I2778" s="8"/>
      <c r="J2778" s="8"/>
      <c r="K2778" s="8"/>
      <c r="L2778" s="8"/>
      <c r="M2778" s="8"/>
      <c r="N2778" s="8"/>
      <c r="O2778" s="8"/>
      <c r="P2778" s="4"/>
      <c r="Q2778" s="8"/>
      <c r="R2778" s="4"/>
      <c r="S2778" s="4"/>
    </row>
    <row r="2779" customFormat="false" ht="15" hidden="false" customHeight="false" outlineLevel="0" collapsed="false">
      <c r="A2779" s="4"/>
      <c r="B2779" s="8"/>
      <c r="C2779" s="8"/>
      <c r="D2779" s="8"/>
      <c r="E2779" s="8"/>
      <c r="F2779" s="8"/>
      <c r="G2779" s="8"/>
      <c r="H2779" s="8"/>
      <c r="I2779" s="8"/>
      <c r="J2779" s="8"/>
      <c r="K2779" s="8"/>
      <c r="L2779" s="8"/>
      <c r="M2779" s="8"/>
      <c r="N2779" s="8"/>
      <c r="O2779" s="8"/>
      <c r="P2779" s="4"/>
      <c r="Q2779" s="8"/>
      <c r="R2779" s="4"/>
      <c r="S2779" s="4"/>
    </row>
    <row r="2780" customFormat="false" ht="15" hidden="false" customHeight="false" outlineLevel="0" collapsed="false">
      <c r="A2780" s="4"/>
      <c r="B2780" s="8"/>
      <c r="C2780" s="8"/>
      <c r="D2780" s="8"/>
      <c r="E2780" s="8"/>
      <c r="F2780" s="8"/>
      <c r="G2780" s="8"/>
      <c r="H2780" s="8"/>
      <c r="I2780" s="8"/>
      <c r="J2780" s="8"/>
      <c r="K2780" s="8"/>
      <c r="L2780" s="8"/>
      <c r="M2780" s="8"/>
      <c r="N2780" s="8"/>
      <c r="O2780" s="8"/>
      <c r="P2780" s="4"/>
      <c r="Q2780" s="8"/>
      <c r="R2780" s="4"/>
      <c r="S2780" s="4"/>
    </row>
    <row r="2781" customFormat="false" ht="15" hidden="false" customHeight="false" outlineLevel="0" collapsed="false">
      <c r="A2781" s="4"/>
      <c r="B2781" s="8"/>
      <c r="C2781" s="8"/>
      <c r="D2781" s="8"/>
      <c r="E2781" s="8"/>
      <c r="F2781" s="8"/>
      <c r="G2781" s="8"/>
      <c r="H2781" s="8"/>
      <c r="I2781" s="8"/>
      <c r="J2781" s="8"/>
      <c r="K2781" s="8"/>
      <c r="L2781" s="8"/>
      <c r="M2781" s="8"/>
      <c r="N2781" s="8"/>
      <c r="O2781" s="8"/>
      <c r="P2781" s="4"/>
      <c r="Q2781" s="8"/>
      <c r="R2781" s="4"/>
      <c r="S2781" s="4"/>
    </row>
    <row r="2782" customFormat="false" ht="15" hidden="false" customHeight="false" outlineLevel="0" collapsed="false">
      <c r="A2782" s="4"/>
      <c r="B2782" s="8"/>
      <c r="C2782" s="8"/>
      <c r="D2782" s="8"/>
      <c r="E2782" s="8"/>
      <c r="F2782" s="8"/>
      <c r="G2782" s="8"/>
      <c r="H2782" s="8"/>
      <c r="I2782" s="8"/>
      <c r="J2782" s="8"/>
      <c r="K2782" s="8"/>
      <c r="L2782" s="8"/>
      <c r="M2782" s="8"/>
      <c r="N2782" s="8"/>
      <c r="O2782" s="8"/>
      <c r="P2782" s="4"/>
      <c r="Q2782" s="8"/>
      <c r="R2782" s="4"/>
      <c r="S2782" s="4"/>
    </row>
    <row r="2783" customFormat="false" ht="15" hidden="false" customHeight="false" outlineLevel="0" collapsed="false">
      <c r="A2783" s="4"/>
      <c r="B2783" s="8"/>
      <c r="C2783" s="8"/>
      <c r="D2783" s="8"/>
      <c r="E2783" s="8"/>
      <c r="F2783" s="8"/>
      <c r="G2783" s="8"/>
      <c r="H2783" s="8"/>
      <c r="I2783" s="8"/>
      <c r="J2783" s="8"/>
      <c r="K2783" s="8"/>
      <c r="L2783" s="8"/>
      <c r="M2783" s="8"/>
      <c r="N2783" s="8"/>
      <c r="O2783" s="8"/>
      <c r="P2783" s="4"/>
      <c r="Q2783" s="8"/>
      <c r="R2783" s="4"/>
      <c r="S2783" s="4"/>
    </row>
    <row r="2784" customFormat="false" ht="15" hidden="false" customHeight="false" outlineLevel="0" collapsed="false">
      <c r="A2784" s="4"/>
      <c r="B2784" s="8"/>
      <c r="C2784" s="8"/>
      <c r="D2784" s="8"/>
      <c r="E2784" s="8"/>
      <c r="F2784" s="8"/>
      <c r="G2784" s="8"/>
      <c r="H2784" s="8"/>
      <c r="I2784" s="8"/>
      <c r="J2784" s="8"/>
      <c r="K2784" s="8"/>
      <c r="L2784" s="8"/>
      <c r="M2784" s="8"/>
      <c r="N2784" s="8"/>
      <c r="O2784" s="8"/>
      <c r="P2784" s="4"/>
      <c r="Q2784" s="8"/>
      <c r="R2784" s="4"/>
      <c r="S2784" s="4"/>
    </row>
    <row r="2785" customFormat="false" ht="15" hidden="false" customHeight="false" outlineLevel="0" collapsed="false">
      <c r="A2785" s="4"/>
      <c r="B2785" s="8"/>
      <c r="C2785" s="8"/>
      <c r="D2785" s="8"/>
      <c r="E2785" s="8"/>
      <c r="F2785" s="8"/>
      <c r="G2785" s="8"/>
      <c r="H2785" s="8"/>
      <c r="I2785" s="8"/>
      <c r="J2785" s="8"/>
      <c r="K2785" s="8"/>
      <c r="L2785" s="8"/>
      <c r="M2785" s="8"/>
      <c r="N2785" s="8"/>
      <c r="O2785" s="8"/>
      <c r="P2785" s="4"/>
      <c r="Q2785" s="8"/>
      <c r="R2785" s="4"/>
      <c r="S2785" s="4"/>
    </row>
    <row r="2786" customFormat="false" ht="15" hidden="false" customHeight="false" outlineLevel="0" collapsed="false">
      <c r="A2786" s="4"/>
      <c r="B2786" s="8"/>
      <c r="C2786" s="8"/>
      <c r="D2786" s="8"/>
      <c r="E2786" s="8"/>
      <c r="F2786" s="8"/>
      <c r="G2786" s="8"/>
      <c r="H2786" s="8"/>
      <c r="I2786" s="8"/>
      <c r="J2786" s="8"/>
      <c r="K2786" s="8"/>
      <c r="L2786" s="8"/>
      <c r="M2786" s="8"/>
      <c r="N2786" s="8"/>
      <c r="O2786" s="8"/>
      <c r="P2786" s="4"/>
      <c r="Q2786" s="8"/>
      <c r="R2786" s="4"/>
      <c r="S2786" s="4"/>
    </row>
    <row r="2787" customFormat="false" ht="15" hidden="false" customHeight="false" outlineLevel="0" collapsed="false">
      <c r="A2787" s="4"/>
      <c r="B2787" s="8"/>
      <c r="C2787" s="8"/>
      <c r="D2787" s="8"/>
      <c r="E2787" s="8"/>
      <c r="F2787" s="8"/>
      <c r="G2787" s="8"/>
      <c r="H2787" s="8"/>
      <c r="I2787" s="8"/>
      <c r="J2787" s="8"/>
      <c r="K2787" s="8"/>
      <c r="L2787" s="8"/>
      <c r="M2787" s="8"/>
      <c r="N2787" s="8"/>
      <c r="O2787" s="8"/>
      <c r="P2787" s="4"/>
      <c r="Q2787" s="8"/>
      <c r="R2787" s="4"/>
      <c r="S2787" s="4"/>
    </row>
    <row r="2788" customFormat="false" ht="15" hidden="false" customHeight="false" outlineLevel="0" collapsed="false">
      <c r="A2788" s="4"/>
      <c r="B2788" s="8"/>
      <c r="C2788" s="8"/>
      <c r="D2788" s="8"/>
      <c r="E2788" s="8"/>
      <c r="F2788" s="8"/>
      <c r="G2788" s="8"/>
      <c r="H2788" s="8"/>
      <c r="I2788" s="8"/>
      <c r="J2788" s="8"/>
      <c r="K2788" s="8"/>
      <c r="L2788" s="8"/>
      <c r="M2788" s="8"/>
      <c r="N2788" s="8"/>
      <c r="O2788" s="8"/>
      <c r="P2788" s="4"/>
      <c r="Q2788" s="8"/>
      <c r="R2788" s="4"/>
      <c r="S2788" s="4"/>
    </row>
    <row r="2789" customFormat="false" ht="15" hidden="false" customHeight="false" outlineLevel="0" collapsed="false">
      <c r="A2789" s="4"/>
      <c r="B2789" s="8"/>
      <c r="C2789" s="8"/>
      <c r="D2789" s="8"/>
      <c r="E2789" s="8"/>
      <c r="F2789" s="8"/>
      <c r="G2789" s="8"/>
      <c r="H2789" s="8"/>
      <c r="I2789" s="8"/>
      <c r="J2789" s="8"/>
      <c r="K2789" s="8"/>
      <c r="L2789" s="8"/>
      <c r="M2789" s="8"/>
      <c r="N2789" s="8"/>
      <c r="O2789" s="8"/>
      <c r="P2789" s="4"/>
      <c r="Q2789" s="8"/>
      <c r="R2789" s="4"/>
      <c r="S2789" s="4"/>
    </row>
    <row r="2790" customFormat="false" ht="15" hidden="false" customHeight="false" outlineLevel="0" collapsed="false">
      <c r="A2790" s="4"/>
      <c r="B2790" s="8"/>
      <c r="C2790" s="8"/>
      <c r="D2790" s="8"/>
      <c r="E2790" s="8"/>
      <c r="F2790" s="8"/>
      <c r="G2790" s="8"/>
      <c r="H2790" s="8"/>
      <c r="I2790" s="8"/>
      <c r="J2790" s="8"/>
      <c r="K2790" s="8"/>
      <c r="L2790" s="8"/>
      <c r="M2790" s="8"/>
      <c r="N2790" s="8"/>
      <c r="O2790" s="8"/>
      <c r="P2790" s="4"/>
      <c r="Q2790" s="8"/>
      <c r="R2790" s="4"/>
      <c r="S2790" s="4"/>
    </row>
    <row r="2791" customFormat="false" ht="15" hidden="false" customHeight="false" outlineLevel="0" collapsed="false">
      <c r="A2791" s="4"/>
      <c r="B2791" s="8"/>
      <c r="C2791" s="8"/>
      <c r="D2791" s="8"/>
      <c r="E2791" s="8"/>
      <c r="F2791" s="8"/>
      <c r="G2791" s="8"/>
      <c r="H2791" s="8"/>
      <c r="I2791" s="8"/>
      <c r="J2791" s="8"/>
      <c r="K2791" s="8"/>
      <c r="L2791" s="8"/>
      <c r="M2791" s="8"/>
      <c r="N2791" s="8"/>
      <c r="O2791" s="8"/>
      <c r="P2791" s="4"/>
      <c r="Q2791" s="8"/>
      <c r="R2791" s="4"/>
      <c r="S2791" s="4"/>
    </row>
    <row r="2792" customFormat="false" ht="15" hidden="false" customHeight="false" outlineLevel="0" collapsed="false">
      <c r="A2792" s="4"/>
      <c r="B2792" s="8"/>
      <c r="C2792" s="8"/>
      <c r="D2792" s="8"/>
      <c r="E2792" s="8"/>
      <c r="F2792" s="8"/>
      <c r="G2792" s="8"/>
      <c r="H2792" s="8"/>
      <c r="I2792" s="8"/>
      <c r="J2792" s="8"/>
      <c r="K2792" s="8"/>
      <c r="L2792" s="8"/>
      <c r="M2792" s="8"/>
      <c r="N2792" s="8"/>
      <c r="O2792" s="8"/>
      <c r="P2792" s="4"/>
      <c r="Q2792" s="8"/>
      <c r="R2792" s="4"/>
      <c r="S2792" s="4"/>
    </row>
    <row r="2793" customFormat="false" ht="15" hidden="false" customHeight="false" outlineLevel="0" collapsed="false">
      <c r="A2793" s="4"/>
      <c r="B2793" s="8"/>
      <c r="C2793" s="8"/>
      <c r="D2793" s="8"/>
      <c r="E2793" s="8"/>
      <c r="F2793" s="8"/>
      <c r="G2793" s="8"/>
      <c r="H2793" s="8"/>
      <c r="I2793" s="8"/>
      <c r="J2793" s="8"/>
      <c r="K2793" s="8"/>
      <c r="L2793" s="8"/>
      <c r="M2793" s="8"/>
      <c r="N2793" s="8"/>
      <c r="O2793" s="8"/>
      <c r="P2793" s="4"/>
      <c r="Q2793" s="8"/>
      <c r="R2793" s="4"/>
      <c r="S2793" s="4"/>
    </row>
    <row r="2794" customFormat="false" ht="15" hidden="false" customHeight="false" outlineLevel="0" collapsed="false">
      <c r="A2794" s="4"/>
      <c r="B2794" s="8"/>
      <c r="C2794" s="8"/>
      <c r="D2794" s="8"/>
      <c r="E2794" s="8"/>
      <c r="F2794" s="8"/>
      <c r="G2794" s="8"/>
      <c r="H2794" s="8"/>
      <c r="I2794" s="8"/>
      <c r="J2794" s="8"/>
      <c r="K2794" s="8"/>
      <c r="L2794" s="8"/>
      <c r="M2794" s="8"/>
      <c r="N2794" s="8"/>
      <c r="O2794" s="8"/>
      <c r="P2794" s="4"/>
      <c r="Q2794" s="8"/>
      <c r="R2794" s="4"/>
      <c r="S2794" s="4"/>
    </row>
    <row r="2795" customFormat="false" ht="15" hidden="false" customHeight="false" outlineLevel="0" collapsed="false">
      <c r="A2795" s="4"/>
      <c r="B2795" s="8"/>
      <c r="C2795" s="8"/>
      <c r="D2795" s="8"/>
      <c r="E2795" s="8"/>
      <c r="F2795" s="8"/>
      <c r="G2795" s="8"/>
      <c r="H2795" s="8"/>
      <c r="I2795" s="8"/>
      <c r="J2795" s="8"/>
      <c r="K2795" s="8"/>
      <c r="L2795" s="8"/>
      <c r="M2795" s="8"/>
      <c r="N2795" s="8"/>
      <c r="O2795" s="8"/>
      <c r="P2795" s="4"/>
      <c r="Q2795" s="8"/>
      <c r="R2795" s="4"/>
      <c r="S2795" s="4"/>
    </row>
    <row r="2796" customFormat="false" ht="15" hidden="false" customHeight="false" outlineLevel="0" collapsed="false">
      <c r="A2796" s="4"/>
      <c r="B2796" s="8"/>
      <c r="C2796" s="8"/>
      <c r="D2796" s="8"/>
      <c r="E2796" s="8"/>
      <c r="F2796" s="8"/>
      <c r="G2796" s="8"/>
      <c r="H2796" s="8"/>
      <c r="I2796" s="8"/>
      <c r="J2796" s="8"/>
      <c r="K2796" s="8"/>
      <c r="L2796" s="8"/>
      <c r="M2796" s="8"/>
      <c r="N2796" s="8"/>
      <c r="O2796" s="8"/>
      <c r="P2796" s="4"/>
      <c r="Q2796" s="8"/>
      <c r="R2796" s="4"/>
      <c r="S2796" s="4"/>
    </row>
    <row r="2797" customFormat="false" ht="15" hidden="false" customHeight="false" outlineLevel="0" collapsed="false">
      <c r="A2797" s="4"/>
      <c r="B2797" s="8"/>
      <c r="C2797" s="8"/>
      <c r="D2797" s="8"/>
      <c r="E2797" s="8"/>
      <c r="F2797" s="8"/>
      <c r="G2797" s="8"/>
      <c r="H2797" s="8"/>
      <c r="I2797" s="8"/>
      <c r="J2797" s="8"/>
      <c r="K2797" s="8"/>
      <c r="L2797" s="8"/>
      <c r="M2797" s="8"/>
      <c r="N2797" s="8"/>
      <c r="O2797" s="8"/>
      <c r="P2797" s="4"/>
      <c r="Q2797" s="8"/>
      <c r="R2797" s="4"/>
      <c r="S2797" s="4"/>
    </row>
    <row r="2798" customFormat="false" ht="15" hidden="false" customHeight="false" outlineLevel="0" collapsed="false">
      <c r="A2798" s="4"/>
      <c r="B2798" s="8"/>
      <c r="C2798" s="8"/>
      <c r="D2798" s="8"/>
      <c r="E2798" s="8"/>
      <c r="F2798" s="8"/>
      <c r="G2798" s="8"/>
      <c r="H2798" s="8"/>
      <c r="I2798" s="8"/>
      <c r="J2798" s="8"/>
      <c r="K2798" s="8"/>
      <c r="L2798" s="8"/>
      <c r="M2798" s="8"/>
      <c r="N2798" s="8"/>
      <c r="O2798" s="8"/>
      <c r="P2798" s="4"/>
      <c r="Q2798" s="8"/>
      <c r="R2798" s="4"/>
      <c r="S2798" s="4"/>
    </row>
    <row r="2799" customFormat="false" ht="15" hidden="false" customHeight="false" outlineLevel="0" collapsed="false">
      <c r="A2799" s="4"/>
      <c r="B2799" s="8"/>
      <c r="C2799" s="8"/>
      <c r="D2799" s="8"/>
      <c r="E2799" s="8"/>
      <c r="F2799" s="8"/>
      <c r="G2799" s="8"/>
      <c r="H2799" s="8"/>
      <c r="I2799" s="8"/>
      <c r="J2799" s="8"/>
      <c r="K2799" s="8"/>
      <c r="L2799" s="8"/>
      <c r="M2799" s="8"/>
      <c r="N2799" s="8"/>
      <c r="O2799" s="8"/>
      <c r="P2799" s="4"/>
      <c r="Q2799" s="8"/>
      <c r="R2799" s="4"/>
      <c r="S2799" s="4"/>
    </row>
    <row r="2800" customFormat="false" ht="15" hidden="false" customHeight="false" outlineLevel="0" collapsed="false">
      <c r="A2800" s="4"/>
      <c r="B2800" s="8"/>
      <c r="C2800" s="8"/>
      <c r="D2800" s="8"/>
      <c r="E2800" s="8"/>
      <c r="F2800" s="8"/>
      <c r="G2800" s="8"/>
      <c r="H2800" s="8"/>
      <c r="I2800" s="8"/>
      <c r="J2800" s="8"/>
      <c r="K2800" s="8"/>
      <c r="L2800" s="8"/>
      <c r="M2800" s="8"/>
      <c r="N2800" s="8"/>
      <c r="O2800" s="8"/>
      <c r="P2800" s="4"/>
      <c r="Q2800" s="8"/>
      <c r="R2800" s="4"/>
      <c r="S2800" s="4"/>
    </row>
    <row r="2801" customFormat="false" ht="15" hidden="false" customHeight="false" outlineLevel="0" collapsed="false">
      <c r="A2801" s="4"/>
      <c r="B2801" s="8"/>
      <c r="C2801" s="8"/>
      <c r="D2801" s="8"/>
      <c r="E2801" s="8"/>
      <c r="F2801" s="8"/>
      <c r="G2801" s="8"/>
      <c r="H2801" s="8"/>
      <c r="I2801" s="8"/>
      <c r="J2801" s="8"/>
      <c r="K2801" s="8"/>
      <c r="L2801" s="8"/>
      <c r="M2801" s="8"/>
      <c r="N2801" s="8"/>
      <c r="O2801" s="8"/>
      <c r="P2801" s="4"/>
      <c r="Q2801" s="8"/>
      <c r="R2801" s="4"/>
      <c r="S2801" s="4"/>
    </row>
    <row r="2802" customFormat="false" ht="15" hidden="false" customHeight="false" outlineLevel="0" collapsed="false">
      <c r="A2802" s="4"/>
      <c r="B2802" s="8"/>
      <c r="C2802" s="8"/>
      <c r="D2802" s="8"/>
      <c r="E2802" s="8"/>
      <c r="F2802" s="8"/>
      <c r="G2802" s="8"/>
      <c r="H2802" s="8"/>
      <c r="I2802" s="8"/>
      <c r="J2802" s="8"/>
      <c r="K2802" s="8"/>
      <c r="L2802" s="8"/>
      <c r="M2802" s="8"/>
      <c r="N2802" s="8"/>
      <c r="O2802" s="8"/>
      <c r="P2802" s="4"/>
      <c r="Q2802" s="8"/>
      <c r="R2802" s="4"/>
      <c r="S2802" s="4"/>
    </row>
    <row r="2803" customFormat="false" ht="15" hidden="false" customHeight="false" outlineLevel="0" collapsed="false">
      <c r="A2803" s="4"/>
      <c r="B2803" s="8"/>
      <c r="C2803" s="8"/>
      <c r="D2803" s="8"/>
      <c r="E2803" s="8"/>
      <c r="F2803" s="8"/>
      <c r="G2803" s="8"/>
      <c r="H2803" s="8"/>
      <c r="I2803" s="8"/>
      <c r="J2803" s="8"/>
      <c r="K2803" s="8"/>
      <c r="L2803" s="8"/>
      <c r="M2803" s="8"/>
      <c r="N2803" s="8"/>
      <c r="O2803" s="8"/>
      <c r="P2803" s="4"/>
      <c r="Q2803" s="8"/>
      <c r="R2803" s="4"/>
      <c r="S2803" s="4"/>
    </row>
    <row r="2804" customFormat="false" ht="15" hidden="false" customHeight="false" outlineLevel="0" collapsed="false">
      <c r="A2804" s="4"/>
      <c r="B2804" s="8"/>
      <c r="C2804" s="8"/>
      <c r="D2804" s="8"/>
      <c r="E2804" s="8"/>
      <c r="F2804" s="8"/>
      <c r="G2804" s="8"/>
      <c r="H2804" s="8"/>
      <c r="I2804" s="8"/>
      <c r="J2804" s="8"/>
      <c r="K2804" s="8"/>
      <c r="L2804" s="8"/>
      <c r="M2804" s="8"/>
      <c r="N2804" s="8"/>
      <c r="O2804" s="8"/>
      <c r="P2804" s="4"/>
      <c r="Q2804" s="8"/>
      <c r="R2804" s="4"/>
      <c r="S2804" s="4"/>
    </row>
    <row r="2805" customFormat="false" ht="15" hidden="false" customHeight="false" outlineLevel="0" collapsed="false">
      <c r="A2805" s="4"/>
      <c r="B2805" s="8"/>
      <c r="C2805" s="8"/>
      <c r="D2805" s="8"/>
      <c r="E2805" s="8"/>
      <c r="F2805" s="8"/>
      <c r="G2805" s="8"/>
      <c r="H2805" s="8"/>
      <c r="I2805" s="8"/>
      <c r="J2805" s="8"/>
      <c r="K2805" s="8"/>
      <c r="L2805" s="8"/>
      <c r="M2805" s="8"/>
      <c r="N2805" s="8"/>
      <c r="O2805" s="8"/>
      <c r="P2805" s="4"/>
      <c r="Q2805" s="8"/>
      <c r="R2805" s="4"/>
      <c r="S2805" s="4"/>
    </row>
    <row r="2806" customFormat="false" ht="15" hidden="false" customHeight="false" outlineLevel="0" collapsed="false">
      <c r="A2806" s="4"/>
      <c r="B2806" s="8"/>
      <c r="C2806" s="8"/>
      <c r="D2806" s="8"/>
      <c r="E2806" s="8"/>
      <c r="F2806" s="8"/>
      <c r="G2806" s="8"/>
      <c r="H2806" s="8"/>
      <c r="I2806" s="8"/>
      <c r="J2806" s="8"/>
      <c r="K2806" s="8"/>
      <c r="L2806" s="8"/>
      <c r="M2806" s="8"/>
      <c r="N2806" s="8"/>
      <c r="O2806" s="8"/>
      <c r="P2806" s="4"/>
      <c r="Q2806" s="8"/>
      <c r="R2806" s="4"/>
      <c r="S2806" s="4"/>
    </row>
    <row r="2807" customFormat="false" ht="15" hidden="false" customHeight="false" outlineLevel="0" collapsed="false">
      <c r="A2807" s="4"/>
      <c r="B2807" s="8"/>
      <c r="C2807" s="8"/>
      <c r="D2807" s="8"/>
      <c r="E2807" s="8"/>
      <c r="F2807" s="8"/>
      <c r="G2807" s="8"/>
      <c r="H2807" s="8"/>
      <c r="I2807" s="8"/>
      <c r="J2807" s="8"/>
      <c r="K2807" s="8"/>
      <c r="L2807" s="8"/>
      <c r="M2807" s="8"/>
      <c r="N2807" s="8"/>
      <c r="O2807" s="8"/>
      <c r="P2807" s="4"/>
      <c r="Q2807" s="8"/>
      <c r="R2807" s="4"/>
      <c r="S2807" s="4"/>
    </row>
    <row r="2808" customFormat="false" ht="15" hidden="false" customHeight="false" outlineLevel="0" collapsed="false">
      <c r="A2808" s="4"/>
      <c r="B2808" s="8"/>
      <c r="C2808" s="8"/>
      <c r="D2808" s="8"/>
      <c r="E2808" s="8"/>
      <c r="F2808" s="8"/>
      <c r="G2808" s="8"/>
      <c r="H2808" s="8"/>
      <c r="I2808" s="8"/>
      <c r="J2808" s="8"/>
      <c r="K2808" s="8"/>
      <c r="L2808" s="8"/>
      <c r="M2808" s="8"/>
      <c r="N2808" s="8"/>
      <c r="O2808" s="8"/>
      <c r="P2808" s="4"/>
      <c r="Q2808" s="8"/>
      <c r="R2808" s="4"/>
      <c r="S2808" s="4"/>
    </row>
    <row r="2809" customFormat="false" ht="15" hidden="false" customHeight="false" outlineLevel="0" collapsed="false">
      <c r="A2809" s="4"/>
      <c r="B2809" s="8"/>
      <c r="C2809" s="8"/>
      <c r="D2809" s="8"/>
      <c r="E2809" s="8"/>
      <c r="F2809" s="8"/>
      <c r="G2809" s="8"/>
      <c r="H2809" s="8"/>
      <c r="I2809" s="8"/>
      <c r="J2809" s="8"/>
      <c r="K2809" s="8"/>
      <c r="L2809" s="8"/>
      <c r="M2809" s="8"/>
      <c r="N2809" s="8"/>
      <c r="O2809" s="8"/>
      <c r="P2809" s="4"/>
      <c r="Q2809" s="8"/>
      <c r="R2809" s="4"/>
      <c r="S2809" s="4"/>
    </row>
    <row r="2810" customFormat="false" ht="15" hidden="false" customHeight="false" outlineLevel="0" collapsed="false">
      <c r="A2810" s="4"/>
      <c r="B2810" s="8"/>
      <c r="C2810" s="8"/>
      <c r="D2810" s="8"/>
      <c r="E2810" s="8"/>
      <c r="F2810" s="8"/>
      <c r="G2810" s="8"/>
      <c r="H2810" s="8"/>
      <c r="I2810" s="8"/>
      <c r="J2810" s="8"/>
      <c r="K2810" s="8"/>
      <c r="L2810" s="8"/>
      <c r="M2810" s="8"/>
      <c r="N2810" s="8"/>
      <c r="O2810" s="8"/>
      <c r="P2810" s="4"/>
      <c r="Q2810" s="8"/>
      <c r="R2810" s="4"/>
      <c r="S2810" s="4"/>
    </row>
    <row r="2811" customFormat="false" ht="15" hidden="false" customHeight="false" outlineLevel="0" collapsed="false">
      <c r="A2811" s="4"/>
      <c r="B2811" s="8"/>
      <c r="C2811" s="8"/>
      <c r="D2811" s="8"/>
      <c r="E2811" s="8"/>
      <c r="F2811" s="8"/>
      <c r="G2811" s="8"/>
      <c r="H2811" s="8"/>
      <c r="I2811" s="8"/>
      <c r="J2811" s="8"/>
      <c r="K2811" s="8"/>
      <c r="L2811" s="8"/>
      <c r="M2811" s="8"/>
      <c r="N2811" s="8"/>
      <c r="O2811" s="8"/>
      <c r="P2811" s="4"/>
      <c r="Q2811" s="8"/>
      <c r="R2811" s="4"/>
      <c r="S2811" s="4"/>
    </row>
    <row r="2812" customFormat="false" ht="15" hidden="false" customHeight="false" outlineLevel="0" collapsed="false">
      <c r="A2812" s="4"/>
      <c r="B2812" s="8"/>
      <c r="C2812" s="8"/>
      <c r="D2812" s="8"/>
      <c r="E2812" s="8"/>
      <c r="F2812" s="8"/>
      <c r="G2812" s="8"/>
      <c r="H2812" s="8"/>
      <c r="I2812" s="8"/>
      <c r="J2812" s="8"/>
      <c r="K2812" s="8"/>
      <c r="L2812" s="8"/>
      <c r="M2812" s="8"/>
      <c r="N2812" s="8"/>
      <c r="O2812" s="8"/>
      <c r="P2812" s="4"/>
      <c r="Q2812" s="8"/>
      <c r="R2812" s="4"/>
      <c r="S2812" s="4"/>
    </row>
    <row r="2813" customFormat="false" ht="15" hidden="false" customHeight="false" outlineLevel="0" collapsed="false">
      <c r="A2813" s="4"/>
      <c r="B2813" s="8"/>
      <c r="C2813" s="8"/>
      <c r="D2813" s="8"/>
      <c r="E2813" s="8"/>
      <c r="F2813" s="8"/>
      <c r="G2813" s="8"/>
      <c r="H2813" s="8"/>
      <c r="I2813" s="8"/>
      <c r="J2813" s="8"/>
      <c r="K2813" s="8"/>
      <c r="L2813" s="8"/>
      <c r="M2813" s="8"/>
      <c r="N2813" s="8"/>
      <c r="O2813" s="8"/>
      <c r="P2813" s="4"/>
      <c r="Q2813" s="8"/>
      <c r="R2813" s="4"/>
      <c r="S2813" s="4"/>
    </row>
    <row r="2814" customFormat="false" ht="15" hidden="false" customHeight="false" outlineLevel="0" collapsed="false">
      <c r="A2814" s="4"/>
      <c r="B2814" s="8"/>
      <c r="C2814" s="8"/>
      <c r="D2814" s="8"/>
      <c r="E2814" s="8"/>
      <c r="F2814" s="8"/>
      <c r="G2814" s="8"/>
      <c r="H2814" s="8"/>
      <c r="I2814" s="8"/>
      <c r="J2814" s="8"/>
      <c r="K2814" s="8"/>
      <c r="L2814" s="8"/>
      <c r="M2814" s="8"/>
      <c r="N2814" s="8"/>
      <c r="O2814" s="8"/>
      <c r="P2814" s="4"/>
      <c r="Q2814" s="8"/>
      <c r="R2814" s="4"/>
      <c r="S2814" s="4"/>
    </row>
    <row r="2815" customFormat="false" ht="15" hidden="false" customHeight="false" outlineLevel="0" collapsed="false">
      <c r="A2815" s="4"/>
      <c r="B2815" s="8"/>
      <c r="C2815" s="8"/>
      <c r="D2815" s="8"/>
      <c r="E2815" s="8"/>
      <c r="F2815" s="8"/>
      <c r="G2815" s="8"/>
      <c r="H2815" s="8"/>
      <c r="I2815" s="8"/>
      <c r="J2815" s="8"/>
      <c r="K2815" s="8"/>
      <c r="L2815" s="8"/>
      <c r="M2815" s="8"/>
      <c r="N2815" s="8"/>
      <c r="O2815" s="8"/>
      <c r="P2815" s="4"/>
      <c r="Q2815" s="8"/>
      <c r="R2815" s="4"/>
      <c r="S2815" s="4"/>
    </row>
    <row r="2816" customFormat="false" ht="15" hidden="false" customHeight="false" outlineLevel="0" collapsed="false">
      <c r="A2816" s="4"/>
      <c r="B2816" s="8"/>
      <c r="C2816" s="8"/>
      <c r="D2816" s="8"/>
      <c r="E2816" s="8"/>
      <c r="F2816" s="8"/>
      <c r="G2816" s="8"/>
      <c r="H2816" s="8"/>
      <c r="I2816" s="8"/>
      <c r="J2816" s="8"/>
      <c r="K2816" s="8"/>
      <c r="L2816" s="8"/>
      <c r="M2816" s="8"/>
      <c r="N2816" s="8"/>
      <c r="O2816" s="8"/>
      <c r="P2816" s="4"/>
      <c r="Q2816" s="8"/>
      <c r="R2816" s="4"/>
      <c r="S2816" s="4"/>
    </row>
    <row r="2817" customFormat="false" ht="15" hidden="false" customHeight="false" outlineLevel="0" collapsed="false">
      <c r="A2817" s="4"/>
      <c r="B2817" s="8"/>
      <c r="C2817" s="8"/>
      <c r="D2817" s="8"/>
      <c r="E2817" s="8"/>
      <c r="F2817" s="8"/>
      <c r="G2817" s="8"/>
      <c r="H2817" s="8"/>
      <c r="I2817" s="8"/>
      <c r="J2817" s="8"/>
      <c r="K2817" s="8"/>
      <c r="L2817" s="8"/>
      <c r="M2817" s="8"/>
      <c r="N2817" s="8"/>
      <c r="O2817" s="8"/>
      <c r="P2817" s="4"/>
      <c r="Q2817" s="8"/>
      <c r="R2817" s="4"/>
      <c r="S2817" s="4"/>
    </row>
    <row r="2818" customFormat="false" ht="15" hidden="false" customHeight="false" outlineLevel="0" collapsed="false">
      <c r="A2818" s="4"/>
      <c r="B2818" s="8"/>
      <c r="C2818" s="8"/>
      <c r="D2818" s="8"/>
      <c r="E2818" s="8"/>
      <c r="F2818" s="8"/>
      <c r="G2818" s="8"/>
      <c r="H2818" s="8"/>
      <c r="I2818" s="8"/>
      <c r="J2818" s="8"/>
      <c r="K2818" s="8"/>
      <c r="L2818" s="8"/>
      <c r="M2818" s="8"/>
      <c r="N2818" s="8"/>
      <c r="O2818" s="8"/>
      <c r="P2818" s="4"/>
      <c r="Q2818" s="8"/>
      <c r="R2818" s="4"/>
      <c r="S2818" s="4"/>
    </row>
    <row r="2819" customFormat="false" ht="15" hidden="false" customHeight="false" outlineLevel="0" collapsed="false">
      <c r="A2819" s="4"/>
      <c r="B2819" s="8"/>
      <c r="C2819" s="8"/>
      <c r="D2819" s="8"/>
      <c r="E2819" s="8"/>
      <c r="F2819" s="8"/>
      <c r="G2819" s="8"/>
      <c r="H2819" s="8"/>
      <c r="I2819" s="8"/>
      <c r="J2819" s="8"/>
      <c r="K2819" s="8"/>
      <c r="L2819" s="8"/>
      <c r="M2819" s="8"/>
      <c r="N2819" s="8"/>
      <c r="O2819" s="8"/>
      <c r="P2819" s="4"/>
      <c r="Q2819" s="8"/>
      <c r="R2819" s="4"/>
      <c r="S2819" s="4"/>
    </row>
    <row r="2820" customFormat="false" ht="15" hidden="false" customHeight="false" outlineLevel="0" collapsed="false">
      <c r="A2820" s="4"/>
      <c r="B2820" s="8"/>
      <c r="C2820" s="8"/>
      <c r="D2820" s="8"/>
      <c r="E2820" s="8"/>
      <c r="F2820" s="8"/>
      <c r="G2820" s="8"/>
      <c r="H2820" s="8"/>
      <c r="I2820" s="8"/>
      <c r="J2820" s="8"/>
      <c r="K2820" s="8"/>
      <c r="L2820" s="8"/>
      <c r="M2820" s="8"/>
      <c r="N2820" s="8"/>
      <c r="O2820" s="8"/>
      <c r="P2820" s="4"/>
      <c r="Q2820" s="8"/>
      <c r="R2820" s="4"/>
      <c r="S2820" s="4"/>
    </row>
    <row r="2821" customFormat="false" ht="15" hidden="false" customHeight="false" outlineLevel="0" collapsed="false">
      <c r="A2821" s="4"/>
      <c r="B2821" s="8"/>
      <c r="C2821" s="8"/>
      <c r="D2821" s="8"/>
      <c r="E2821" s="8"/>
      <c r="F2821" s="8"/>
      <c r="G2821" s="8"/>
      <c r="H2821" s="8"/>
      <c r="I2821" s="8"/>
      <c r="J2821" s="8"/>
      <c r="K2821" s="8"/>
      <c r="L2821" s="8"/>
      <c r="M2821" s="8"/>
      <c r="N2821" s="8"/>
      <c r="O2821" s="8"/>
      <c r="P2821" s="4"/>
      <c r="Q2821" s="8"/>
      <c r="R2821" s="4"/>
      <c r="S2821" s="4"/>
    </row>
    <row r="2822" customFormat="false" ht="15" hidden="false" customHeight="false" outlineLevel="0" collapsed="false">
      <c r="A2822" s="4"/>
      <c r="B2822" s="8"/>
      <c r="C2822" s="8"/>
      <c r="D2822" s="8"/>
      <c r="E2822" s="8"/>
      <c r="F2822" s="8"/>
      <c r="G2822" s="8"/>
      <c r="H2822" s="8"/>
      <c r="I2822" s="8"/>
      <c r="J2822" s="8"/>
      <c r="K2822" s="8"/>
      <c r="L2822" s="8"/>
      <c r="M2822" s="8"/>
      <c r="N2822" s="8"/>
      <c r="O2822" s="8"/>
      <c r="P2822" s="4"/>
      <c r="Q2822" s="8"/>
      <c r="R2822" s="4"/>
      <c r="S2822" s="4"/>
    </row>
    <row r="2823" customFormat="false" ht="15" hidden="false" customHeight="false" outlineLevel="0" collapsed="false">
      <c r="A2823" s="4"/>
      <c r="B2823" s="8"/>
      <c r="C2823" s="8"/>
      <c r="D2823" s="8"/>
      <c r="E2823" s="8"/>
      <c r="F2823" s="8"/>
      <c r="G2823" s="8"/>
      <c r="H2823" s="8"/>
      <c r="I2823" s="8"/>
      <c r="J2823" s="8"/>
      <c r="K2823" s="8"/>
      <c r="L2823" s="8"/>
      <c r="M2823" s="8"/>
      <c r="N2823" s="8"/>
      <c r="O2823" s="8"/>
      <c r="P2823" s="4"/>
      <c r="Q2823" s="8"/>
      <c r="R2823" s="4"/>
      <c r="S2823" s="4"/>
    </row>
    <row r="2824" customFormat="false" ht="15" hidden="false" customHeight="false" outlineLevel="0" collapsed="false">
      <c r="A2824" s="4"/>
      <c r="B2824" s="8"/>
      <c r="C2824" s="8"/>
      <c r="D2824" s="8"/>
      <c r="E2824" s="8"/>
      <c r="F2824" s="8"/>
      <c r="G2824" s="8"/>
      <c r="H2824" s="8"/>
      <c r="I2824" s="8"/>
      <c r="J2824" s="8"/>
      <c r="K2824" s="8"/>
      <c r="L2824" s="8"/>
      <c r="M2824" s="8"/>
      <c r="N2824" s="8"/>
      <c r="O2824" s="8"/>
      <c r="P2824" s="4"/>
      <c r="Q2824" s="8"/>
      <c r="R2824" s="4"/>
      <c r="S2824" s="4"/>
    </row>
    <row r="2825" customFormat="false" ht="15" hidden="false" customHeight="false" outlineLevel="0" collapsed="false">
      <c r="A2825" s="4"/>
      <c r="B2825" s="8"/>
      <c r="C2825" s="8"/>
      <c r="D2825" s="8"/>
      <c r="E2825" s="8"/>
      <c r="F2825" s="8"/>
      <c r="G2825" s="8"/>
      <c r="H2825" s="8"/>
      <c r="I2825" s="8"/>
      <c r="J2825" s="8"/>
      <c r="K2825" s="8"/>
      <c r="L2825" s="8"/>
      <c r="M2825" s="8"/>
      <c r="N2825" s="8"/>
      <c r="O2825" s="8"/>
      <c r="P2825" s="4"/>
      <c r="Q2825" s="8"/>
      <c r="R2825" s="4"/>
      <c r="S2825" s="4"/>
    </row>
    <row r="2826" customFormat="false" ht="15" hidden="false" customHeight="false" outlineLevel="0" collapsed="false">
      <c r="A2826" s="4"/>
      <c r="B2826" s="8"/>
      <c r="C2826" s="8"/>
      <c r="D2826" s="8"/>
      <c r="E2826" s="8"/>
      <c r="F2826" s="8"/>
      <c r="G2826" s="8"/>
      <c r="H2826" s="8"/>
      <c r="I2826" s="8"/>
      <c r="J2826" s="8"/>
      <c r="K2826" s="8"/>
      <c r="L2826" s="8"/>
      <c r="M2826" s="8"/>
      <c r="N2826" s="8"/>
      <c r="O2826" s="8"/>
      <c r="P2826" s="4"/>
      <c r="Q2826" s="8"/>
      <c r="R2826" s="4"/>
      <c r="S2826" s="4"/>
    </row>
    <row r="2827" customFormat="false" ht="15" hidden="false" customHeight="false" outlineLevel="0" collapsed="false">
      <c r="A2827" s="4"/>
      <c r="B2827" s="8"/>
      <c r="C2827" s="8"/>
      <c r="D2827" s="8"/>
      <c r="E2827" s="8"/>
      <c r="F2827" s="8"/>
      <c r="G2827" s="8"/>
      <c r="H2827" s="8"/>
      <c r="I2827" s="8"/>
      <c r="J2827" s="8"/>
      <c r="K2827" s="8"/>
      <c r="L2827" s="8"/>
      <c r="M2827" s="8"/>
      <c r="N2827" s="8"/>
      <c r="O2827" s="8"/>
      <c r="P2827" s="4"/>
      <c r="Q2827" s="8"/>
      <c r="R2827" s="4"/>
      <c r="S2827" s="4"/>
    </row>
    <row r="2828" customFormat="false" ht="15" hidden="false" customHeight="false" outlineLevel="0" collapsed="false">
      <c r="A2828" s="4"/>
      <c r="B2828" s="8"/>
      <c r="C2828" s="8"/>
      <c r="D2828" s="8"/>
      <c r="E2828" s="8"/>
      <c r="F2828" s="8"/>
      <c r="G2828" s="8"/>
      <c r="H2828" s="8"/>
      <c r="I2828" s="8"/>
      <c r="J2828" s="8"/>
      <c r="K2828" s="8"/>
      <c r="L2828" s="8"/>
      <c r="M2828" s="8"/>
      <c r="N2828" s="8"/>
      <c r="O2828" s="8"/>
      <c r="P2828" s="4"/>
      <c r="Q2828" s="8"/>
      <c r="R2828" s="4"/>
      <c r="S2828" s="4"/>
    </row>
    <row r="2829" customFormat="false" ht="15" hidden="false" customHeight="false" outlineLevel="0" collapsed="false">
      <c r="A2829" s="4"/>
      <c r="B2829" s="8"/>
      <c r="C2829" s="8"/>
      <c r="D2829" s="8"/>
      <c r="E2829" s="8"/>
      <c r="F2829" s="8"/>
      <c r="G2829" s="8"/>
      <c r="H2829" s="8"/>
      <c r="I2829" s="8"/>
      <c r="J2829" s="8"/>
      <c r="K2829" s="8"/>
      <c r="L2829" s="8"/>
      <c r="M2829" s="8"/>
      <c r="N2829" s="8"/>
      <c r="O2829" s="8"/>
      <c r="P2829" s="4"/>
      <c r="Q2829" s="8"/>
      <c r="R2829" s="4"/>
      <c r="S2829" s="4"/>
    </row>
    <row r="2830" customFormat="false" ht="15" hidden="false" customHeight="false" outlineLevel="0" collapsed="false">
      <c r="A2830" s="4"/>
      <c r="B2830" s="8"/>
      <c r="C2830" s="8"/>
      <c r="D2830" s="8"/>
      <c r="E2830" s="8"/>
      <c r="F2830" s="8"/>
      <c r="G2830" s="8"/>
      <c r="H2830" s="8"/>
      <c r="I2830" s="8"/>
      <c r="J2830" s="8"/>
      <c r="K2830" s="8"/>
      <c r="L2830" s="8"/>
      <c r="M2830" s="8"/>
      <c r="N2830" s="8"/>
      <c r="O2830" s="8"/>
      <c r="P2830" s="4"/>
      <c r="Q2830" s="8"/>
      <c r="R2830" s="4"/>
      <c r="S2830" s="4"/>
    </row>
    <row r="2831" customFormat="false" ht="15" hidden="false" customHeight="false" outlineLevel="0" collapsed="false">
      <c r="A2831" s="4"/>
      <c r="B2831" s="8"/>
      <c r="C2831" s="8"/>
      <c r="D2831" s="8"/>
      <c r="E2831" s="8"/>
      <c r="F2831" s="8"/>
      <c r="G2831" s="8"/>
      <c r="H2831" s="8"/>
      <c r="I2831" s="8"/>
      <c r="J2831" s="8"/>
      <c r="K2831" s="8"/>
      <c r="L2831" s="8"/>
      <c r="M2831" s="8"/>
      <c r="N2831" s="8"/>
      <c r="O2831" s="8"/>
      <c r="P2831" s="4"/>
      <c r="Q2831" s="8"/>
      <c r="R2831" s="4"/>
      <c r="S2831" s="4"/>
    </row>
    <row r="2832" customFormat="false" ht="15" hidden="false" customHeight="false" outlineLevel="0" collapsed="false">
      <c r="A2832" s="4"/>
      <c r="B2832" s="8"/>
      <c r="C2832" s="8"/>
      <c r="D2832" s="8"/>
      <c r="E2832" s="8"/>
      <c r="F2832" s="8"/>
      <c r="G2832" s="8"/>
      <c r="H2832" s="8"/>
      <c r="I2832" s="8"/>
      <c r="J2832" s="8"/>
      <c r="K2832" s="8"/>
      <c r="L2832" s="8"/>
      <c r="M2832" s="8"/>
      <c r="N2832" s="8"/>
      <c r="O2832" s="8"/>
      <c r="P2832" s="4"/>
      <c r="Q2832" s="8"/>
      <c r="R2832" s="4"/>
      <c r="S2832" s="4"/>
    </row>
    <row r="2833" customFormat="false" ht="15" hidden="false" customHeight="false" outlineLevel="0" collapsed="false">
      <c r="A2833" s="4"/>
      <c r="B2833" s="8"/>
      <c r="C2833" s="8"/>
      <c r="D2833" s="8"/>
      <c r="E2833" s="8"/>
      <c r="F2833" s="8"/>
      <c r="G2833" s="8"/>
      <c r="H2833" s="8"/>
      <c r="I2833" s="8"/>
      <c r="J2833" s="8"/>
      <c r="K2833" s="8"/>
      <c r="L2833" s="8"/>
      <c r="M2833" s="8"/>
      <c r="N2833" s="8"/>
      <c r="O2833" s="8"/>
      <c r="P2833" s="4"/>
      <c r="Q2833" s="8"/>
      <c r="R2833" s="4"/>
      <c r="S2833" s="4"/>
    </row>
    <row r="2834" customFormat="false" ht="15" hidden="false" customHeight="false" outlineLevel="0" collapsed="false">
      <c r="A2834" s="4"/>
      <c r="B2834" s="8"/>
      <c r="C2834" s="8"/>
      <c r="D2834" s="8"/>
      <c r="E2834" s="8"/>
      <c r="F2834" s="8"/>
      <c r="G2834" s="8"/>
      <c r="H2834" s="8"/>
      <c r="I2834" s="8"/>
      <c r="J2834" s="8"/>
      <c r="K2834" s="8"/>
      <c r="L2834" s="8"/>
      <c r="M2834" s="8"/>
      <c r="N2834" s="8"/>
      <c r="O2834" s="8"/>
      <c r="P2834" s="4"/>
      <c r="Q2834" s="8"/>
      <c r="R2834" s="4"/>
      <c r="S2834" s="4"/>
    </row>
    <row r="2835" customFormat="false" ht="15" hidden="false" customHeight="false" outlineLevel="0" collapsed="false">
      <c r="A2835" s="4"/>
      <c r="B2835" s="8"/>
      <c r="C2835" s="8"/>
      <c r="D2835" s="8"/>
      <c r="E2835" s="8"/>
      <c r="F2835" s="8"/>
      <c r="G2835" s="8"/>
      <c r="H2835" s="8"/>
      <c r="I2835" s="8"/>
      <c r="J2835" s="8"/>
      <c r="K2835" s="8"/>
      <c r="L2835" s="8"/>
      <c r="M2835" s="8"/>
      <c r="N2835" s="8"/>
      <c r="O2835" s="8"/>
      <c r="P2835" s="4"/>
      <c r="Q2835" s="8"/>
      <c r="R2835" s="4"/>
      <c r="S2835" s="4"/>
    </row>
    <row r="2836" customFormat="false" ht="15" hidden="false" customHeight="false" outlineLevel="0" collapsed="false">
      <c r="A2836" s="4"/>
      <c r="B2836" s="8"/>
      <c r="C2836" s="8"/>
      <c r="D2836" s="8"/>
      <c r="E2836" s="8"/>
      <c r="F2836" s="8"/>
      <c r="G2836" s="8"/>
      <c r="H2836" s="8"/>
      <c r="I2836" s="8"/>
      <c r="J2836" s="8"/>
      <c r="K2836" s="8"/>
      <c r="L2836" s="8"/>
      <c r="M2836" s="8"/>
      <c r="N2836" s="8"/>
      <c r="O2836" s="8"/>
      <c r="P2836" s="4"/>
      <c r="Q2836" s="8"/>
      <c r="R2836" s="4"/>
      <c r="S2836" s="4"/>
    </row>
    <row r="2837" customFormat="false" ht="15" hidden="false" customHeight="false" outlineLevel="0" collapsed="false">
      <c r="A2837" s="4"/>
      <c r="B2837" s="8"/>
      <c r="C2837" s="8"/>
      <c r="D2837" s="8"/>
      <c r="E2837" s="8"/>
      <c r="F2837" s="8"/>
      <c r="G2837" s="8"/>
      <c r="H2837" s="8"/>
      <c r="I2837" s="8"/>
      <c r="J2837" s="8"/>
      <c r="K2837" s="8"/>
      <c r="L2837" s="8"/>
      <c r="M2837" s="8"/>
      <c r="N2837" s="8"/>
      <c r="O2837" s="8"/>
      <c r="P2837" s="4"/>
      <c r="Q2837" s="8"/>
      <c r="R2837" s="4"/>
      <c r="S2837" s="4"/>
    </row>
    <row r="2838" customFormat="false" ht="15" hidden="false" customHeight="false" outlineLevel="0" collapsed="false">
      <c r="A2838" s="4"/>
      <c r="B2838" s="8"/>
      <c r="C2838" s="8"/>
      <c r="D2838" s="8"/>
      <c r="E2838" s="8"/>
      <c r="F2838" s="8"/>
      <c r="G2838" s="8"/>
      <c r="H2838" s="8"/>
      <c r="I2838" s="8"/>
      <c r="J2838" s="8"/>
      <c r="K2838" s="8"/>
      <c r="L2838" s="8"/>
      <c r="M2838" s="8"/>
      <c r="N2838" s="8"/>
      <c r="O2838" s="8"/>
      <c r="P2838" s="4"/>
      <c r="Q2838" s="8"/>
      <c r="R2838" s="4"/>
      <c r="S2838" s="4"/>
    </row>
    <row r="2839" customFormat="false" ht="15" hidden="false" customHeight="false" outlineLevel="0" collapsed="false">
      <c r="A2839" s="4"/>
      <c r="B2839" s="8"/>
      <c r="C2839" s="8"/>
      <c r="D2839" s="8"/>
      <c r="E2839" s="8"/>
      <c r="F2839" s="8"/>
      <c r="G2839" s="8"/>
      <c r="H2839" s="8"/>
      <c r="I2839" s="8"/>
      <c r="J2839" s="8"/>
      <c r="K2839" s="8"/>
      <c r="L2839" s="8"/>
      <c r="M2839" s="8"/>
      <c r="N2839" s="8"/>
      <c r="O2839" s="8"/>
      <c r="P2839" s="4"/>
      <c r="Q2839" s="8"/>
      <c r="R2839" s="4"/>
      <c r="S2839" s="4"/>
    </row>
    <row r="2840" customFormat="false" ht="15" hidden="false" customHeight="false" outlineLevel="0" collapsed="false">
      <c r="A2840" s="4"/>
      <c r="B2840" s="8"/>
      <c r="C2840" s="8"/>
      <c r="D2840" s="8"/>
      <c r="E2840" s="8"/>
      <c r="F2840" s="8"/>
      <c r="G2840" s="8"/>
      <c r="H2840" s="8"/>
      <c r="I2840" s="8"/>
      <c r="J2840" s="8"/>
      <c r="K2840" s="8"/>
      <c r="L2840" s="8"/>
      <c r="M2840" s="8"/>
      <c r="N2840" s="8"/>
      <c r="O2840" s="8"/>
      <c r="P2840" s="4"/>
      <c r="Q2840" s="8"/>
      <c r="R2840" s="4"/>
      <c r="S2840" s="4"/>
    </row>
    <row r="2841" customFormat="false" ht="15" hidden="false" customHeight="false" outlineLevel="0" collapsed="false">
      <c r="A2841" s="4"/>
      <c r="B2841" s="8"/>
      <c r="C2841" s="8"/>
      <c r="D2841" s="8"/>
      <c r="E2841" s="8"/>
      <c r="F2841" s="8"/>
      <c r="G2841" s="8"/>
      <c r="H2841" s="8"/>
      <c r="I2841" s="8"/>
      <c r="J2841" s="8"/>
      <c r="K2841" s="8"/>
      <c r="L2841" s="8"/>
      <c r="M2841" s="8"/>
      <c r="N2841" s="8"/>
      <c r="O2841" s="8"/>
      <c r="P2841" s="4"/>
      <c r="Q2841" s="8"/>
      <c r="R2841" s="4"/>
      <c r="S2841" s="4"/>
    </row>
    <row r="2842" customFormat="false" ht="15" hidden="false" customHeight="false" outlineLevel="0" collapsed="false">
      <c r="A2842" s="4"/>
      <c r="B2842" s="8"/>
      <c r="C2842" s="8"/>
      <c r="D2842" s="8"/>
      <c r="E2842" s="8"/>
      <c r="F2842" s="8"/>
      <c r="G2842" s="8"/>
      <c r="H2842" s="8"/>
      <c r="I2842" s="8"/>
      <c r="J2842" s="8"/>
      <c r="K2842" s="8"/>
      <c r="L2842" s="8"/>
      <c r="M2842" s="8"/>
      <c r="N2842" s="8"/>
      <c r="O2842" s="8"/>
      <c r="P2842" s="4"/>
      <c r="Q2842" s="8"/>
      <c r="R2842" s="4"/>
      <c r="S2842" s="4"/>
    </row>
    <row r="2843" customFormat="false" ht="15" hidden="false" customHeight="false" outlineLevel="0" collapsed="false">
      <c r="A2843" s="4"/>
      <c r="B2843" s="8"/>
      <c r="C2843" s="8"/>
      <c r="D2843" s="8"/>
      <c r="E2843" s="8"/>
      <c r="F2843" s="8"/>
      <c r="G2843" s="8"/>
      <c r="H2843" s="8"/>
      <c r="I2843" s="8"/>
      <c r="J2843" s="8"/>
      <c r="K2843" s="8"/>
      <c r="L2843" s="8"/>
      <c r="M2843" s="8"/>
      <c r="N2843" s="8"/>
      <c r="O2843" s="8"/>
      <c r="P2843" s="4"/>
      <c r="Q2843" s="8"/>
      <c r="R2843" s="4"/>
      <c r="S2843" s="4"/>
    </row>
    <row r="2844" customFormat="false" ht="15" hidden="false" customHeight="false" outlineLevel="0" collapsed="false">
      <c r="A2844" s="4"/>
      <c r="B2844" s="8"/>
      <c r="C2844" s="8"/>
      <c r="D2844" s="8"/>
      <c r="E2844" s="8"/>
      <c r="F2844" s="8"/>
      <c r="G2844" s="8"/>
      <c r="H2844" s="8"/>
      <c r="I2844" s="8"/>
      <c r="J2844" s="8"/>
      <c r="K2844" s="8"/>
      <c r="L2844" s="8"/>
      <c r="M2844" s="8"/>
      <c r="N2844" s="8"/>
      <c r="O2844" s="8"/>
      <c r="P2844" s="4"/>
      <c r="Q2844" s="8"/>
      <c r="R2844" s="4"/>
      <c r="S2844" s="4"/>
    </row>
    <row r="2845" customFormat="false" ht="15" hidden="false" customHeight="false" outlineLevel="0" collapsed="false">
      <c r="A2845" s="4"/>
      <c r="B2845" s="8"/>
      <c r="C2845" s="8"/>
      <c r="D2845" s="8"/>
      <c r="E2845" s="8"/>
      <c r="F2845" s="8"/>
      <c r="G2845" s="8"/>
      <c r="H2845" s="8"/>
      <c r="I2845" s="8"/>
      <c r="J2845" s="8"/>
      <c r="K2845" s="8"/>
      <c r="L2845" s="8"/>
      <c r="M2845" s="8"/>
      <c r="N2845" s="8"/>
      <c r="O2845" s="8"/>
      <c r="P2845" s="4"/>
      <c r="Q2845" s="8"/>
      <c r="R2845" s="4"/>
      <c r="S2845" s="4"/>
    </row>
    <row r="2846" customFormat="false" ht="15" hidden="false" customHeight="false" outlineLevel="0" collapsed="false">
      <c r="A2846" s="4"/>
      <c r="B2846" s="8"/>
      <c r="C2846" s="8"/>
      <c r="D2846" s="8"/>
      <c r="E2846" s="8"/>
      <c r="F2846" s="8"/>
      <c r="G2846" s="8"/>
      <c r="H2846" s="8"/>
      <c r="I2846" s="8"/>
      <c r="J2846" s="8"/>
      <c r="K2846" s="8"/>
      <c r="L2846" s="8"/>
      <c r="M2846" s="8"/>
      <c r="N2846" s="8"/>
      <c r="O2846" s="8"/>
      <c r="P2846" s="4"/>
      <c r="Q2846" s="8"/>
      <c r="R2846" s="4"/>
      <c r="S2846" s="4"/>
    </row>
    <row r="2847" customFormat="false" ht="15" hidden="false" customHeight="false" outlineLevel="0" collapsed="false">
      <c r="A2847" s="4"/>
      <c r="B2847" s="8"/>
      <c r="C2847" s="8"/>
      <c r="D2847" s="8"/>
      <c r="E2847" s="8"/>
      <c r="F2847" s="8"/>
      <c r="G2847" s="8"/>
      <c r="H2847" s="8"/>
      <c r="I2847" s="8"/>
      <c r="J2847" s="8"/>
      <c r="K2847" s="8"/>
      <c r="L2847" s="8"/>
      <c r="M2847" s="8"/>
      <c r="N2847" s="8"/>
      <c r="O2847" s="8"/>
      <c r="P2847" s="4"/>
      <c r="Q2847" s="8"/>
      <c r="R2847" s="4"/>
      <c r="S2847" s="4"/>
    </row>
    <row r="2848" customFormat="false" ht="15" hidden="false" customHeight="false" outlineLevel="0" collapsed="false">
      <c r="A2848" s="4"/>
      <c r="B2848" s="8"/>
      <c r="C2848" s="8"/>
      <c r="D2848" s="8"/>
      <c r="E2848" s="8"/>
      <c r="F2848" s="8"/>
      <c r="G2848" s="8"/>
      <c r="H2848" s="8"/>
      <c r="I2848" s="8"/>
      <c r="J2848" s="8"/>
      <c r="K2848" s="8"/>
      <c r="L2848" s="8"/>
      <c r="M2848" s="8"/>
      <c r="N2848" s="8"/>
      <c r="O2848" s="8"/>
      <c r="P2848" s="4"/>
      <c r="Q2848" s="8"/>
      <c r="R2848" s="4"/>
      <c r="S2848" s="4"/>
    </row>
    <row r="2849" customFormat="false" ht="15" hidden="false" customHeight="false" outlineLevel="0" collapsed="false">
      <c r="A2849" s="4"/>
      <c r="B2849" s="8"/>
      <c r="C2849" s="8"/>
      <c r="D2849" s="8"/>
      <c r="E2849" s="8"/>
      <c r="F2849" s="8"/>
      <c r="G2849" s="8"/>
      <c r="H2849" s="8"/>
      <c r="I2849" s="8"/>
      <c r="J2849" s="8"/>
      <c r="K2849" s="8"/>
      <c r="L2849" s="8"/>
      <c r="M2849" s="8"/>
      <c r="N2849" s="8"/>
      <c r="O2849" s="8"/>
      <c r="P2849" s="4"/>
      <c r="Q2849" s="8"/>
      <c r="R2849" s="4"/>
      <c r="S2849" s="4"/>
    </row>
    <row r="2850" customFormat="false" ht="15" hidden="false" customHeight="false" outlineLevel="0" collapsed="false">
      <c r="A2850" s="4"/>
      <c r="B2850" s="8"/>
      <c r="C2850" s="8"/>
      <c r="D2850" s="8"/>
      <c r="E2850" s="8"/>
      <c r="F2850" s="8"/>
      <c r="G2850" s="8"/>
      <c r="H2850" s="8"/>
      <c r="I2850" s="8"/>
      <c r="J2850" s="8"/>
      <c r="K2850" s="8"/>
      <c r="L2850" s="8"/>
      <c r="M2850" s="8"/>
      <c r="N2850" s="8"/>
      <c r="O2850" s="8"/>
      <c r="P2850" s="4"/>
      <c r="Q2850" s="8"/>
      <c r="R2850" s="4"/>
      <c r="S2850" s="4"/>
    </row>
    <row r="2851" customFormat="false" ht="15" hidden="false" customHeight="false" outlineLevel="0" collapsed="false">
      <c r="A2851" s="4"/>
      <c r="B2851" s="8"/>
      <c r="C2851" s="8"/>
      <c r="D2851" s="8"/>
      <c r="E2851" s="8"/>
      <c r="F2851" s="8"/>
      <c r="G2851" s="8"/>
      <c r="H2851" s="8"/>
      <c r="I2851" s="8"/>
      <c r="J2851" s="8"/>
      <c r="K2851" s="8"/>
      <c r="L2851" s="8"/>
      <c r="M2851" s="8"/>
      <c r="N2851" s="8"/>
      <c r="O2851" s="8"/>
      <c r="P2851" s="4"/>
      <c r="Q2851" s="8"/>
      <c r="R2851" s="4"/>
      <c r="S2851" s="4"/>
    </row>
    <row r="2852" customFormat="false" ht="15" hidden="false" customHeight="false" outlineLevel="0" collapsed="false">
      <c r="A2852" s="4"/>
      <c r="B2852" s="8"/>
      <c r="C2852" s="8"/>
      <c r="D2852" s="8"/>
      <c r="E2852" s="8"/>
      <c r="F2852" s="8"/>
      <c r="G2852" s="8"/>
      <c r="H2852" s="8"/>
      <c r="I2852" s="8"/>
      <c r="J2852" s="8"/>
      <c r="K2852" s="8"/>
      <c r="L2852" s="8"/>
      <c r="M2852" s="8"/>
      <c r="N2852" s="8"/>
      <c r="O2852" s="8"/>
      <c r="P2852" s="4"/>
      <c r="Q2852" s="8"/>
      <c r="R2852" s="4"/>
      <c r="S2852" s="4"/>
    </row>
    <row r="2853" customFormat="false" ht="15" hidden="false" customHeight="false" outlineLevel="0" collapsed="false">
      <c r="A2853" s="4"/>
      <c r="B2853" s="8"/>
      <c r="C2853" s="8"/>
      <c r="D2853" s="8"/>
      <c r="E2853" s="8"/>
      <c r="F2853" s="8"/>
      <c r="G2853" s="8"/>
      <c r="H2853" s="8"/>
      <c r="I2853" s="8"/>
      <c r="J2853" s="8"/>
      <c r="K2853" s="8"/>
      <c r="L2853" s="8"/>
      <c r="M2853" s="8"/>
      <c r="N2853" s="8"/>
      <c r="O2853" s="8"/>
      <c r="P2853" s="4"/>
      <c r="Q2853" s="8"/>
      <c r="R2853" s="4"/>
      <c r="S2853" s="4"/>
    </row>
    <row r="2854" customFormat="false" ht="15" hidden="false" customHeight="false" outlineLevel="0" collapsed="false">
      <c r="A2854" s="4"/>
      <c r="B2854" s="8"/>
      <c r="C2854" s="8"/>
      <c r="D2854" s="8"/>
      <c r="E2854" s="8"/>
      <c r="F2854" s="8"/>
      <c r="G2854" s="8"/>
      <c r="H2854" s="8"/>
      <c r="I2854" s="8"/>
      <c r="J2854" s="8"/>
      <c r="K2854" s="8"/>
      <c r="L2854" s="8"/>
      <c r="M2854" s="8"/>
      <c r="N2854" s="8"/>
      <c r="O2854" s="8"/>
      <c r="P2854" s="4"/>
      <c r="Q2854" s="8"/>
      <c r="R2854" s="4"/>
      <c r="S2854" s="4"/>
    </row>
    <row r="2855" customFormat="false" ht="15" hidden="false" customHeight="false" outlineLevel="0" collapsed="false">
      <c r="A2855" s="4"/>
      <c r="B2855" s="8"/>
      <c r="C2855" s="8"/>
      <c r="D2855" s="8"/>
      <c r="E2855" s="8"/>
      <c r="F2855" s="8"/>
      <c r="G2855" s="8"/>
      <c r="H2855" s="8"/>
      <c r="I2855" s="8"/>
      <c r="J2855" s="8"/>
      <c r="K2855" s="8"/>
      <c r="L2855" s="8"/>
      <c r="M2855" s="8"/>
      <c r="N2855" s="8"/>
      <c r="O2855" s="8"/>
      <c r="P2855" s="4"/>
      <c r="Q2855" s="8"/>
      <c r="R2855" s="4"/>
      <c r="S2855" s="4"/>
    </row>
    <row r="2856" customFormat="false" ht="15" hidden="false" customHeight="false" outlineLevel="0" collapsed="false">
      <c r="A2856" s="4"/>
      <c r="B2856" s="8"/>
      <c r="C2856" s="8"/>
      <c r="D2856" s="8"/>
      <c r="E2856" s="8"/>
      <c r="F2856" s="8"/>
      <c r="G2856" s="8"/>
      <c r="H2856" s="8"/>
      <c r="I2856" s="8"/>
      <c r="J2856" s="8"/>
      <c r="K2856" s="8"/>
      <c r="L2856" s="8"/>
      <c r="M2856" s="8"/>
      <c r="N2856" s="8"/>
      <c r="O2856" s="8"/>
      <c r="P2856" s="4"/>
      <c r="Q2856" s="8"/>
      <c r="R2856" s="4"/>
      <c r="S2856" s="4"/>
    </row>
    <row r="2857" customFormat="false" ht="15" hidden="false" customHeight="false" outlineLevel="0" collapsed="false">
      <c r="A2857" s="4"/>
      <c r="B2857" s="8"/>
      <c r="C2857" s="8"/>
      <c r="D2857" s="8"/>
      <c r="E2857" s="8"/>
      <c r="F2857" s="8"/>
      <c r="G2857" s="8"/>
      <c r="H2857" s="8"/>
      <c r="I2857" s="8"/>
      <c r="J2857" s="8"/>
      <c r="K2857" s="8"/>
      <c r="L2857" s="8"/>
      <c r="M2857" s="8"/>
      <c r="N2857" s="8"/>
      <c r="O2857" s="8"/>
      <c r="P2857" s="4"/>
      <c r="Q2857" s="8"/>
      <c r="R2857" s="4"/>
      <c r="S2857" s="4"/>
    </row>
    <row r="2858" customFormat="false" ht="15" hidden="false" customHeight="false" outlineLevel="0" collapsed="false">
      <c r="A2858" s="4"/>
      <c r="B2858" s="8"/>
      <c r="C2858" s="8"/>
      <c r="D2858" s="8"/>
      <c r="E2858" s="8"/>
      <c r="F2858" s="8"/>
      <c r="G2858" s="8"/>
      <c r="H2858" s="8"/>
      <c r="I2858" s="8"/>
      <c r="J2858" s="8"/>
      <c r="K2858" s="8"/>
      <c r="L2858" s="8"/>
      <c r="M2858" s="8"/>
      <c r="N2858" s="8"/>
      <c r="O2858" s="8"/>
      <c r="P2858" s="4"/>
      <c r="Q2858" s="8"/>
      <c r="R2858" s="4"/>
      <c r="S2858" s="4"/>
    </row>
    <row r="2859" customFormat="false" ht="15" hidden="false" customHeight="false" outlineLevel="0" collapsed="false">
      <c r="A2859" s="4"/>
      <c r="B2859" s="8"/>
      <c r="C2859" s="8"/>
      <c r="D2859" s="8"/>
      <c r="E2859" s="8"/>
      <c r="F2859" s="8"/>
      <c r="G2859" s="8"/>
      <c r="H2859" s="8"/>
      <c r="I2859" s="8"/>
      <c r="J2859" s="8"/>
      <c r="K2859" s="8"/>
      <c r="L2859" s="8"/>
      <c r="M2859" s="8"/>
      <c r="N2859" s="8"/>
      <c r="O2859" s="8"/>
      <c r="P2859" s="4"/>
      <c r="Q2859" s="8"/>
      <c r="R2859" s="4"/>
      <c r="S2859" s="4"/>
    </row>
    <row r="2860" customFormat="false" ht="15" hidden="false" customHeight="false" outlineLevel="0" collapsed="false">
      <c r="A2860" s="4"/>
      <c r="B2860" s="8"/>
      <c r="C2860" s="8"/>
      <c r="D2860" s="8"/>
      <c r="E2860" s="8"/>
      <c r="F2860" s="8"/>
      <c r="G2860" s="8"/>
      <c r="H2860" s="8"/>
      <c r="I2860" s="8"/>
      <c r="J2860" s="8"/>
      <c r="K2860" s="8"/>
      <c r="L2860" s="8"/>
      <c r="M2860" s="8"/>
      <c r="N2860" s="8"/>
      <c r="O2860" s="8"/>
      <c r="P2860" s="4"/>
      <c r="Q2860" s="8"/>
      <c r="R2860" s="4"/>
      <c r="S2860" s="4"/>
    </row>
    <row r="2861" customFormat="false" ht="15" hidden="false" customHeight="false" outlineLevel="0" collapsed="false">
      <c r="A2861" s="4"/>
      <c r="B2861" s="8"/>
      <c r="C2861" s="8"/>
      <c r="D2861" s="8"/>
      <c r="E2861" s="8"/>
      <c r="F2861" s="8"/>
      <c r="G2861" s="8"/>
      <c r="H2861" s="8"/>
      <c r="I2861" s="8"/>
      <c r="J2861" s="8"/>
      <c r="K2861" s="8"/>
      <c r="L2861" s="8"/>
      <c r="M2861" s="8"/>
      <c r="N2861" s="8"/>
      <c r="O2861" s="8"/>
      <c r="P2861" s="4"/>
      <c r="Q2861" s="8"/>
      <c r="R2861" s="4"/>
      <c r="S2861" s="4"/>
    </row>
    <row r="2862" customFormat="false" ht="15" hidden="false" customHeight="false" outlineLevel="0" collapsed="false">
      <c r="A2862" s="4"/>
      <c r="B2862" s="8"/>
      <c r="C2862" s="8"/>
      <c r="D2862" s="8"/>
      <c r="E2862" s="8"/>
      <c r="F2862" s="8"/>
      <c r="G2862" s="8"/>
      <c r="H2862" s="8"/>
      <c r="I2862" s="8"/>
      <c r="J2862" s="8"/>
      <c r="K2862" s="8"/>
      <c r="L2862" s="8"/>
      <c r="M2862" s="8"/>
      <c r="N2862" s="8"/>
      <c r="O2862" s="8"/>
      <c r="P2862" s="4"/>
      <c r="Q2862" s="8"/>
      <c r="R2862" s="4"/>
      <c r="S2862" s="4"/>
    </row>
    <row r="2863" customFormat="false" ht="15" hidden="false" customHeight="false" outlineLevel="0" collapsed="false">
      <c r="A2863" s="4"/>
      <c r="B2863" s="8"/>
      <c r="C2863" s="8"/>
      <c r="D2863" s="8"/>
      <c r="E2863" s="8"/>
      <c r="F2863" s="8"/>
      <c r="G2863" s="8"/>
      <c r="H2863" s="8"/>
      <c r="I2863" s="8"/>
      <c r="J2863" s="8"/>
      <c r="K2863" s="8"/>
      <c r="L2863" s="8"/>
      <c r="M2863" s="8"/>
      <c r="N2863" s="8"/>
      <c r="O2863" s="8"/>
      <c r="P2863" s="4"/>
      <c r="Q2863" s="8"/>
      <c r="R2863" s="4"/>
      <c r="S2863" s="4"/>
    </row>
    <row r="2864" customFormat="false" ht="15" hidden="false" customHeight="false" outlineLevel="0" collapsed="false">
      <c r="A2864" s="4"/>
      <c r="B2864" s="8"/>
      <c r="C2864" s="8"/>
      <c r="D2864" s="8"/>
      <c r="E2864" s="8"/>
      <c r="F2864" s="8"/>
      <c r="G2864" s="8"/>
      <c r="H2864" s="8"/>
      <c r="I2864" s="8"/>
      <c r="J2864" s="8"/>
      <c r="K2864" s="8"/>
      <c r="L2864" s="8"/>
      <c r="M2864" s="8"/>
      <c r="N2864" s="8"/>
      <c r="O2864" s="8"/>
      <c r="P2864" s="4"/>
      <c r="Q2864" s="8"/>
      <c r="R2864" s="4"/>
      <c r="S2864" s="4"/>
    </row>
    <row r="2865" customFormat="false" ht="15" hidden="false" customHeight="false" outlineLevel="0" collapsed="false">
      <c r="A2865" s="4"/>
      <c r="B2865" s="8"/>
      <c r="C2865" s="8"/>
      <c r="D2865" s="8"/>
      <c r="E2865" s="8"/>
      <c r="F2865" s="8"/>
      <c r="G2865" s="8"/>
      <c r="H2865" s="8"/>
      <c r="I2865" s="8"/>
      <c r="J2865" s="8"/>
      <c r="K2865" s="8"/>
      <c r="L2865" s="8"/>
      <c r="M2865" s="8"/>
      <c r="N2865" s="8"/>
      <c r="O2865" s="8"/>
      <c r="P2865" s="4"/>
      <c r="Q2865" s="8"/>
      <c r="R2865" s="4"/>
      <c r="S2865" s="4"/>
    </row>
    <row r="2866" customFormat="false" ht="15" hidden="false" customHeight="false" outlineLevel="0" collapsed="false">
      <c r="A2866" s="4"/>
      <c r="B2866" s="8"/>
      <c r="C2866" s="8"/>
      <c r="D2866" s="8"/>
      <c r="E2866" s="8"/>
      <c r="F2866" s="8"/>
      <c r="G2866" s="8"/>
      <c r="H2866" s="8"/>
      <c r="I2866" s="8"/>
      <c r="J2866" s="8"/>
      <c r="K2866" s="8"/>
      <c r="L2866" s="8"/>
      <c r="M2866" s="8"/>
      <c r="N2866" s="8"/>
      <c r="O2866" s="8"/>
      <c r="P2866" s="4"/>
      <c r="Q2866" s="8"/>
      <c r="R2866" s="4"/>
      <c r="S2866" s="4"/>
    </row>
    <row r="2867" customFormat="false" ht="15" hidden="false" customHeight="false" outlineLevel="0" collapsed="false">
      <c r="A2867" s="4"/>
      <c r="B2867" s="8"/>
      <c r="C2867" s="8"/>
      <c r="D2867" s="8"/>
      <c r="E2867" s="8"/>
      <c r="F2867" s="8"/>
      <c r="G2867" s="8"/>
      <c r="H2867" s="8"/>
      <c r="I2867" s="8"/>
      <c r="J2867" s="8"/>
      <c r="K2867" s="8"/>
      <c r="L2867" s="8"/>
      <c r="M2867" s="8"/>
      <c r="N2867" s="8"/>
      <c r="O2867" s="8"/>
      <c r="P2867" s="4"/>
      <c r="Q2867" s="8"/>
      <c r="R2867" s="4"/>
      <c r="S2867" s="4"/>
    </row>
    <row r="2868" customFormat="false" ht="15" hidden="false" customHeight="false" outlineLevel="0" collapsed="false">
      <c r="A2868" s="4"/>
      <c r="B2868" s="8"/>
      <c r="C2868" s="8"/>
      <c r="D2868" s="8"/>
      <c r="E2868" s="8"/>
      <c r="F2868" s="8"/>
      <c r="G2868" s="8"/>
      <c r="H2868" s="8"/>
      <c r="I2868" s="8"/>
      <c r="J2868" s="8"/>
      <c r="K2868" s="8"/>
      <c r="L2868" s="8"/>
      <c r="M2868" s="8"/>
      <c r="N2868" s="8"/>
      <c r="O2868" s="8"/>
      <c r="P2868" s="4"/>
      <c r="Q2868" s="8"/>
      <c r="R2868" s="4"/>
      <c r="S2868" s="4"/>
    </row>
    <row r="2869" customFormat="false" ht="15" hidden="false" customHeight="false" outlineLevel="0" collapsed="false">
      <c r="A2869" s="4"/>
      <c r="B2869" s="8"/>
      <c r="C2869" s="8"/>
      <c r="D2869" s="8"/>
      <c r="E2869" s="8"/>
      <c r="F2869" s="8"/>
      <c r="G2869" s="8"/>
      <c r="H2869" s="8"/>
      <c r="I2869" s="8"/>
      <c r="J2869" s="8"/>
      <c r="K2869" s="8"/>
      <c r="L2869" s="8"/>
      <c r="M2869" s="8"/>
      <c r="N2869" s="8"/>
      <c r="O2869" s="8"/>
      <c r="P2869" s="4"/>
      <c r="Q2869" s="8"/>
      <c r="R2869" s="4"/>
      <c r="S2869" s="4"/>
    </row>
    <row r="2870" customFormat="false" ht="15" hidden="false" customHeight="false" outlineLevel="0" collapsed="false">
      <c r="A2870" s="4"/>
      <c r="B2870" s="8"/>
      <c r="C2870" s="8"/>
      <c r="D2870" s="8"/>
      <c r="E2870" s="8"/>
      <c r="F2870" s="8"/>
      <c r="G2870" s="8"/>
      <c r="H2870" s="8"/>
      <c r="I2870" s="8"/>
      <c r="J2870" s="8"/>
      <c r="K2870" s="8"/>
      <c r="L2870" s="8"/>
      <c r="M2870" s="8"/>
      <c r="N2870" s="8"/>
      <c r="O2870" s="8"/>
      <c r="P2870" s="4"/>
      <c r="Q2870" s="8"/>
      <c r="R2870" s="4"/>
      <c r="S2870" s="4"/>
    </row>
    <row r="2871" customFormat="false" ht="15" hidden="false" customHeight="false" outlineLevel="0" collapsed="false">
      <c r="A2871" s="4"/>
      <c r="B2871" s="8"/>
      <c r="C2871" s="8"/>
      <c r="D2871" s="8"/>
      <c r="E2871" s="8"/>
      <c r="F2871" s="8"/>
      <c r="G2871" s="8"/>
      <c r="H2871" s="8"/>
      <c r="I2871" s="8"/>
      <c r="J2871" s="8"/>
      <c r="K2871" s="8"/>
      <c r="L2871" s="8"/>
      <c r="M2871" s="8"/>
      <c r="N2871" s="8"/>
      <c r="O2871" s="8"/>
      <c r="P2871" s="4"/>
      <c r="Q2871" s="8"/>
      <c r="R2871" s="4"/>
      <c r="S2871" s="4"/>
    </row>
    <row r="2872" customFormat="false" ht="15" hidden="false" customHeight="false" outlineLevel="0" collapsed="false">
      <c r="A2872" s="4"/>
      <c r="B2872" s="8"/>
      <c r="C2872" s="8"/>
      <c r="D2872" s="8"/>
      <c r="E2872" s="8"/>
      <c r="F2872" s="8"/>
      <c r="G2872" s="8"/>
      <c r="H2872" s="8"/>
      <c r="I2872" s="8"/>
      <c r="J2872" s="8"/>
      <c r="K2872" s="8"/>
      <c r="L2872" s="8"/>
      <c r="M2872" s="8"/>
      <c r="N2872" s="8"/>
      <c r="O2872" s="8"/>
      <c r="P2872" s="4"/>
      <c r="Q2872" s="8"/>
      <c r="R2872" s="4"/>
      <c r="S2872" s="4"/>
    </row>
    <row r="2873" customFormat="false" ht="15" hidden="false" customHeight="false" outlineLevel="0" collapsed="false">
      <c r="A2873" s="4"/>
      <c r="B2873" s="8"/>
      <c r="C2873" s="8"/>
      <c r="D2873" s="8"/>
      <c r="E2873" s="8"/>
      <c r="F2873" s="8"/>
      <c r="G2873" s="8"/>
      <c r="H2873" s="8"/>
      <c r="I2873" s="8"/>
      <c r="J2873" s="8"/>
      <c r="K2873" s="8"/>
      <c r="L2873" s="8"/>
      <c r="M2873" s="8"/>
      <c r="N2873" s="8"/>
      <c r="O2873" s="8"/>
      <c r="P2873" s="4"/>
      <c r="Q2873" s="8"/>
      <c r="R2873" s="4"/>
      <c r="S2873" s="4"/>
    </row>
    <row r="2874" customFormat="false" ht="15" hidden="false" customHeight="false" outlineLevel="0" collapsed="false">
      <c r="A2874" s="4"/>
      <c r="B2874" s="8"/>
      <c r="C2874" s="8"/>
      <c r="D2874" s="8"/>
      <c r="E2874" s="8"/>
      <c r="F2874" s="8"/>
      <c r="G2874" s="8"/>
      <c r="H2874" s="8"/>
      <c r="I2874" s="8"/>
      <c r="J2874" s="8"/>
      <c r="K2874" s="8"/>
      <c r="L2874" s="8"/>
      <c r="M2874" s="8"/>
      <c r="N2874" s="8"/>
      <c r="O2874" s="8"/>
      <c r="P2874" s="4"/>
      <c r="Q2874" s="8"/>
      <c r="R2874" s="4"/>
      <c r="S2874" s="4"/>
    </row>
    <row r="2875" customFormat="false" ht="15" hidden="false" customHeight="false" outlineLevel="0" collapsed="false">
      <c r="A2875" s="4"/>
      <c r="B2875" s="8"/>
      <c r="C2875" s="8"/>
      <c r="D2875" s="8"/>
      <c r="E2875" s="8"/>
      <c r="F2875" s="8"/>
      <c r="G2875" s="8"/>
      <c r="H2875" s="8"/>
      <c r="I2875" s="8"/>
      <c r="J2875" s="8"/>
      <c r="K2875" s="8"/>
      <c r="L2875" s="8"/>
      <c r="M2875" s="8"/>
      <c r="N2875" s="8"/>
      <c r="O2875" s="8"/>
      <c r="P2875" s="4"/>
      <c r="Q2875" s="8"/>
      <c r="R2875" s="4"/>
      <c r="S2875" s="4"/>
    </row>
    <row r="2876" customFormat="false" ht="15" hidden="false" customHeight="false" outlineLevel="0" collapsed="false">
      <c r="A2876" s="4"/>
      <c r="B2876" s="8"/>
      <c r="C2876" s="8"/>
      <c r="D2876" s="8"/>
      <c r="E2876" s="8"/>
      <c r="F2876" s="8"/>
      <c r="G2876" s="8"/>
      <c r="H2876" s="8"/>
      <c r="I2876" s="8"/>
      <c r="J2876" s="8"/>
      <c r="K2876" s="8"/>
      <c r="L2876" s="8"/>
      <c r="M2876" s="8"/>
      <c r="N2876" s="8"/>
      <c r="O2876" s="8"/>
      <c r="P2876" s="4"/>
      <c r="Q2876" s="8"/>
      <c r="R2876" s="4"/>
      <c r="S2876" s="4"/>
    </row>
    <row r="2877" customFormat="false" ht="15" hidden="false" customHeight="false" outlineLevel="0" collapsed="false">
      <c r="A2877" s="4"/>
      <c r="B2877" s="8"/>
      <c r="C2877" s="8"/>
      <c r="D2877" s="8"/>
      <c r="E2877" s="8"/>
      <c r="F2877" s="8"/>
      <c r="G2877" s="8"/>
      <c r="H2877" s="8"/>
      <c r="I2877" s="8"/>
      <c r="J2877" s="8"/>
      <c r="K2877" s="8"/>
      <c r="L2877" s="8"/>
      <c r="M2877" s="8"/>
      <c r="N2877" s="8"/>
      <c r="O2877" s="8"/>
      <c r="P2877" s="4"/>
      <c r="Q2877" s="8"/>
      <c r="R2877" s="4"/>
      <c r="S2877" s="4"/>
    </row>
    <row r="2878" customFormat="false" ht="15" hidden="false" customHeight="false" outlineLevel="0" collapsed="false">
      <c r="A2878" s="4"/>
      <c r="B2878" s="8"/>
      <c r="C2878" s="8"/>
      <c r="D2878" s="8"/>
      <c r="E2878" s="8"/>
      <c r="F2878" s="8"/>
      <c r="G2878" s="8"/>
      <c r="H2878" s="8"/>
      <c r="I2878" s="8"/>
      <c r="J2878" s="8"/>
      <c r="K2878" s="8"/>
      <c r="L2878" s="8"/>
      <c r="M2878" s="8"/>
      <c r="N2878" s="8"/>
      <c r="O2878" s="8"/>
      <c r="P2878" s="4"/>
      <c r="Q2878" s="8"/>
      <c r="R2878" s="4"/>
      <c r="S2878" s="4"/>
    </row>
    <row r="2879" customFormat="false" ht="15" hidden="false" customHeight="false" outlineLevel="0" collapsed="false">
      <c r="A2879" s="4"/>
      <c r="B2879" s="8"/>
      <c r="C2879" s="8"/>
      <c r="D2879" s="8"/>
      <c r="E2879" s="8"/>
      <c r="F2879" s="8"/>
      <c r="G2879" s="8"/>
      <c r="H2879" s="8"/>
      <c r="I2879" s="8"/>
      <c r="J2879" s="8"/>
      <c r="K2879" s="8"/>
      <c r="L2879" s="8"/>
      <c r="M2879" s="8"/>
      <c r="N2879" s="8"/>
      <c r="O2879" s="8"/>
      <c r="P2879" s="4"/>
      <c r="Q2879" s="8"/>
      <c r="R2879" s="4"/>
      <c r="S2879" s="4"/>
    </row>
    <row r="2880" customFormat="false" ht="15" hidden="false" customHeight="false" outlineLevel="0" collapsed="false">
      <c r="A2880" s="4"/>
      <c r="B2880" s="8"/>
      <c r="C2880" s="8"/>
      <c r="D2880" s="8"/>
      <c r="E2880" s="8"/>
      <c r="F2880" s="8"/>
      <c r="G2880" s="8"/>
      <c r="H2880" s="8"/>
      <c r="I2880" s="8"/>
      <c r="J2880" s="8"/>
      <c r="K2880" s="8"/>
      <c r="L2880" s="8"/>
      <c r="M2880" s="8"/>
      <c r="N2880" s="8"/>
      <c r="O2880" s="8"/>
      <c r="P2880" s="4"/>
      <c r="Q2880" s="8"/>
      <c r="R2880" s="4"/>
      <c r="S2880" s="4"/>
    </row>
    <row r="2881" customFormat="false" ht="15" hidden="false" customHeight="false" outlineLevel="0" collapsed="false">
      <c r="A2881" s="4"/>
      <c r="B2881" s="8"/>
      <c r="C2881" s="8"/>
      <c r="D2881" s="8"/>
      <c r="E2881" s="8"/>
      <c r="F2881" s="8"/>
      <c r="G2881" s="8"/>
      <c r="H2881" s="8"/>
      <c r="I2881" s="8"/>
      <c r="J2881" s="8"/>
      <c r="K2881" s="8"/>
      <c r="L2881" s="8"/>
      <c r="M2881" s="8"/>
      <c r="N2881" s="8"/>
      <c r="O2881" s="8"/>
      <c r="P2881" s="4"/>
      <c r="Q2881" s="8"/>
      <c r="R2881" s="4"/>
      <c r="S2881" s="4"/>
    </row>
    <row r="2882" customFormat="false" ht="15" hidden="false" customHeight="false" outlineLevel="0" collapsed="false">
      <c r="A2882" s="4"/>
      <c r="B2882" s="8"/>
      <c r="C2882" s="8"/>
      <c r="D2882" s="8"/>
      <c r="E2882" s="8"/>
      <c r="F2882" s="8"/>
      <c r="G2882" s="8"/>
      <c r="H2882" s="8"/>
      <c r="I2882" s="8"/>
      <c r="J2882" s="8"/>
      <c r="K2882" s="8"/>
      <c r="L2882" s="8"/>
      <c r="M2882" s="8"/>
      <c r="N2882" s="8"/>
      <c r="O2882" s="8"/>
      <c r="P2882" s="4"/>
      <c r="Q2882" s="8"/>
      <c r="R2882" s="4"/>
      <c r="S2882" s="4"/>
    </row>
    <row r="2883" customFormat="false" ht="15" hidden="false" customHeight="false" outlineLevel="0" collapsed="false">
      <c r="A2883" s="4"/>
      <c r="B2883" s="8"/>
      <c r="C2883" s="8"/>
      <c r="D2883" s="8"/>
      <c r="E2883" s="8"/>
      <c r="F2883" s="8"/>
      <c r="G2883" s="8"/>
      <c r="H2883" s="8"/>
      <c r="I2883" s="8"/>
      <c r="J2883" s="8"/>
      <c r="K2883" s="8"/>
      <c r="L2883" s="8"/>
      <c r="M2883" s="8"/>
      <c r="N2883" s="8"/>
      <c r="O2883" s="8"/>
      <c r="P2883" s="4"/>
      <c r="Q2883" s="8"/>
      <c r="R2883" s="4"/>
      <c r="S2883" s="4"/>
    </row>
    <row r="2884" customFormat="false" ht="15" hidden="false" customHeight="false" outlineLevel="0" collapsed="false">
      <c r="A2884" s="4"/>
      <c r="B2884" s="8"/>
      <c r="C2884" s="8"/>
      <c r="D2884" s="8"/>
      <c r="E2884" s="8"/>
      <c r="F2884" s="8"/>
      <c r="G2884" s="8"/>
      <c r="H2884" s="8"/>
      <c r="I2884" s="8"/>
      <c r="J2884" s="8"/>
      <c r="K2884" s="8"/>
      <c r="L2884" s="8"/>
      <c r="M2884" s="8"/>
      <c r="N2884" s="8"/>
      <c r="O2884" s="8"/>
      <c r="P2884" s="4"/>
      <c r="Q2884" s="8"/>
      <c r="R2884" s="4"/>
      <c r="S2884" s="4"/>
    </row>
    <row r="2885" customFormat="false" ht="15" hidden="false" customHeight="false" outlineLevel="0" collapsed="false">
      <c r="A2885" s="4"/>
      <c r="B2885" s="8"/>
      <c r="C2885" s="8"/>
      <c r="D2885" s="8"/>
      <c r="E2885" s="8"/>
      <c r="F2885" s="8"/>
      <c r="G2885" s="8"/>
      <c r="H2885" s="8"/>
      <c r="I2885" s="8"/>
      <c r="J2885" s="8"/>
      <c r="K2885" s="8"/>
      <c r="L2885" s="8"/>
      <c r="M2885" s="8"/>
      <c r="N2885" s="8"/>
      <c r="O2885" s="8"/>
      <c r="P2885" s="4"/>
      <c r="Q2885" s="8"/>
      <c r="R2885" s="4"/>
      <c r="S2885" s="4"/>
    </row>
    <row r="2886" customFormat="false" ht="15" hidden="false" customHeight="false" outlineLevel="0" collapsed="false">
      <c r="A2886" s="4"/>
      <c r="B2886" s="8"/>
      <c r="C2886" s="8"/>
      <c r="D2886" s="8"/>
      <c r="E2886" s="8"/>
      <c r="F2886" s="8"/>
      <c r="G2886" s="8"/>
      <c r="H2886" s="8"/>
      <c r="I2886" s="8"/>
      <c r="J2886" s="8"/>
      <c r="K2886" s="8"/>
      <c r="L2886" s="8"/>
      <c r="M2886" s="8"/>
      <c r="N2886" s="8"/>
      <c r="O2886" s="8"/>
      <c r="P2886" s="4"/>
      <c r="Q2886" s="8"/>
      <c r="R2886" s="4"/>
      <c r="S2886" s="4"/>
    </row>
    <row r="2887" customFormat="false" ht="15" hidden="false" customHeight="false" outlineLevel="0" collapsed="false">
      <c r="A2887" s="4"/>
      <c r="B2887" s="8"/>
      <c r="C2887" s="8"/>
      <c r="D2887" s="8"/>
      <c r="E2887" s="8"/>
      <c r="F2887" s="8"/>
      <c r="G2887" s="8"/>
      <c r="H2887" s="8"/>
      <c r="I2887" s="8"/>
      <c r="J2887" s="8"/>
      <c r="K2887" s="8"/>
      <c r="L2887" s="8"/>
      <c r="M2887" s="8"/>
      <c r="N2887" s="8"/>
      <c r="O2887" s="8"/>
      <c r="P2887" s="4"/>
      <c r="Q2887" s="8"/>
      <c r="R2887" s="4"/>
      <c r="S2887" s="4"/>
    </row>
    <row r="2888" customFormat="false" ht="15" hidden="false" customHeight="false" outlineLevel="0" collapsed="false">
      <c r="A2888" s="4"/>
      <c r="B2888" s="8"/>
      <c r="C2888" s="8"/>
      <c r="D2888" s="8"/>
      <c r="E2888" s="8"/>
      <c r="F2888" s="8"/>
      <c r="G2888" s="8"/>
      <c r="H2888" s="8"/>
      <c r="I2888" s="8"/>
      <c r="J2888" s="8"/>
      <c r="K2888" s="8"/>
      <c r="L2888" s="8"/>
      <c r="M2888" s="8"/>
      <c r="N2888" s="8"/>
      <c r="O2888" s="8"/>
      <c r="P2888" s="4"/>
      <c r="Q2888" s="8"/>
      <c r="R2888" s="4"/>
      <c r="S2888" s="4"/>
    </row>
    <row r="2889" customFormat="false" ht="15" hidden="false" customHeight="false" outlineLevel="0" collapsed="false">
      <c r="A2889" s="4"/>
      <c r="B2889" s="8"/>
      <c r="C2889" s="8"/>
      <c r="D2889" s="8"/>
      <c r="E2889" s="8"/>
      <c r="F2889" s="8"/>
      <c r="G2889" s="8"/>
      <c r="H2889" s="8"/>
      <c r="I2889" s="8"/>
      <c r="J2889" s="8"/>
      <c r="K2889" s="8"/>
      <c r="L2889" s="8"/>
      <c r="M2889" s="8"/>
      <c r="N2889" s="8"/>
      <c r="O2889" s="8"/>
      <c r="P2889" s="4"/>
      <c r="Q2889" s="8"/>
      <c r="R2889" s="4"/>
      <c r="S2889" s="4"/>
    </row>
    <row r="2890" customFormat="false" ht="15" hidden="false" customHeight="false" outlineLevel="0" collapsed="false">
      <c r="A2890" s="4"/>
      <c r="B2890" s="8"/>
      <c r="C2890" s="8"/>
      <c r="D2890" s="8"/>
      <c r="E2890" s="8"/>
      <c r="F2890" s="8"/>
      <c r="G2890" s="8"/>
      <c r="H2890" s="8"/>
      <c r="I2890" s="8"/>
      <c r="J2890" s="8"/>
      <c r="K2890" s="8"/>
      <c r="L2890" s="8"/>
      <c r="M2890" s="8"/>
      <c r="N2890" s="8"/>
      <c r="O2890" s="8"/>
      <c r="P2890" s="4"/>
      <c r="Q2890" s="8"/>
      <c r="R2890" s="4"/>
      <c r="S2890" s="4"/>
    </row>
    <row r="2891" customFormat="false" ht="15" hidden="false" customHeight="false" outlineLevel="0" collapsed="false">
      <c r="A2891" s="4"/>
      <c r="B2891" s="8"/>
      <c r="C2891" s="8"/>
      <c r="D2891" s="8"/>
      <c r="E2891" s="8"/>
      <c r="F2891" s="8"/>
      <c r="G2891" s="8"/>
      <c r="H2891" s="8"/>
      <c r="I2891" s="8"/>
      <c r="J2891" s="8"/>
      <c r="K2891" s="8"/>
      <c r="L2891" s="8"/>
      <c r="M2891" s="8"/>
      <c r="N2891" s="8"/>
      <c r="O2891" s="8"/>
      <c r="P2891" s="4"/>
      <c r="Q2891" s="8"/>
      <c r="R2891" s="4"/>
      <c r="S2891" s="4"/>
    </row>
    <row r="2892" customFormat="false" ht="15" hidden="false" customHeight="false" outlineLevel="0" collapsed="false">
      <c r="A2892" s="4"/>
      <c r="B2892" s="8"/>
      <c r="C2892" s="8"/>
      <c r="D2892" s="8"/>
      <c r="E2892" s="8"/>
      <c r="F2892" s="8"/>
      <c r="G2892" s="8"/>
      <c r="H2892" s="8"/>
      <c r="I2892" s="8"/>
      <c r="J2892" s="8"/>
      <c r="K2892" s="8"/>
      <c r="L2892" s="8"/>
      <c r="M2892" s="8"/>
      <c r="N2892" s="8"/>
      <c r="O2892" s="8"/>
      <c r="P2892" s="4"/>
      <c r="Q2892" s="8"/>
      <c r="R2892" s="4"/>
      <c r="S2892" s="4"/>
    </row>
    <row r="2893" customFormat="false" ht="15" hidden="false" customHeight="false" outlineLevel="0" collapsed="false">
      <c r="A2893" s="4"/>
      <c r="B2893" s="8"/>
      <c r="C2893" s="8"/>
      <c r="D2893" s="8"/>
      <c r="E2893" s="8"/>
      <c r="F2893" s="8"/>
      <c r="G2893" s="8"/>
      <c r="H2893" s="8"/>
      <c r="I2893" s="8"/>
      <c r="J2893" s="8"/>
      <c r="K2893" s="8"/>
      <c r="L2893" s="8"/>
      <c r="M2893" s="8"/>
      <c r="N2893" s="8"/>
      <c r="O2893" s="8"/>
      <c r="P2893" s="4"/>
      <c r="Q2893" s="8"/>
      <c r="R2893" s="4"/>
      <c r="S2893" s="4"/>
    </row>
    <row r="2894" customFormat="false" ht="15" hidden="false" customHeight="false" outlineLevel="0" collapsed="false">
      <c r="A2894" s="4"/>
      <c r="B2894" s="8"/>
      <c r="C2894" s="8"/>
      <c r="D2894" s="8"/>
      <c r="E2894" s="8"/>
      <c r="F2894" s="8"/>
      <c r="G2894" s="8"/>
      <c r="H2894" s="8"/>
      <c r="I2894" s="8"/>
      <c r="J2894" s="8"/>
      <c r="K2894" s="8"/>
      <c r="L2894" s="8"/>
      <c r="M2894" s="8"/>
      <c r="N2894" s="8"/>
      <c r="O2894" s="8"/>
      <c r="P2894" s="4"/>
      <c r="Q2894" s="8"/>
      <c r="R2894" s="4"/>
      <c r="S2894" s="4"/>
    </row>
    <row r="2895" customFormat="false" ht="15" hidden="false" customHeight="false" outlineLevel="0" collapsed="false">
      <c r="A2895" s="4"/>
      <c r="B2895" s="8"/>
      <c r="C2895" s="8"/>
      <c r="D2895" s="8"/>
      <c r="E2895" s="8"/>
      <c r="F2895" s="8"/>
      <c r="G2895" s="8"/>
      <c r="H2895" s="8"/>
      <c r="I2895" s="8"/>
      <c r="J2895" s="8"/>
      <c r="K2895" s="8"/>
      <c r="L2895" s="8"/>
      <c r="M2895" s="8"/>
      <c r="N2895" s="8"/>
      <c r="O2895" s="8"/>
      <c r="P2895" s="4"/>
      <c r="Q2895" s="8"/>
      <c r="R2895" s="4"/>
      <c r="S2895" s="4"/>
    </row>
    <row r="2896" customFormat="false" ht="15" hidden="false" customHeight="false" outlineLevel="0" collapsed="false">
      <c r="A2896" s="4"/>
      <c r="B2896" s="8"/>
      <c r="C2896" s="8"/>
      <c r="D2896" s="8"/>
      <c r="E2896" s="8"/>
      <c r="F2896" s="8"/>
      <c r="G2896" s="8"/>
      <c r="H2896" s="8"/>
      <c r="I2896" s="8"/>
      <c r="J2896" s="8"/>
      <c r="K2896" s="8"/>
      <c r="L2896" s="8"/>
      <c r="M2896" s="8"/>
      <c r="N2896" s="8"/>
      <c r="O2896" s="8"/>
      <c r="P2896" s="4"/>
      <c r="Q2896" s="8"/>
      <c r="R2896" s="4"/>
      <c r="S2896" s="4"/>
    </row>
    <row r="2897" customFormat="false" ht="15" hidden="false" customHeight="false" outlineLevel="0" collapsed="false">
      <c r="A2897" s="4"/>
      <c r="B2897" s="8"/>
      <c r="C2897" s="8"/>
      <c r="D2897" s="8"/>
      <c r="E2897" s="8"/>
      <c r="F2897" s="8"/>
      <c r="G2897" s="8"/>
      <c r="H2897" s="8"/>
      <c r="I2897" s="8"/>
      <c r="J2897" s="8"/>
      <c r="K2897" s="8"/>
      <c r="L2897" s="8"/>
      <c r="M2897" s="8"/>
      <c r="N2897" s="8"/>
      <c r="O2897" s="8"/>
      <c r="P2897" s="4"/>
      <c r="Q2897" s="8"/>
      <c r="R2897" s="4"/>
      <c r="S2897" s="4"/>
    </row>
    <row r="2898" customFormat="false" ht="15" hidden="false" customHeight="false" outlineLevel="0" collapsed="false">
      <c r="A2898" s="4"/>
      <c r="B2898" s="8"/>
      <c r="C2898" s="8"/>
      <c r="D2898" s="8"/>
      <c r="E2898" s="8"/>
      <c r="F2898" s="8"/>
      <c r="G2898" s="8"/>
      <c r="H2898" s="8"/>
      <c r="I2898" s="8"/>
      <c r="J2898" s="8"/>
      <c r="K2898" s="8"/>
      <c r="L2898" s="8"/>
      <c r="M2898" s="8"/>
      <c r="N2898" s="8"/>
      <c r="O2898" s="8"/>
      <c r="P2898" s="4"/>
      <c r="Q2898" s="8"/>
      <c r="R2898" s="4"/>
      <c r="S2898" s="4"/>
    </row>
    <row r="2899" customFormat="false" ht="15" hidden="false" customHeight="false" outlineLevel="0" collapsed="false">
      <c r="A2899" s="4"/>
      <c r="B2899" s="8"/>
      <c r="C2899" s="8"/>
      <c r="D2899" s="8"/>
      <c r="E2899" s="8"/>
      <c r="F2899" s="8"/>
      <c r="G2899" s="8"/>
      <c r="H2899" s="8"/>
      <c r="I2899" s="8"/>
      <c r="J2899" s="8"/>
      <c r="K2899" s="8"/>
      <c r="L2899" s="8"/>
      <c r="M2899" s="8"/>
      <c r="N2899" s="8"/>
      <c r="O2899" s="8"/>
      <c r="P2899" s="4"/>
      <c r="Q2899" s="8"/>
      <c r="R2899" s="4"/>
      <c r="S2899" s="4"/>
    </row>
    <row r="2900" customFormat="false" ht="15" hidden="false" customHeight="false" outlineLevel="0" collapsed="false">
      <c r="A2900" s="4"/>
      <c r="B2900" s="8"/>
      <c r="C2900" s="8"/>
      <c r="D2900" s="8"/>
      <c r="E2900" s="8"/>
      <c r="F2900" s="8"/>
      <c r="G2900" s="8"/>
      <c r="H2900" s="8"/>
      <c r="I2900" s="8"/>
      <c r="J2900" s="8"/>
      <c r="K2900" s="8"/>
      <c r="L2900" s="8"/>
      <c r="M2900" s="8"/>
      <c r="N2900" s="8"/>
      <c r="O2900" s="8"/>
      <c r="P2900" s="4"/>
      <c r="Q2900" s="8"/>
      <c r="R2900" s="4"/>
      <c r="S2900" s="4"/>
    </row>
    <row r="2901" customFormat="false" ht="15" hidden="false" customHeight="false" outlineLevel="0" collapsed="false">
      <c r="A2901" s="4"/>
      <c r="B2901" s="8"/>
      <c r="C2901" s="8"/>
      <c r="D2901" s="8"/>
      <c r="E2901" s="8"/>
      <c r="F2901" s="8"/>
      <c r="G2901" s="8"/>
      <c r="H2901" s="8"/>
      <c r="I2901" s="8"/>
      <c r="J2901" s="8"/>
      <c r="K2901" s="8"/>
      <c r="L2901" s="8"/>
      <c r="M2901" s="8"/>
      <c r="N2901" s="8"/>
      <c r="O2901" s="8"/>
      <c r="P2901" s="4"/>
      <c r="Q2901" s="8"/>
      <c r="R2901" s="4"/>
      <c r="S2901" s="4"/>
    </row>
    <row r="2902" customFormat="false" ht="15" hidden="false" customHeight="false" outlineLevel="0" collapsed="false">
      <c r="A2902" s="4"/>
      <c r="B2902" s="8"/>
      <c r="C2902" s="8"/>
      <c r="D2902" s="8"/>
      <c r="E2902" s="8"/>
      <c r="F2902" s="8"/>
      <c r="G2902" s="8"/>
      <c r="H2902" s="8"/>
      <c r="I2902" s="8"/>
      <c r="J2902" s="8"/>
      <c r="K2902" s="8"/>
      <c r="L2902" s="8"/>
      <c r="M2902" s="8"/>
      <c r="N2902" s="8"/>
      <c r="O2902" s="8"/>
      <c r="P2902" s="4"/>
      <c r="Q2902" s="8"/>
      <c r="R2902" s="4"/>
      <c r="S2902" s="4"/>
    </row>
    <row r="2903" customFormat="false" ht="15" hidden="false" customHeight="false" outlineLevel="0" collapsed="false">
      <c r="A2903" s="4"/>
      <c r="B2903" s="8"/>
      <c r="C2903" s="8"/>
      <c r="D2903" s="8"/>
      <c r="E2903" s="8"/>
      <c r="F2903" s="8"/>
      <c r="G2903" s="8"/>
      <c r="H2903" s="8"/>
      <c r="I2903" s="8"/>
      <c r="J2903" s="8"/>
      <c r="K2903" s="8"/>
      <c r="L2903" s="8"/>
      <c r="M2903" s="8"/>
      <c r="N2903" s="8"/>
      <c r="O2903" s="8"/>
      <c r="P2903" s="4"/>
      <c r="Q2903" s="8"/>
      <c r="R2903" s="4"/>
      <c r="S2903" s="4"/>
    </row>
    <row r="2904" customFormat="false" ht="15" hidden="false" customHeight="false" outlineLevel="0" collapsed="false">
      <c r="A2904" s="4"/>
      <c r="B2904" s="8"/>
      <c r="C2904" s="8"/>
      <c r="D2904" s="8"/>
      <c r="E2904" s="8"/>
      <c r="F2904" s="8"/>
      <c r="G2904" s="8"/>
      <c r="H2904" s="8"/>
      <c r="I2904" s="8"/>
      <c r="J2904" s="8"/>
      <c r="K2904" s="8"/>
      <c r="L2904" s="8"/>
      <c r="M2904" s="8"/>
      <c r="N2904" s="8"/>
      <c r="O2904" s="8"/>
      <c r="P2904" s="4"/>
      <c r="Q2904" s="8"/>
      <c r="R2904" s="4"/>
      <c r="S2904" s="4"/>
    </row>
    <row r="2905" customFormat="false" ht="15" hidden="false" customHeight="false" outlineLevel="0" collapsed="false">
      <c r="A2905" s="4"/>
      <c r="B2905" s="8"/>
      <c r="C2905" s="8"/>
      <c r="D2905" s="8"/>
      <c r="E2905" s="8"/>
      <c r="F2905" s="8"/>
      <c r="G2905" s="8"/>
      <c r="H2905" s="8"/>
      <c r="I2905" s="8"/>
      <c r="J2905" s="8"/>
      <c r="K2905" s="8"/>
      <c r="L2905" s="8"/>
      <c r="M2905" s="8"/>
      <c r="N2905" s="8"/>
      <c r="O2905" s="8"/>
      <c r="P2905" s="4"/>
      <c r="Q2905" s="8"/>
      <c r="R2905" s="4"/>
      <c r="S2905" s="4"/>
    </row>
    <row r="2906" customFormat="false" ht="15" hidden="false" customHeight="false" outlineLevel="0" collapsed="false">
      <c r="A2906" s="4"/>
      <c r="B2906" s="8"/>
      <c r="C2906" s="8"/>
      <c r="D2906" s="8"/>
      <c r="E2906" s="8"/>
      <c r="F2906" s="8"/>
      <c r="G2906" s="8"/>
      <c r="H2906" s="8"/>
      <c r="I2906" s="8"/>
      <c r="J2906" s="8"/>
      <c r="K2906" s="8"/>
      <c r="L2906" s="8"/>
      <c r="M2906" s="8"/>
      <c r="N2906" s="8"/>
      <c r="O2906" s="8"/>
      <c r="P2906" s="4"/>
      <c r="Q2906" s="8"/>
      <c r="R2906" s="4"/>
      <c r="S2906" s="4"/>
    </row>
    <row r="2907" customFormat="false" ht="15" hidden="false" customHeight="false" outlineLevel="0" collapsed="false">
      <c r="A2907" s="4"/>
      <c r="B2907" s="8"/>
      <c r="C2907" s="8"/>
      <c r="D2907" s="8"/>
      <c r="E2907" s="8"/>
      <c r="F2907" s="8"/>
      <c r="G2907" s="8"/>
      <c r="H2907" s="8"/>
      <c r="I2907" s="8"/>
      <c r="J2907" s="8"/>
      <c r="K2907" s="8"/>
      <c r="L2907" s="8"/>
      <c r="M2907" s="8"/>
      <c r="N2907" s="8"/>
      <c r="O2907" s="8"/>
      <c r="P2907" s="4"/>
      <c r="Q2907" s="8"/>
      <c r="R2907" s="4"/>
      <c r="S2907" s="4"/>
    </row>
    <row r="2908" customFormat="false" ht="15" hidden="false" customHeight="false" outlineLevel="0" collapsed="false">
      <c r="A2908" s="4"/>
      <c r="B2908" s="8"/>
      <c r="C2908" s="8"/>
      <c r="D2908" s="8"/>
      <c r="E2908" s="8"/>
      <c r="F2908" s="8"/>
      <c r="G2908" s="8"/>
      <c r="H2908" s="8"/>
      <c r="I2908" s="8"/>
      <c r="J2908" s="8"/>
      <c r="K2908" s="8"/>
      <c r="L2908" s="8"/>
      <c r="M2908" s="8"/>
      <c r="N2908" s="8"/>
      <c r="O2908" s="8"/>
      <c r="P2908" s="4"/>
      <c r="Q2908" s="8"/>
      <c r="R2908" s="4"/>
      <c r="S2908" s="4"/>
    </row>
    <row r="2909" customFormat="false" ht="15" hidden="false" customHeight="false" outlineLevel="0" collapsed="false">
      <c r="A2909" s="4"/>
      <c r="B2909" s="8"/>
      <c r="C2909" s="8"/>
      <c r="D2909" s="8"/>
      <c r="E2909" s="8"/>
      <c r="F2909" s="8"/>
      <c r="G2909" s="8"/>
      <c r="H2909" s="8"/>
      <c r="I2909" s="8"/>
      <c r="J2909" s="8"/>
      <c r="K2909" s="8"/>
      <c r="L2909" s="8"/>
      <c r="M2909" s="8"/>
      <c r="N2909" s="8"/>
      <c r="O2909" s="8"/>
      <c r="P2909" s="4"/>
      <c r="Q2909" s="8"/>
      <c r="R2909" s="4"/>
      <c r="S2909" s="4"/>
    </row>
    <row r="2910" customFormat="false" ht="15" hidden="false" customHeight="false" outlineLevel="0" collapsed="false">
      <c r="A2910" s="4"/>
      <c r="B2910" s="8"/>
      <c r="C2910" s="8"/>
      <c r="D2910" s="8"/>
      <c r="E2910" s="8"/>
      <c r="F2910" s="8"/>
      <c r="G2910" s="8"/>
      <c r="H2910" s="8"/>
      <c r="I2910" s="8"/>
      <c r="J2910" s="8"/>
      <c r="K2910" s="8"/>
      <c r="L2910" s="8"/>
      <c r="M2910" s="8"/>
      <c r="N2910" s="8"/>
      <c r="O2910" s="8"/>
      <c r="P2910" s="4"/>
      <c r="Q2910" s="8"/>
      <c r="R2910" s="4"/>
      <c r="S2910" s="4"/>
    </row>
    <row r="2911" customFormat="false" ht="15" hidden="false" customHeight="false" outlineLevel="0" collapsed="false">
      <c r="A2911" s="4"/>
      <c r="B2911" s="8"/>
      <c r="C2911" s="8"/>
      <c r="D2911" s="8"/>
      <c r="E2911" s="8"/>
      <c r="F2911" s="8"/>
      <c r="G2911" s="8"/>
      <c r="H2911" s="8"/>
      <c r="I2911" s="8"/>
      <c r="J2911" s="8"/>
      <c r="K2911" s="8"/>
      <c r="L2911" s="8"/>
      <c r="M2911" s="8"/>
      <c r="N2911" s="8"/>
      <c r="O2911" s="8"/>
      <c r="P2911" s="4"/>
      <c r="Q2911" s="8"/>
      <c r="R2911" s="4"/>
      <c r="S2911" s="4"/>
    </row>
    <row r="2912" customFormat="false" ht="15" hidden="false" customHeight="false" outlineLevel="0" collapsed="false">
      <c r="A2912" s="4"/>
      <c r="B2912" s="8"/>
      <c r="C2912" s="8"/>
      <c r="D2912" s="8"/>
      <c r="E2912" s="8"/>
      <c r="F2912" s="8"/>
      <c r="G2912" s="8"/>
      <c r="H2912" s="8"/>
      <c r="I2912" s="8"/>
      <c r="J2912" s="8"/>
      <c r="K2912" s="8"/>
      <c r="L2912" s="8"/>
      <c r="M2912" s="8"/>
      <c r="N2912" s="8"/>
      <c r="O2912" s="8"/>
      <c r="P2912" s="4"/>
      <c r="Q2912" s="8"/>
      <c r="R2912" s="4"/>
      <c r="S2912" s="4"/>
    </row>
    <row r="2913" customFormat="false" ht="15" hidden="false" customHeight="false" outlineLevel="0" collapsed="false">
      <c r="A2913" s="4"/>
      <c r="B2913" s="8"/>
      <c r="C2913" s="8"/>
      <c r="D2913" s="8"/>
      <c r="E2913" s="8"/>
      <c r="F2913" s="8"/>
      <c r="G2913" s="8"/>
      <c r="H2913" s="8"/>
      <c r="I2913" s="8"/>
      <c r="J2913" s="8"/>
      <c r="K2913" s="8"/>
      <c r="L2913" s="8"/>
      <c r="M2913" s="8"/>
      <c r="N2913" s="8"/>
      <c r="O2913" s="8"/>
      <c r="P2913" s="4"/>
      <c r="Q2913" s="8"/>
      <c r="R2913" s="4"/>
      <c r="S2913" s="4"/>
    </row>
    <row r="2914" customFormat="false" ht="15" hidden="false" customHeight="false" outlineLevel="0" collapsed="false">
      <c r="A2914" s="4"/>
      <c r="B2914" s="8"/>
      <c r="C2914" s="8"/>
      <c r="D2914" s="8"/>
      <c r="E2914" s="8"/>
      <c r="F2914" s="8"/>
      <c r="G2914" s="8"/>
      <c r="H2914" s="8"/>
      <c r="I2914" s="8"/>
      <c r="J2914" s="8"/>
      <c r="K2914" s="8"/>
      <c r="L2914" s="8"/>
      <c r="M2914" s="8"/>
      <c r="N2914" s="8"/>
      <c r="O2914" s="8"/>
      <c r="P2914" s="4"/>
      <c r="Q2914" s="8"/>
      <c r="R2914" s="4"/>
      <c r="S2914" s="4"/>
    </row>
    <row r="2915" customFormat="false" ht="15" hidden="false" customHeight="false" outlineLevel="0" collapsed="false">
      <c r="A2915" s="4"/>
      <c r="B2915" s="8"/>
      <c r="C2915" s="8"/>
      <c r="D2915" s="8"/>
      <c r="E2915" s="8"/>
      <c r="F2915" s="8"/>
      <c r="G2915" s="8"/>
      <c r="H2915" s="8"/>
      <c r="I2915" s="8"/>
      <c r="J2915" s="8"/>
      <c r="K2915" s="8"/>
      <c r="L2915" s="8"/>
      <c r="M2915" s="8"/>
      <c r="N2915" s="8"/>
      <c r="O2915" s="8"/>
      <c r="P2915" s="4"/>
      <c r="Q2915" s="8"/>
      <c r="R2915" s="4"/>
      <c r="S2915" s="4"/>
    </row>
    <row r="2916" customFormat="false" ht="15" hidden="false" customHeight="false" outlineLevel="0" collapsed="false">
      <c r="A2916" s="4"/>
      <c r="B2916" s="8"/>
      <c r="C2916" s="8"/>
      <c r="D2916" s="8"/>
      <c r="E2916" s="8"/>
      <c r="F2916" s="8"/>
      <c r="G2916" s="8"/>
      <c r="H2916" s="8"/>
      <c r="I2916" s="8"/>
      <c r="J2916" s="8"/>
      <c r="K2916" s="8"/>
      <c r="L2916" s="8"/>
      <c r="M2916" s="8"/>
      <c r="N2916" s="8"/>
      <c r="O2916" s="8"/>
      <c r="P2916" s="4"/>
      <c r="Q2916" s="8"/>
      <c r="R2916" s="4"/>
      <c r="S2916" s="4"/>
    </row>
    <row r="2917" customFormat="false" ht="15" hidden="false" customHeight="false" outlineLevel="0" collapsed="false">
      <c r="A2917" s="4"/>
      <c r="B2917" s="8"/>
      <c r="C2917" s="8"/>
      <c r="D2917" s="8"/>
      <c r="E2917" s="8"/>
      <c r="F2917" s="8"/>
      <c r="G2917" s="8"/>
      <c r="H2917" s="8"/>
      <c r="I2917" s="8"/>
      <c r="J2917" s="8"/>
      <c r="K2917" s="8"/>
      <c r="L2917" s="8"/>
      <c r="M2917" s="8"/>
      <c r="N2917" s="8"/>
      <c r="O2917" s="8"/>
      <c r="P2917" s="4"/>
      <c r="Q2917" s="8"/>
      <c r="R2917" s="4"/>
      <c r="S2917" s="4"/>
    </row>
    <row r="2918" customFormat="false" ht="15" hidden="false" customHeight="false" outlineLevel="0" collapsed="false">
      <c r="A2918" s="4"/>
      <c r="B2918" s="8"/>
      <c r="C2918" s="8"/>
      <c r="D2918" s="8"/>
      <c r="E2918" s="8"/>
      <c r="F2918" s="8"/>
      <c r="G2918" s="8"/>
      <c r="H2918" s="8"/>
      <c r="I2918" s="8"/>
      <c r="J2918" s="8"/>
      <c r="K2918" s="8"/>
      <c r="L2918" s="8"/>
      <c r="M2918" s="8"/>
      <c r="N2918" s="8"/>
      <c r="O2918" s="8"/>
      <c r="P2918" s="4"/>
      <c r="Q2918" s="8"/>
      <c r="R2918" s="4"/>
      <c r="S2918" s="4"/>
    </row>
    <row r="2919" customFormat="false" ht="15" hidden="false" customHeight="false" outlineLevel="0" collapsed="false">
      <c r="A2919" s="4"/>
      <c r="B2919" s="8"/>
      <c r="C2919" s="8"/>
      <c r="D2919" s="8"/>
      <c r="E2919" s="8"/>
      <c r="F2919" s="8"/>
      <c r="G2919" s="8"/>
      <c r="H2919" s="8"/>
      <c r="I2919" s="8"/>
      <c r="J2919" s="8"/>
      <c r="K2919" s="8"/>
      <c r="L2919" s="8"/>
      <c r="M2919" s="8"/>
      <c r="N2919" s="8"/>
      <c r="O2919" s="8"/>
      <c r="P2919" s="4"/>
      <c r="Q2919" s="8"/>
      <c r="R2919" s="4"/>
      <c r="S2919" s="4"/>
    </row>
    <row r="2920" customFormat="false" ht="15" hidden="false" customHeight="false" outlineLevel="0" collapsed="false">
      <c r="A2920" s="4"/>
      <c r="B2920" s="8"/>
      <c r="C2920" s="8"/>
      <c r="D2920" s="8"/>
      <c r="E2920" s="8"/>
      <c r="F2920" s="8"/>
      <c r="G2920" s="8"/>
      <c r="H2920" s="8"/>
      <c r="I2920" s="8"/>
      <c r="J2920" s="8"/>
      <c r="K2920" s="8"/>
      <c r="L2920" s="8"/>
      <c r="M2920" s="8"/>
      <c r="N2920" s="8"/>
      <c r="O2920" s="8"/>
      <c r="P2920" s="4"/>
      <c r="Q2920" s="8"/>
      <c r="R2920" s="4"/>
      <c r="S2920" s="4"/>
    </row>
    <row r="2921" customFormat="false" ht="15" hidden="false" customHeight="false" outlineLevel="0" collapsed="false">
      <c r="A2921" s="4"/>
      <c r="B2921" s="8"/>
      <c r="C2921" s="8"/>
      <c r="D2921" s="8"/>
      <c r="E2921" s="8"/>
      <c r="F2921" s="8"/>
      <c r="G2921" s="8"/>
      <c r="H2921" s="8"/>
      <c r="I2921" s="8"/>
      <c r="J2921" s="8"/>
      <c r="K2921" s="8"/>
      <c r="L2921" s="8"/>
      <c r="M2921" s="8"/>
      <c r="N2921" s="8"/>
      <c r="O2921" s="8"/>
      <c r="P2921" s="4"/>
      <c r="Q2921" s="8"/>
      <c r="R2921" s="4"/>
      <c r="S2921" s="4"/>
    </row>
    <row r="2922" customFormat="false" ht="15" hidden="false" customHeight="false" outlineLevel="0" collapsed="false">
      <c r="A2922" s="4"/>
      <c r="B2922" s="8"/>
      <c r="C2922" s="8"/>
      <c r="D2922" s="8"/>
      <c r="E2922" s="8"/>
      <c r="F2922" s="8"/>
      <c r="G2922" s="8"/>
      <c r="H2922" s="8"/>
      <c r="I2922" s="8"/>
      <c r="J2922" s="8"/>
      <c r="K2922" s="8"/>
      <c r="L2922" s="8"/>
      <c r="M2922" s="8"/>
      <c r="N2922" s="8"/>
      <c r="O2922" s="8"/>
      <c r="P2922" s="4"/>
      <c r="Q2922" s="8"/>
      <c r="R2922" s="4"/>
      <c r="S2922" s="4"/>
    </row>
    <row r="2923" customFormat="false" ht="15" hidden="false" customHeight="false" outlineLevel="0" collapsed="false">
      <c r="A2923" s="4"/>
      <c r="B2923" s="8"/>
      <c r="C2923" s="8"/>
      <c r="D2923" s="8"/>
      <c r="E2923" s="8"/>
      <c r="F2923" s="8"/>
      <c r="G2923" s="8"/>
      <c r="H2923" s="8"/>
      <c r="I2923" s="8"/>
      <c r="J2923" s="8"/>
      <c r="K2923" s="8"/>
      <c r="L2923" s="8"/>
      <c r="M2923" s="8"/>
      <c r="N2923" s="8"/>
      <c r="O2923" s="8"/>
      <c r="P2923" s="4"/>
      <c r="Q2923" s="8"/>
      <c r="R2923" s="4"/>
      <c r="S2923" s="4"/>
    </row>
    <row r="2924" customFormat="false" ht="15" hidden="false" customHeight="false" outlineLevel="0" collapsed="false">
      <c r="A2924" s="4"/>
      <c r="B2924" s="8"/>
      <c r="C2924" s="8"/>
      <c r="D2924" s="8"/>
      <c r="E2924" s="8"/>
      <c r="F2924" s="8"/>
      <c r="G2924" s="8"/>
      <c r="H2924" s="8"/>
      <c r="I2924" s="8"/>
      <c r="J2924" s="8"/>
      <c r="K2924" s="8"/>
      <c r="L2924" s="8"/>
      <c r="M2924" s="8"/>
      <c r="N2924" s="8"/>
      <c r="O2924" s="8"/>
      <c r="P2924" s="4"/>
      <c r="Q2924" s="8"/>
      <c r="R2924" s="4"/>
      <c r="S2924" s="4"/>
    </row>
    <row r="2925" customFormat="false" ht="15" hidden="false" customHeight="false" outlineLevel="0" collapsed="false">
      <c r="A2925" s="4"/>
      <c r="B2925" s="8"/>
      <c r="C2925" s="8"/>
      <c r="D2925" s="8"/>
      <c r="E2925" s="8"/>
      <c r="F2925" s="8"/>
      <c r="G2925" s="8"/>
      <c r="H2925" s="8"/>
      <c r="I2925" s="8"/>
      <c r="J2925" s="8"/>
      <c r="K2925" s="8"/>
      <c r="L2925" s="8"/>
      <c r="M2925" s="8"/>
      <c r="N2925" s="8"/>
      <c r="O2925" s="8"/>
      <c r="P2925" s="4"/>
      <c r="Q2925" s="8"/>
      <c r="R2925" s="4"/>
      <c r="S2925" s="4"/>
    </row>
    <row r="2926" customFormat="false" ht="15" hidden="false" customHeight="false" outlineLevel="0" collapsed="false">
      <c r="A2926" s="4"/>
      <c r="B2926" s="8"/>
      <c r="C2926" s="8"/>
      <c r="D2926" s="8"/>
      <c r="E2926" s="8"/>
      <c r="F2926" s="8"/>
      <c r="G2926" s="8"/>
      <c r="H2926" s="8"/>
      <c r="I2926" s="8"/>
      <c r="J2926" s="8"/>
      <c r="K2926" s="8"/>
      <c r="L2926" s="8"/>
      <c r="M2926" s="8"/>
      <c r="N2926" s="8"/>
      <c r="O2926" s="8"/>
      <c r="P2926" s="4"/>
      <c r="Q2926" s="8"/>
      <c r="R2926" s="4"/>
      <c r="S2926" s="4"/>
    </row>
    <row r="2927" customFormat="false" ht="15" hidden="false" customHeight="false" outlineLevel="0" collapsed="false">
      <c r="A2927" s="4"/>
      <c r="B2927" s="8"/>
      <c r="C2927" s="8"/>
      <c r="D2927" s="8"/>
      <c r="E2927" s="8"/>
      <c r="F2927" s="8"/>
      <c r="G2927" s="8"/>
      <c r="H2927" s="8"/>
      <c r="I2927" s="8"/>
      <c r="J2927" s="8"/>
      <c r="K2927" s="8"/>
      <c r="L2927" s="8"/>
      <c r="M2927" s="8"/>
      <c r="N2927" s="8"/>
      <c r="O2927" s="8"/>
      <c r="P2927" s="4"/>
      <c r="Q2927" s="8"/>
      <c r="R2927" s="4"/>
      <c r="S2927" s="4"/>
    </row>
    <row r="2928" customFormat="false" ht="15" hidden="false" customHeight="false" outlineLevel="0" collapsed="false">
      <c r="A2928" s="4"/>
      <c r="B2928" s="8"/>
      <c r="C2928" s="8"/>
      <c r="D2928" s="8"/>
      <c r="E2928" s="8"/>
      <c r="F2928" s="8"/>
      <c r="G2928" s="8"/>
      <c r="H2928" s="8"/>
      <c r="I2928" s="8"/>
      <c r="J2928" s="8"/>
      <c r="K2928" s="8"/>
      <c r="L2928" s="8"/>
      <c r="M2928" s="8"/>
      <c r="N2928" s="8"/>
      <c r="O2928" s="8"/>
      <c r="P2928" s="4"/>
      <c r="Q2928" s="8"/>
      <c r="R2928" s="4"/>
      <c r="S2928" s="4"/>
    </row>
    <row r="2929" customFormat="false" ht="15" hidden="false" customHeight="false" outlineLevel="0" collapsed="false">
      <c r="A2929" s="4"/>
      <c r="B2929" s="8"/>
      <c r="C2929" s="8"/>
      <c r="D2929" s="8"/>
      <c r="E2929" s="8"/>
      <c r="F2929" s="8"/>
      <c r="G2929" s="8"/>
      <c r="H2929" s="8"/>
      <c r="I2929" s="8"/>
      <c r="J2929" s="8"/>
      <c r="K2929" s="8"/>
      <c r="L2929" s="8"/>
      <c r="M2929" s="8"/>
      <c r="N2929" s="8"/>
      <c r="O2929" s="8"/>
      <c r="P2929" s="4"/>
      <c r="Q2929" s="8"/>
      <c r="R2929" s="4"/>
      <c r="S2929" s="4"/>
    </row>
    <row r="2930" customFormat="false" ht="15" hidden="false" customHeight="false" outlineLevel="0" collapsed="false">
      <c r="A2930" s="4"/>
      <c r="B2930" s="8"/>
      <c r="C2930" s="8"/>
      <c r="D2930" s="8"/>
      <c r="E2930" s="8"/>
      <c r="F2930" s="8"/>
      <c r="G2930" s="8"/>
      <c r="H2930" s="8"/>
      <c r="I2930" s="8"/>
      <c r="J2930" s="8"/>
      <c r="K2930" s="8"/>
      <c r="L2930" s="8"/>
      <c r="M2930" s="8"/>
      <c r="N2930" s="8"/>
      <c r="O2930" s="8"/>
      <c r="P2930" s="4"/>
      <c r="Q2930" s="8"/>
      <c r="R2930" s="4"/>
      <c r="S2930" s="4"/>
    </row>
    <row r="2931" customFormat="false" ht="15" hidden="false" customHeight="false" outlineLevel="0" collapsed="false">
      <c r="A2931" s="4"/>
      <c r="B2931" s="8"/>
      <c r="C2931" s="8"/>
      <c r="D2931" s="8"/>
      <c r="E2931" s="8"/>
      <c r="F2931" s="8"/>
      <c r="G2931" s="8"/>
      <c r="H2931" s="8"/>
      <c r="I2931" s="8"/>
      <c r="J2931" s="8"/>
      <c r="K2931" s="8"/>
      <c r="L2931" s="8"/>
      <c r="M2931" s="8"/>
      <c r="N2931" s="8"/>
      <c r="O2931" s="8"/>
      <c r="P2931" s="4"/>
      <c r="Q2931" s="8"/>
      <c r="R2931" s="4"/>
      <c r="S2931" s="4"/>
    </row>
    <row r="2932" customFormat="false" ht="15" hidden="false" customHeight="false" outlineLevel="0" collapsed="false">
      <c r="A2932" s="4"/>
      <c r="B2932" s="8"/>
      <c r="C2932" s="8"/>
      <c r="D2932" s="8"/>
      <c r="E2932" s="8"/>
      <c r="F2932" s="8"/>
      <c r="G2932" s="8"/>
      <c r="H2932" s="8"/>
      <c r="I2932" s="8"/>
      <c r="J2932" s="8"/>
      <c r="K2932" s="8"/>
      <c r="L2932" s="8"/>
      <c r="M2932" s="8"/>
      <c r="N2932" s="8"/>
      <c r="O2932" s="8"/>
      <c r="P2932" s="4"/>
      <c r="Q2932" s="8"/>
      <c r="R2932" s="4"/>
      <c r="S2932" s="4"/>
    </row>
    <row r="2933" customFormat="false" ht="15" hidden="false" customHeight="false" outlineLevel="0" collapsed="false">
      <c r="A2933" s="4"/>
      <c r="B2933" s="8"/>
      <c r="C2933" s="8"/>
      <c r="D2933" s="8"/>
      <c r="E2933" s="8"/>
      <c r="F2933" s="8"/>
      <c r="G2933" s="8"/>
      <c r="H2933" s="8"/>
      <c r="I2933" s="8"/>
      <c r="J2933" s="8"/>
      <c r="K2933" s="8"/>
      <c r="L2933" s="8"/>
      <c r="M2933" s="8"/>
      <c r="N2933" s="8"/>
      <c r="O2933" s="8"/>
      <c r="P2933" s="4"/>
      <c r="Q2933" s="8"/>
      <c r="R2933" s="4"/>
      <c r="S2933" s="4"/>
    </row>
    <row r="2934" customFormat="false" ht="15" hidden="false" customHeight="false" outlineLevel="0" collapsed="false">
      <c r="A2934" s="4"/>
      <c r="B2934" s="8"/>
      <c r="C2934" s="8"/>
      <c r="D2934" s="8"/>
      <c r="E2934" s="8"/>
      <c r="F2934" s="8"/>
      <c r="G2934" s="8"/>
      <c r="H2934" s="8"/>
      <c r="I2934" s="8"/>
      <c r="J2934" s="8"/>
      <c r="K2934" s="8"/>
      <c r="L2934" s="8"/>
      <c r="M2934" s="8"/>
      <c r="N2934" s="8"/>
      <c r="O2934" s="8"/>
      <c r="P2934" s="4"/>
      <c r="Q2934" s="8"/>
      <c r="R2934" s="4"/>
      <c r="S2934" s="4"/>
    </row>
    <row r="2935" customFormat="false" ht="15" hidden="false" customHeight="false" outlineLevel="0" collapsed="false">
      <c r="A2935" s="4"/>
      <c r="B2935" s="8"/>
      <c r="C2935" s="8"/>
      <c r="D2935" s="8"/>
      <c r="E2935" s="8"/>
      <c r="F2935" s="8"/>
      <c r="G2935" s="8"/>
      <c r="H2935" s="8"/>
      <c r="I2935" s="8"/>
      <c r="J2935" s="8"/>
      <c r="K2935" s="8"/>
      <c r="L2935" s="8"/>
      <c r="M2935" s="8"/>
      <c r="N2935" s="8"/>
      <c r="O2935" s="8"/>
      <c r="P2935" s="4"/>
      <c r="Q2935" s="8"/>
      <c r="R2935" s="4"/>
      <c r="S2935" s="4"/>
    </row>
    <row r="2936" customFormat="false" ht="15" hidden="false" customHeight="false" outlineLevel="0" collapsed="false">
      <c r="A2936" s="4"/>
      <c r="B2936" s="8"/>
      <c r="C2936" s="8"/>
      <c r="D2936" s="8"/>
      <c r="E2936" s="8"/>
      <c r="F2936" s="8"/>
      <c r="G2936" s="8"/>
      <c r="H2936" s="8"/>
      <c r="I2936" s="8"/>
      <c r="J2936" s="8"/>
      <c r="K2936" s="8"/>
      <c r="L2936" s="8"/>
      <c r="M2936" s="8"/>
      <c r="N2936" s="8"/>
      <c r="O2936" s="8"/>
      <c r="P2936" s="4"/>
      <c r="Q2936" s="8"/>
      <c r="R2936" s="4"/>
      <c r="S2936" s="4"/>
    </row>
    <row r="2937" customFormat="false" ht="15" hidden="false" customHeight="false" outlineLevel="0" collapsed="false">
      <c r="A2937" s="4"/>
      <c r="B2937" s="8"/>
      <c r="C2937" s="8"/>
      <c r="D2937" s="8"/>
      <c r="E2937" s="8"/>
      <c r="F2937" s="8"/>
      <c r="G2937" s="8"/>
      <c r="H2937" s="8"/>
      <c r="I2937" s="8"/>
      <c r="J2937" s="8"/>
      <c r="K2937" s="8"/>
      <c r="L2937" s="8"/>
      <c r="M2937" s="8"/>
      <c r="N2937" s="8"/>
      <c r="O2937" s="8"/>
      <c r="P2937" s="4"/>
      <c r="Q2937" s="8"/>
      <c r="R2937" s="4"/>
      <c r="S2937" s="4"/>
    </row>
    <row r="2938" customFormat="false" ht="15" hidden="false" customHeight="false" outlineLevel="0" collapsed="false">
      <c r="A2938" s="4"/>
      <c r="B2938" s="8"/>
      <c r="C2938" s="8"/>
      <c r="D2938" s="8"/>
      <c r="E2938" s="8"/>
      <c r="F2938" s="8"/>
      <c r="G2938" s="8"/>
      <c r="H2938" s="8"/>
      <c r="I2938" s="8"/>
      <c r="J2938" s="8"/>
      <c r="K2938" s="8"/>
      <c r="L2938" s="8"/>
      <c r="M2938" s="8"/>
      <c r="N2938" s="8"/>
      <c r="O2938" s="8"/>
      <c r="P2938" s="4"/>
      <c r="Q2938" s="8"/>
      <c r="R2938" s="4"/>
      <c r="S2938" s="4"/>
    </row>
    <row r="2939" customFormat="false" ht="15" hidden="false" customHeight="false" outlineLevel="0" collapsed="false">
      <c r="A2939" s="4"/>
      <c r="B2939" s="8"/>
      <c r="C2939" s="8"/>
      <c r="D2939" s="8"/>
      <c r="E2939" s="8"/>
      <c r="F2939" s="8"/>
      <c r="G2939" s="8"/>
      <c r="H2939" s="8"/>
      <c r="I2939" s="8"/>
      <c r="J2939" s="8"/>
      <c r="K2939" s="8"/>
      <c r="L2939" s="8"/>
      <c r="M2939" s="8"/>
      <c r="N2939" s="8"/>
      <c r="O2939" s="8"/>
      <c r="P2939" s="4"/>
      <c r="Q2939" s="8"/>
      <c r="R2939" s="4"/>
      <c r="S2939" s="4"/>
    </row>
    <row r="2940" customFormat="false" ht="15" hidden="false" customHeight="false" outlineLevel="0" collapsed="false">
      <c r="A2940" s="4"/>
      <c r="B2940" s="8"/>
      <c r="C2940" s="8"/>
      <c r="D2940" s="8"/>
      <c r="E2940" s="8"/>
      <c r="F2940" s="8"/>
      <c r="G2940" s="8"/>
      <c r="H2940" s="8"/>
      <c r="I2940" s="8"/>
      <c r="J2940" s="8"/>
      <c r="K2940" s="8"/>
      <c r="L2940" s="8"/>
      <c r="M2940" s="8"/>
      <c r="N2940" s="8"/>
      <c r="O2940" s="8"/>
      <c r="P2940" s="4"/>
      <c r="Q2940" s="8"/>
      <c r="R2940" s="4"/>
      <c r="S2940" s="4"/>
    </row>
    <row r="2941" customFormat="false" ht="15" hidden="false" customHeight="false" outlineLevel="0" collapsed="false">
      <c r="A2941" s="4"/>
      <c r="B2941" s="8"/>
      <c r="C2941" s="8"/>
      <c r="D2941" s="8"/>
      <c r="E2941" s="8"/>
      <c r="F2941" s="8"/>
      <c r="G2941" s="8"/>
      <c r="H2941" s="8"/>
      <c r="I2941" s="8"/>
      <c r="J2941" s="8"/>
      <c r="K2941" s="8"/>
      <c r="L2941" s="8"/>
      <c r="M2941" s="8"/>
      <c r="N2941" s="8"/>
      <c r="O2941" s="8"/>
      <c r="P2941" s="4"/>
      <c r="Q2941" s="8"/>
      <c r="R2941" s="4"/>
      <c r="S2941" s="4"/>
    </row>
    <row r="2942" customFormat="false" ht="15" hidden="false" customHeight="false" outlineLevel="0" collapsed="false">
      <c r="A2942" s="4"/>
      <c r="B2942" s="8"/>
      <c r="C2942" s="8"/>
      <c r="D2942" s="8"/>
      <c r="E2942" s="8"/>
      <c r="F2942" s="8"/>
      <c r="G2942" s="8"/>
      <c r="H2942" s="8"/>
      <c r="I2942" s="8"/>
      <c r="J2942" s="8"/>
      <c r="K2942" s="8"/>
      <c r="L2942" s="8"/>
      <c r="M2942" s="8"/>
      <c r="N2942" s="8"/>
      <c r="O2942" s="8"/>
      <c r="P2942" s="4"/>
      <c r="Q2942" s="8"/>
      <c r="R2942" s="4"/>
      <c r="S2942" s="4"/>
    </row>
    <row r="2943" customFormat="false" ht="15" hidden="false" customHeight="false" outlineLevel="0" collapsed="false">
      <c r="A2943" s="4"/>
      <c r="B2943" s="8"/>
      <c r="C2943" s="8"/>
      <c r="D2943" s="8"/>
      <c r="E2943" s="8"/>
      <c r="F2943" s="8"/>
      <c r="G2943" s="8"/>
      <c r="H2943" s="8"/>
      <c r="I2943" s="8"/>
      <c r="J2943" s="8"/>
      <c r="K2943" s="8"/>
      <c r="L2943" s="8"/>
      <c r="M2943" s="8"/>
      <c r="N2943" s="8"/>
      <c r="O2943" s="8"/>
      <c r="P2943" s="4"/>
      <c r="Q2943" s="8"/>
      <c r="R2943" s="4"/>
      <c r="S2943" s="4"/>
    </row>
    <row r="2944" customFormat="false" ht="15" hidden="false" customHeight="false" outlineLevel="0" collapsed="false">
      <c r="A2944" s="4"/>
      <c r="B2944" s="8"/>
      <c r="C2944" s="8"/>
      <c r="D2944" s="8"/>
      <c r="E2944" s="8"/>
      <c r="F2944" s="8"/>
      <c r="G2944" s="8"/>
      <c r="H2944" s="8"/>
      <c r="I2944" s="8"/>
      <c r="J2944" s="8"/>
      <c r="K2944" s="8"/>
      <c r="L2944" s="8"/>
      <c r="M2944" s="8"/>
      <c r="N2944" s="8"/>
      <c r="O2944" s="8"/>
      <c r="P2944" s="4"/>
      <c r="Q2944" s="8"/>
      <c r="R2944" s="4"/>
      <c r="S2944" s="4"/>
    </row>
    <row r="2945" customFormat="false" ht="15" hidden="false" customHeight="false" outlineLevel="0" collapsed="false">
      <c r="A2945" s="4"/>
      <c r="B2945" s="8"/>
      <c r="C2945" s="8"/>
      <c r="D2945" s="8"/>
      <c r="E2945" s="8"/>
      <c r="F2945" s="8"/>
      <c r="G2945" s="8"/>
      <c r="H2945" s="8"/>
      <c r="I2945" s="8"/>
      <c r="J2945" s="8"/>
      <c r="K2945" s="8"/>
      <c r="L2945" s="8"/>
      <c r="M2945" s="8"/>
      <c r="N2945" s="8"/>
      <c r="O2945" s="8"/>
      <c r="P2945" s="4"/>
      <c r="Q2945" s="8"/>
      <c r="R2945" s="4"/>
      <c r="S2945" s="4"/>
    </row>
    <row r="2946" customFormat="false" ht="15" hidden="false" customHeight="false" outlineLevel="0" collapsed="false">
      <c r="A2946" s="4"/>
      <c r="B2946" s="8"/>
      <c r="C2946" s="8"/>
      <c r="D2946" s="8"/>
      <c r="E2946" s="8"/>
      <c r="F2946" s="8"/>
      <c r="G2946" s="8"/>
      <c r="H2946" s="8"/>
      <c r="I2946" s="8"/>
      <c r="J2946" s="8"/>
      <c r="K2946" s="8"/>
      <c r="L2946" s="8"/>
      <c r="M2946" s="8"/>
      <c r="N2946" s="8"/>
      <c r="O2946" s="8"/>
      <c r="P2946" s="4"/>
      <c r="Q2946" s="8"/>
      <c r="R2946" s="4"/>
      <c r="S2946" s="4"/>
    </row>
    <row r="2947" customFormat="false" ht="15" hidden="false" customHeight="false" outlineLevel="0" collapsed="false">
      <c r="A2947" s="4"/>
      <c r="B2947" s="8"/>
      <c r="C2947" s="8"/>
      <c r="D2947" s="8"/>
      <c r="E2947" s="8"/>
      <c r="F2947" s="8"/>
      <c r="G2947" s="8"/>
      <c r="H2947" s="8"/>
      <c r="I2947" s="8"/>
      <c r="J2947" s="8"/>
      <c r="K2947" s="8"/>
      <c r="L2947" s="8"/>
      <c r="M2947" s="8"/>
      <c r="N2947" s="8"/>
      <c r="O2947" s="8"/>
      <c r="P2947" s="4"/>
      <c r="Q2947" s="8"/>
      <c r="R2947" s="4"/>
      <c r="S2947" s="4"/>
    </row>
    <row r="2948" customFormat="false" ht="15" hidden="false" customHeight="false" outlineLevel="0" collapsed="false">
      <c r="A2948" s="4"/>
      <c r="B2948" s="8"/>
      <c r="C2948" s="8"/>
      <c r="D2948" s="8"/>
      <c r="E2948" s="8"/>
      <c r="F2948" s="8"/>
      <c r="G2948" s="8"/>
      <c r="H2948" s="8"/>
      <c r="I2948" s="8"/>
      <c r="J2948" s="8"/>
      <c r="K2948" s="8"/>
      <c r="L2948" s="8"/>
      <c r="M2948" s="8"/>
      <c r="N2948" s="8"/>
      <c r="O2948" s="8"/>
      <c r="P2948" s="4"/>
      <c r="Q2948" s="8"/>
      <c r="R2948" s="4"/>
      <c r="S2948" s="4"/>
    </row>
    <row r="2949" customFormat="false" ht="15" hidden="false" customHeight="false" outlineLevel="0" collapsed="false">
      <c r="A2949" s="4"/>
      <c r="B2949" s="8"/>
      <c r="C2949" s="8"/>
      <c r="D2949" s="8"/>
      <c r="E2949" s="8"/>
      <c r="F2949" s="8"/>
      <c r="G2949" s="8"/>
      <c r="H2949" s="8"/>
      <c r="I2949" s="8"/>
      <c r="J2949" s="8"/>
      <c r="K2949" s="8"/>
      <c r="L2949" s="8"/>
      <c r="M2949" s="8"/>
      <c r="N2949" s="8"/>
      <c r="O2949" s="8"/>
      <c r="P2949" s="4"/>
      <c r="Q2949" s="8"/>
      <c r="R2949" s="4"/>
      <c r="S2949" s="4"/>
    </row>
    <row r="2950" customFormat="false" ht="15" hidden="false" customHeight="false" outlineLevel="0" collapsed="false">
      <c r="A2950" s="4"/>
      <c r="B2950" s="8"/>
      <c r="C2950" s="8"/>
      <c r="D2950" s="8"/>
      <c r="E2950" s="8"/>
      <c r="F2950" s="8"/>
      <c r="G2950" s="8"/>
      <c r="H2950" s="8"/>
      <c r="I2950" s="8"/>
      <c r="J2950" s="8"/>
      <c r="K2950" s="8"/>
      <c r="L2950" s="8"/>
      <c r="M2950" s="8"/>
      <c r="N2950" s="8"/>
      <c r="O2950" s="8"/>
      <c r="P2950" s="4"/>
      <c r="Q2950" s="8"/>
      <c r="R2950" s="4"/>
      <c r="S2950" s="4"/>
    </row>
    <row r="2951" customFormat="false" ht="15" hidden="false" customHeight="false" outlineLevel="0" collapsed="false">
      <c r="A2951" s="4"/>
      <c r="B2951" s="8"/>
      <c r="C2951" s="8"/>
      <c r="D2951" s="8"/>
      <c r="E2951" s="8"/>
      <c r="F2951" s="8"/>
      <c r="G2951" s="8"/>
      <c r="H2951" s="8"/>
      <c r="I2951" s="8"/>
      <c r="J2951" s="8"/>
      <c r="K2951" s="8"/>
      <c r="L2951" s="8"/>
      <c r="M2951" s="8"/>
      <c r="N2951" s="8"/>
      <c r="O2951" s="8"/>
      <c r="P2951" s="4"/>
      <c r="Q2951" s="8"/>
      <c r="R2951" s="4"/>
      <c r="S2951" s="4"/>
    </row>
    <row r="2952" customFormat="false" ht="15" hidden="false" customHeight="false" outlineLevel="0" collapsed="false">
      <c r="A2952" s="4"/>
      <c r="B2952" s="8"/>
      <c r="C2952" s="8"/>
      <c r="D2952" s="8"/>
      <c r="E2952" s="8"/>
      <c r="F2952" s="8"/>
      <c r="G2952" s="8"/>
      <c r="H2952" s="8"/>
      <c r="I2952" s="8"/>
      <c r="J2952" s="8"/>
      <c r="K2952" s="8"/>
      <c r="L2952" s="8"/>
      <c r="M2952" s="8"/>
      <c r="N2952" s="8"/>
      <c r="O2952" s="8"/>
      <c r="P2952" s="4"/>
      <c r="Q2952" s="8"/>
      <c r="R2952" s="4"/>
      <c r="S2952" s="4"/>
    </row>
    <row r="2953" customFormat="false" ht="15" hidden="false" customHeight="false" outlineLevel="0" collapsed="false">
      <c r="A2953" s="4"/>
      <c r="B2953" s="8"/>
      <c r="C2953" s="8"/>
      <c r="D2953" s="8"/>
      <c r="E2953" s="8"/>
      <c r="F2953" s="8"/>
      <c r="G2953" s="8"/>
      <c r="H2953" s="8"/>
      <c r="I2953" s="8"/>
      <c r="J2953" s="8"/>
      <c r="K2953" s="8"/>
      <c r="L2953" s="8"/>
      <c r="M2953" s="8"/>
      <c r="N2953" s="8"/>
      <c r="O2953" s="8"/>
      <c r="P2953" s="4"/>
      <c r="Q2953" s="8"/>
      <c r="R2953" s="4"/>
      <c r="S2953" s="4"/>
    </row>
    <row r="2954" customFormat="false" ht="15" hidden="false" customHeight="false" outlineLevel="0" collapsed="false">
      <c r="A2954" s="4"/>
      <c r="B2954" s="8"/>
      <c r="C2954" s="8"/>
      <c r="D2954" s="8"/>
      <c r="E2954" s="8"/>
      <c r="F2954" s="8"/>
      <c r="G2954" s="8"/>
      <c r="H2954" s="8"/>
      <c r="I2954" s="8"/>
      <c r="J2954" s="8"/>
      <c r="K2954" s="8"/>
      <c r="L2954" s="8"/>
      <c r="M2954" s="8"/>
      <c r="N2954" s="8"/>
      <c r="O2954" s="8"/>
      <c r="P2954" s="4"/>
      <c r="Q2954" s="8"/>
      <c r="R2954" s="4"/>
      <c r="S2954" s="4"/>
    </row>
    <row r="2955" customFormat="false" ht="15" hidden="false" customHeight="false" outlineLevel="0" collapsed="false">
      <c r="A2955" s="4"/>
      <c r="B2955" s="8"/>
      <c r="C2955" s="8"/>
      <c r="D2955" s="8"/>
      <c r="E2955" s="8"/>
      <c r="F2955" s="8"/>
      <c r="G2955" s="8"/>
      <c r="H2955" s="8"/>
      <c r="I2955" s="8"/>
      <c r="J2955" s="8"/>
      <c r="K2955" s="8"/>
      <c r="L2955" s="8"/>
      <c r="M2955" s="8"/>
      <c r="N2955" s="8"/>
      <c r="O2955" s="8"/>
      <c r="P2955" s="4"/>
      <c r="Q2955" s="8"/>
      <c r="R2955" s="4"/>
      <c r="S2955" s="4"/>
    </row>
    <row r="2956" customFormat="false" ht="15" hidden="false" customHeight="false" outlineLevel="0" collapsed="false">
      <c r="A2956" s="4"/>
      <c r="B2956" s="8"/>
      <c r="C2956" s="8"/>
      <c r="D2956" s="8"/>
      <c r="E2956" s="8"/>
      <c r="F2956" s="8"/>
      <c r="G2956" s="8"/>
      <c r="H2956" s="8"/>
      <c r="I2956" s="8"/>
      <c r="J2956" s="8"/>
      <c r="K2956" s="8"/>
      <c r="L2956" s="8"/>
      <c r="M2956" s="8"/>
      <c r="N2956" s="8"/>
      <c r="O2956" s="8"/>
      <c r="P2956" s="4"/>
      <c r="Q2956" s="8"/>
      <c r="R2956" s="4"/>
      <c r="S2956" s="4"/>
    </row>
    <row r="2957" customFormat="false" ht="15" hidden="false" customHeight="false" outlineLevel="0" collapsed="false">
      <c r="A2957" s="4"/>
      <c r="B2957" s="8"/>
      <c r="C2957" s="8"/>
      <c r="D2957" s="8"/>
      <c r="E2957" s="8"/>
      <c r="F2957" s="8"/>
      <c r="G2957" s="8"/>
      <c r="H2957" s="8"/>
      <c r="I2957" s="8"/>
      <c r="J2957" s="8"/>
      <c r="K2957" s="8"/>
      <c r="L2957" s="8"/>
      <c r="M2957" s="8"/>
      <c r="N2957" s="8"/>
      <c r="O2957" s="8"/>
      <c r="P2957" s="4"/>
      <c r="Q2957" s="8"/>
      <c r="R2957" s="4"/>
      <c r="S2957" s="4"/>
    </row>
    <row r="2958" customFormat="false" ht="15" hidden="false" customHeight="false" outlineLevel="0" collapsed="false">
      <c r="A2958" s="4"/>
      <c r="B2958" s="8"/>
      <c r="C2958" s="8"/>
      <c r="D2958" s="8"/>
      <c r="E2958" s="8"/>
      <c r="F2958" s="8"/>
      <c r="G2958" s="8"/>
      <c r="H2958" s="8"/>
      <c r="I2958" s="8"/>
      <c r="J2958" s="8"/>
      <c r="K2958" s="8"/>
      <c r="L2958" s="8"/>
      <c r="M2958" s="8"/>
      <c r="N2958" s="8"/>
      <c r="O2958" s="8"/>
      <c r="P2958" s="4"/>
      <c r="Q2958" s="8"/>
      <c r="R2958" s="4"/>
      <c r="S2958" s="4"/>
    </row>
    <row r="2959" customFormat="false" ht="15" hidden="false" customHeight="false" outlineLevel="0" collapsed="false">
      <c r="A2959" s="4"/>
      <c r="B2959" s="8"/>
      <c r="C2959" s="8"/>
      <c r="D2959" s="8"/>
      <c r="E2959" s="8"/>
      <c r="F2959" s="8"/>
      <c r="G2959" s="8"/>
      <c r="H2959" s="8"/>
      <c r="I2959" s="8"/>
      <c r="J2959" s="8"/>
      <c r="K2959" s="8"/>
      <c r="L2959" s="8"/>
      <c r="M2959" s="8"/>
      <c r="N2959" s="8"/>
      <c r="O2959" s="8"/>
      <c r="P2959" s="4"/>
      <c r="Q2959" s="8"/>
      <c r="R2959" s="4"/>
      <c r="S2959" s="4"/>
    </row>
    <row r="2960" customFormat="false" ht="15" hidden="false" customHeight="false" outlineLevel="0" collapsed="false">
      <c r="A2960" s="4"/>
      <c r="B2960" s="8"/>
      <c r="C2960" s="8"/>
      <c r="D2960" s="8"/>
      <c r="E2960" s="8"/>
      <c r="F2960" s="8"/>
      <c r="G2960" s="8"/>
      <c r="H2960" s="8"/>
      <c r="I2960" s="8"/>
      <c r="J2960" s="8"/>
      <c r="K2960" s="8"/>
      <c r="L2960" s="8"/>
      <c r="M2960" s="8"/>
      <c r="N2960" s="8"/>
      <c r="O2960" s="8"/>
      <c r="P2960" s="4"/>
      <c r="Q2960" s="8"/>
      <c r="R2960" s="4"/>
      <c r="S2960" s="4"/>
    </row>
    <row r="2961" customFormat="false" ht="15" hidden="false" customHeight="false" outlineLevel="0" collapsed="false">
      <c r="A2961" s="4"/>
      <c r="B2961" s="8"/>
      <c r="C2961" s="8"/>
      <c r="D2961" s="8"/>
      <c r="E2961" s="8"/>
      <c r="F2961" s="8"/>
      <c r="G2961" s="8"/>
      <c r="H2961" s="8"/>
      <c r="I2961" s="8"/>
      <c r="J2961" s="8"/>
      <c r="K2961" s="8"/>
      <c r="L2961" s="8"/>
      <c r="M2961" s="8"/>
      <c r="N2961" s="8"/>
      <c r="O2961" s="8"/>
      <c r="P2961" s="4"/>
      <c r="Q2961" s="8"/>
      <c r="R2961" s="4"/>
      <c r="S2961" s="4"/>
    </row>
    <row r="2962" customFormat="false" ht="15" hidden="false" customHeight="false" outlineLevel="0" collapsed="false">
      <c r="A2962" s="4"/>
      <c r="B2962" s="8"/>
      <c r="C2962" s="8"/>
      <c r="D2962" s="8"/>
      <c r="E2962" s="8"/>
      <c r="F2962" s="8"/>
      <c r="G2962" s="8"/>
      <c r="H2962" s="8"/>
      <c r="I2962" s="8"/>
      <c r="J2962" s="8"/>
      <c r="K2962" s="8"/>
      <c r="L2962" s="8"/>
      <c r="M2962" s="8"/>
      <c r="N2962" s="8"/>
      <c r="O2962" s="8"/>
      <c r="P2962" s="4"/>
      <c r="Q2962" s="8"/>
      <c r="R2962" s="4"/>
      <c r="S2962" s="4"/>
    </row>
    <row r="2963" customFormat="false" ht="15" hidden="false" customHeight="false" outlineLevel="0" collapsed="false">
      <c r="A2963" s="4"/>
      <c r="B2963" s="8"/>
      <c r="C2963" s="8"/>
      <c r="D2963" s="8"/>
      <c r="E2963" s="8"/>
      <c r="F2963" s="8"/>
      <c r="G2963" s="8"/>
      <c r="H2963" s="8"/>
      <c r="I2963" s="8"/>
      <c r="J2963" s="8"/>
      <c r="K2963" s="8"/>
      <c r="L2963" s="8"/>
      <c r="M2963" s="8"/>
      <c r="N2963" s="8"/>
      <c r="O2963" s="8"/>
      <c r="P2963" s="4"/>
      <c r="Q2963" s="8"/>
      <c r="R2963" s="4"/>
      <c r="S2963" s="4"/>
    </row>
    <row r="2964" customFormat="false" ht="15" hidden="false" customHeight="false" outlineLevel="0" collapsed="false">
      <c r="A2964" s="4"/>
      <c r="B2964" s="8"/>
      <c r="C2964" s="8"/>
      <c r="D2964" s="8"/>
      <c r="E2964" s="8"/>
      <c r="F2964" s="8"/>
      <c r="G2964" s="8"/>
      <c r="H2964" s="8"/>
      <c r="I2964" s="8"/>
      <c r="J2964" s="8"/>
      <c r="K2964" s="8"/>
      <c r="L2964" s="8"/>
      <c r="M2964" s="8"/>
      <c r="N2964" s="8"/>
      <c r="O2964" s="8"/>
      <c r="P2964" s="4"/>
      <c r="Q2964" s="8"/>
      <c r="R2964" s="4"/>
      <c r="S2964" s="4"/>
    </row>
    <row r="2965" customFormat="false" ht="15" hidden="false" customHeight="false" outlineLevel="0" collapsed="false">
      <c r="A2965" s="4"/>
      <c r="B2965" s="8"/>
      <c r="C2965" s="8"/>
      <c r="D2965" s="8"/>
      <c r="E2965" s="8"/>
      <c r="F2965" s="8"/>
      <c r="G2965" s="8"/>
      <c r="H2965" s="8"/>
      <c r="I2965" s="8"/>
      <c r="J2965" s="8"/>
      <c r="K2965" s="8"/>
      <c r="L2965" s="8"/>
      <c r="M2965" s="8"/>
      <c r="N2965" s="8"/>
      <c r="O2965" s="8"/>
      <c r="P2965" s="4"/>
      <c r="Q2965" s="8"/>
      <c r="R2965" s="4"/>
      <c r="S2965" s="4"/>
    </row>
    <row r="2966" customFormat="false" ht="15" hidden="false" customHeight="false" outlineLevel="0" collapsed="false">
      <c r="A2966" s="4"/>
      <c r="B2966" s="8"/>
      <c r="C2966" s="8"/>
      <c r="D2966" s="8"/>
      <c r="E2966" s="8"/>
      <c r="F2966" s="8"/>
      <c r="G2966" s="8"/>
      <c r="H2966" s="8"/>
      <c r="I2966" s="8"/>
      <c r="J2966" s="8"/>
      <c r="K2966" s="8"/>
      <c r="L2966" s="8"/>
      <c r="M2966" s="8"/>
      <c r="N2966" s="8"/>
      <c r="O2966" s="8"/>
      <c r="P2966" s="4"/>
      <c r="Q2966" s="8"/>
      <c r="R2966" s="4"/>
      <c r="S2966" s="4"/>
    </row>
    <row r="2967" customFormat="false" ht="15" hidden="false" customHeight="false" outlineLevel="0" collapsed="false">
      <c r="A2967" s="4"/>
      <c r="B2967" s="8"/>
      <c r="C2967" s="8"/>
      <c r="D2967" s="8"/>
      <c r="E2967" s="8"/>
      <c r="F2967" s="8"/>
      <c r="G2967" s="8"/>
      <c r="H2967" s="8"/>
      <c r="I2967" s="8"/>
      <c r="J2967" s="8"/>
      <c r="K2967" s="8"/>
      <c r="L2967" s="8"/>
      <c r="M2967" s="8"/>
      <c r="N2967" s="8"/>
      <c r="O2967" s="8"/>
      <c r="P2967" s="4"/>
      <c r="Q2967" s="8"/>
      <c r="R2967" s="4"/>
      <c r="S2967" s="4"/>
    </row>
    <row r="2968" customFormat="false" ht="15" hidden="false" customHeight="false" outlineLevel="0" collapsed="false">
      <c r="A2968" s="4"/>
      <c r="B2968" s="8"/>
      <c r="C2968" s="8"/>
      <c r="D2968" s="8"/>
      <c r="E2968" s="8"/>
      <c r="F2968" s="8"/>
      <c r="G2968" s="8"/>
      <c r="H2968" s="8"/>
      <c r="I2968" s="8"/>
      <c r="J2968" s="8"/>
      <c r="K2968" s="8"/>
      <c r="L2968" s="8"/>
      <c r="M2968" s="8"/>
      <c r="N2968" s="8"/>
      <c r="O2968" s="8"/>
      <c r="P2968" s="4"/>
      <c r="Q2968" s="8"/>
      <c r="R2968" s="4"/>
      <c r="S2968" s="4"/>
    </row>
    <row r="2969" customFormat="false" ht="15" hidden="false" customHeight="false" outlineLevel="0" collapsed="false">
      <c r="A2969" s="4"/>
      <c r="B2969" s="8"/>
      <c r="C2969" s="8"/>
      <c r="D2969" s="8"/>
      <c r="E2969" s="8"/>
      <c r="F2969" s="8"/>
      <c r="G2969" s="8"/>
      <c r="H2969" s="8"/>
      <c r="I2969" s="8"/>
      <c r="J2969" s="8"/>
      <c r="K2969" s="8"/>
      <c r="L2969" s="8"/>
      <c r="M2969" s="8"/>
      <c r="N2969" s="8"/>
      <c r="O2969" s="8"/>
      <c r="P2969" s="4"/>
      <c r="Q2969" s="8"/>
      <c r="R2969" s="4"/>
      <c r="S2969" s="4"/>
    </row>
    <row r="2970" customFormat="false" ht="15" hidden="false" customHeight="false" outlineLevel="0" collapsed="false">
      <c r="A2970" s="4"/>
      <c r="B2970" s="8"/>
      <c r="C2970" s="8"/>
      <c r="D2970" s="8"/>
      <c r="E2970" s="8"/>
      <c r="F2970" s="8"/>
      <c r="G2970" s="8"/>
      <c r="H2970" s="8"/>
      <c r="I2970" s="8"/>
      <c r="J2970" s="8"/>
      <c r="K2970" s="8"/>
      <c r="L2970" s="8"/>
      <c r="M2970" s="8"/>
      <c r="N2970" s="8"/>
      <c r="O2970" s="8"/>
      <c r="P2970" s="4"/>
      <c r="Q2970" s="8"/>
      <c r="R2970" s="4"/>
      <c r="S2970" s="4"/>
    </row>
    <row r="2971" customFormat="false" ht="15" hidden="false" customHeight="false" outlineLevel="0" collapsed="false">
      <c r="A2971" s="4"/>
      <c r="B2971" s="8"/>
      <c r="C2971" s="8"/>
      <c r="D2971" s="8"/>
      <c r="E2971" s="8"/>
      <c r="F2971" s="8"/>
      <c r="G2971" s="8"/>
      <c r="H2971" s="8"/>
      <c r="I2971" s="8"/>
      <c r="J2971" s="8"/>
      <c r="K2971" s="8"/>
      <c r="L2971" s="8"/>
      <c r="M2971" s="8"/>
      <c r="N2971" s="8"/>
      <c r="O2971" s="8"/>
      <c r="P2971" s="4"/>
      <c r="Q2971" s="8"/>
      <c r="R2971" s="4"/>
      <c r="S2971" s="4"/>
    </row>
    <row r="2972" customFormat="false" ht="15" hidden="false" customHeight="false" outlineLevel="0" collapsed="false">
      <c r="A2972" s="4"/>
      <c r="B2972" s="8"/>
      <c r="C2972" s="8"/>
      <c r="D2972" s="8"/>
      <c r="E2972" s="8"/>
      <c r="F2972" s="8"/>
      <c r="G2972" s="8"/>
      <c r="H2972" s="8"/>
      <c r="I2972" s="8"/>
      <c r="J2972" s="8"/>
      <c r="K2972" s="8"/>
      <c r="L2972" s="8"/>
      <c r="M2972" s="8"/>
      <c r="N2972" s="8"/>
      <c r="O2972" s="8"/>
      <c r="P2972" s="4"/>
      <c r="Q2972" s="8"/>
      <c r="R2972" s="4"/>
      <c r="S2972" s="4"/>
    </row>
    <row r="2973" customFormat="false" ht="15" hidden="false" customHeight="false" outlineLevel="0" collapsed="false">
      <c r="A2973" s="4"/>
      <c r="B2973" s="8"/>
      <c r="C2973" s="8"/>
      <c r="D2973" s="8"/>
      <c r="E2973" s="8"/>
      <c r="F2973" s="8"/>
      <c r="G2973" s="8"/>
      <c r="H2973" s="8"/>
      <c r="I2973" s="8"/>
      <c r="J2973" s="8"/>
      <c r="K2973" s="8"/>
      <c r="L2973" s="8"/>
      <c r="M2973" s="8"/>
      <c r="N2973" s="8"/>
      <c r="O2973" s="8"/>
      <c r="P2973" s="4"/>
      <c r="Q2973" s="8"/>
      <c r="R2973" s="4"/>
      <c r="S2973" s="4"/>
    </row>
    <row r="2974" customFormat="false" ht="15" hidden="false" customHeight="false" outlineLevel="0" collapsed="false">
      <c r="A2974" s="4"/>
      <c r="B2974" s="8"/>
      <c r="C2974" s="8"/>
      <c r="D2974" s="8"/>
      <c r="E2974" s="8"/>
      <c r="F2974" s="8"/>
      <c r="G2974" s="8"/>
      <c r="H2974" s="8"/>
      <c r="I2974" s="8"/>
      <c r="J2974" s="8"/>
      <c r="K2974" s="8"/>
      <c r="L2974" s="8"/>
      <c r="M2974" s="8"/>
      <c r="N2974" s="8"/>
      <c r="O2974" s="8"/>
      <c r="P2974" s="4"/>
      <c r="Q2974" s="8"/>
      <c r="R2974" s="4"/>
      <c r="S2974" s="4"/>
    </row>
    <row r="2975" customFormat="false" ht="15" hidden="false" customHeight="false" outlineLevel="0" collapsed="false">
      <c r="A2975" s="4"/>
      <c r="B2975" s="8"/>
      <c r="C2975" s="8"/>
      <c r="D2975" s="8"/>
      <c r="E2975" s="8"/>
      <c r="F2975" s="8"/>
      <c r="G2975" s="8"/>
      <c r="H2975" s="8"/>
      <c r="I2975" s="8"/>
      <c r="J2975" s="8"/>
      <c r="K2975" s="8"/>
      <c r="L2975" s="8"/>
      <c r="M2975" s="8"/>
      <c r="N2975" s="8"/>
      <c r="O2975" s="8"/>
      <c r="P2975" s="4"/>
      <c r="Q2975" s="8"/>
      <c r="R2975" s="4"/>
      <c r="S2975" s="4"/>
    </row>
    <row r="2976" customFormat="false" ht="15" hidden="false" customHeight="false" outlineLevel="0" collapsed="false">
      <c r="A2976" s="4"/>
      <c r="B2976" s="8"/>
      <c r="C2976" s="8"/>
      <c r="D2976" s="8"/>
      <c r="E2976" s="8"/>
      <c r="F2976" s="8"/>
      <c r="G2976" s="8"/>
      <c r="H2976" s="8"/>
      <c r="I2976" s="8"/>
      <c r="J2976" s="8"/>
      <c r="K2976" s="8"/>
      <c r="L2976" s="8"/>
      <c r="M2976" s="8"/>
      <c r="N2976" s="8"/>
      <c r="O2976" s="8"/>
      <c r="P2976" s="4"/>
      <c r="Q2976" s="8"/>
      <c r="R2976" s="4"/>
      <c r="S2976" s="4"/>
    </row>
    <row r="2977" customFormat="false" ht="15" hidden="false" customHeight="false" outlineLevel="0" collapsed="false">
      <c r="A2977" s="4"/>
      <c r="B2977" s="8"/>
      <c r="C2977" s="8"/>
      <c r="D2977" s="8"/>
      <c r="E2977" s="8"/>
      <c r="F2977" s="8"/>
      <c r="G2977" s="8"/>
      <c r="H2977" s="8"/>
      <c r="I2977" s="8"/>
      <c r="J2977" s="8"/>
      <c r="K2977" s="8"/>
      <c r="L2977" s="8"/>
      <c r="M2977" s="8"/>
      <c r="N2977" s="8"/>
      <c r="O2977" s="8"/>
      <c r="P2977" s="4"/>
      <c r="Q2977" s="8"/>
      <c r="R2977" s="4"/>
      <c r="S2977" s="4"/>
    </row>
    <row r="2978" customFormat="false" ht="15" hidden="false" customHeight="false" outlineLevel="0" collapsed="false">
      <c r="A2978" s="4"/>
      <c r="B2978" s="8"/>
      <c r="C2978" s="8"/>
      <c r="D2978" s="8"/>
      <c r="E2978" s="8"/>
      <c r="F2978" s="8"/>
      <c r="G2978" s="8"/>
      <c r="H2978" s="8"/>
      <c r="I2978" s="8"/>
      <c r="J2978" s="8"/>
      <c r="K2978" s="8"/>
      <c r="L2978" s="8"/>
      <c r="M2978" s="8"/>
      <c r="N2978" s="8"/>
      <c r="O2978" s="8"/>
      <c r="P2978" s="4"/>
      <c r="Q2978" s="8"/>
      <c r="R2978" s="4"/>
      <c r="S2978" s="4"/>
    </row>
    <row r="2979" customFormat="false" ht="15" hidden="false" customHeight="false" outlineLevel="0" collapsed="false">
      <c r="A2979" s="4"/>
      <c r="B2979" s="8"/>
      <c r="C2979" s="8"/>
      <c r="D2979" s="8"/>
      <c r="E2979" s="8"/>
      <c r="F2979" s="8"/>
      <c r="G2979" s="8"/>
      <c r="H2979" s="8"/>
      <c r="I2979" s="8"/>
      <c r="J2979" s="8"/>
      <c r="K2979" s="8"/>
      <c r="L2979" s="8"/>
      <c r="M2979" s="8"/>
      <c r="N2979" s="8"/>
      <c r="O2979" s="8"/>
      <c r="P2979" s="4"/>
      <c r="Q2979" s="8"/>
      <c r="R2979" s="4"/>
      <c r="S2979" s="4"/>
    </row>
    <row r="2980" customFormat="false" ht="15" hidden="false" customHeight="false" outlineLevel="0" collapsed="false">
      <c r="A2980" s="4"/>
      <c r="B2980" s="8"/>
      <c r="C2980" s="8"/>
      <c r="D2980" s="8"/>
      <c r="E2980" s="8"/>
      <c r="F2980" s="8"/>
      <c r="G2980" s="8"/>
      <c r="H2980" s="8"/>
      <c r="I2980" s="8"/>
      <c r="J2980" s="8"/>
      <c r="K2980" s="8"/>
      <c r="L2980" s="8"/>
      <c r="M2980" s="8"/>
      <c r="N2980" s="8"/>
      <c r="O2980" s="8"/>
      <c r="P2980" s="4"/>
      <c r="Q2980" s="8"/>
      <c r="R2980" s="4"/>
      <c r="S2980" s="4"/>
    </row>
    <row r="2981" customFormat="false" ht="15" hidden="false" customHeight="false" outlineLevel="0" collapsed="false">
      <c r="A2981" s="4"/>
      <c r="B2981" s="8"/>
      <c r="C2981" s="8"/>
      <c r="D2981" s="8"/>
      <c r="E2981" s="8"/>
      <c r="F2981" s="8"/>
      <c r="G2981" s="8"/>
      <c r="H2981" s="8"/>
      <c r="I2981" s="8"/>
      <c r="J2981" s="8"/>
      <c r="K2981" s="8"/>
      <c r="L2981" s="8"/>
      <c r="M2981" s="8"/>
      <c r="N2981" s="8"/>
      <c r="O2981" s="8"/>
      <c r="P2981" s="4"/>
      <c r="Q2981" s="8"/>
      <c r="R2981" s="4"/>
      <c r="S2981" s="4"/>
    </row>
    <row r="2982" customFormat="false" ht="15" hidden="false" customHeight="false" outlineLevel="0" collapsed="false">
      <c r="A2982" s="4"/>
      <c r="B2982" s="8"/>
      <c r="C2982" s="8"/>
      <c r="D2982" s="8"/>
      <c r="E2982" s="8"/>
      <c r="F2982" s="8"/>
      <c r="G2982" s="8"/>
      <c r="H2982" s="8"/>
      <c r="I2982" s="8"/>
      <c r="J2982" s="8"/>
      <c r="K2982" s="8"/>
      <c r="L2982" s="8"/>
      <c r="M2982" s="8"/>
      <c r="N2982" s="8"/>
      <c r="O2982" s="8"/>
      <c r="P2982" s="4"/>
      <c r="Q2982" s="8"/>
      <c r="R2982" s="4"/>
      <c r="S2982" s="4"/>
    </row>
    <row r="2983" customFormat="false" ht="15" hidden="false" customHeight="false" outlineLevel="0" collapsed="false">
      <c r="A2983" s="4"/>
      <c r="B2983" s="8"/>
      <c r="C2983" s="8"/>
      <c r="D2983" s="8"/>
      <c r="E2983" s="8"/>
      <c r="F2983" s="8"/>
      <c r="G2983" s="8"/>
      <c r="H2983" s="8"/>
      <c r="I2983" s="8"/>
      <c r="J2983" s="8"/>
      <c r="K2983" s="8"/>
      <c r="L2983" s="8"/>
      <c r="M2983" s="8"/>
      <c r="N2983" s="8"/>
      <c r="O2983" s="8"/>
      <c r="P2983" s="4"/>
      <c r="Q2983" s="8"/>
      <c r="R2983" s="4"/>
      <c r="S2983" s="4"/>
    </row>
    <row r="2984" customFormat="false" ht="15" hidden="false" customHeight="false" outlineLevel="0" collapsed="false">
      <c r="A2984" s="4"/>
      <c r="B2984" s="8"/>
      <c r="C2984" s="8"/>
      <c r="D2984" s="8"/>
      <c r="E2984" s="8"/>
      <c r="F2984" s="8"/>
      <c r="G2984" s="8"/>
      <c r="H2984" s="8"/>
      <c r="I2984" s="8"/>
      <c r="J2984" s="8"/>
      <c r="K2984" s="8"/>
      <c r="L2984" s="8"/>
      <c r="M2984" s="8"/>
      <c r="N2984" s="8"/>
      <c r="O2984" s="8"/>
      <c r="P2984" s="4"/>
      <c r="Q2984" s="8"/>
      <c r="R2984" s="4"/>
      <c r="S2984" s="4"/>
    </row>
    <row r="2985" customFormat="false" ht="15" hidden="false" customHeight="false" outlineLevel="0" collapsed="false">
      <c r="A2985" s="4"/>
      <c r="B2985" s="8"/>
      <c r="C2985" s="8"/>
      <c r="D2985" s="8"/>
      <c r="E2985" s="8"/>
      <c r="F2985" s="8"/>
      <c r="G2985" s="8"/>
      <c r="H2985" s="8"/>
      <c r="I2985" s="8"/>
      <c r="J2985" s="8"/>
      <c r="K2985" s="8"/>
      <c r="L2985" s="8"/>
      <c r="M2985" s="8"/>
      <c r="N2985" s="8"/>
      <c r="O2985" s="8"/>
      <c r="P2985" s="4"/>
      <c r="Q2985" s="8"/>
      <c r="R2985" s="4"/>
      <c r="S2985" s="4"/>
    </row>
    <row r="2986" customFormat="false" ht="15" hidden="false" customHeight="false" outlineLevel="0" collapsed="false">
      <c r="A2986" s="4"/>
      <c r="B2986" s="8"/>
      <c r="C2986" s="8"/>
      <c r="D2986" s="8"/>
      <c r="E2986" s="8"/>
      <c r="F2986" s="8"/>
      <c r="G2986" s="8"/>
      <c r="H2986" s="8"/>
      <c r="I2986" s="8"/>
      <c r="J2986" s="8"/>
      <c r="K2986" s="8"/>
      <c r="L2986" s="8"/>
      <c r="M2986" s="8"/>
      <c r="N2986" s="8"/>
      <c r="O2986" s="8"/>
      <c r="P2986" s="4"/>
      <c r="Q2986" s="8"/>
      <c r="R2986" s="4"/>
      <c r="S2986" s="4"/>
    </row>
    <row r="2987" customFormat="false" ht="15" hidden="false" customHeight="false" outlineLevel="0" collapsed="false">
      <c r="A2987" s="4"/>
      <c r="B2987" s="8"/>
      <c r="C2987" s="8"/>
      <c r="D2987" s="8"/>
      <c r="E2987" s="8"/>
      <c r="F2987" s="8"/>
      <c r="G2987" s="8"/>
      <c r="H2987" s="8"/>
      <c r="I2987" s="8"/>
      <c r="J2987" s="8"/>
      <c r="K2987" s="8"/>
      <c r="L2987" s="8"/>
      <c r="M2987" s="8"/>
      <c r="N2987" s="8"/>
      <c r="O2987" s="8"/>
      <c r="P2987" s="4"/>
      <c r="Q2987" s="8"/>
      <c r="R2987" s="4"/>
      <c r="S2987" s="4"/>
    </row>
    <row r="2988" customFormat="false" ht="15" hidden="false" customHeight="false" outlineLevel="0" collapsed="false">
      <c r="A2988" s="4"/>
      <c r="B2988" s="8"/>
      <c r="C2988" s="8"/>
      <c r="D2988" s="8"/>
      <c r="E2988" s="8"/>
      <c r="F2988" s="8"/>
      <c r="G2988" s="8"/>
      <c r="H2988" s="8"/>
      <c r="I2988" s="8"/>
      <c r="J2988" s="8"/>
      <c r="K2988" s="8"/>
      <c r="L2988" s="8"/>
      <c r="M2988" s="8"/>
      <c r="N2988" s="8"/>
      <c r="O2988" s="8"/>
      <c r="P2988" s="4"/>
      <c r="Q2988" s="8"/>
      <c r="R2988" s="4"/>
      <c r="S2988" s="4"/>
    </row>
    <row r="2989" customFormat="false" ht="15" hidden="false" customHeight="false" outlineLevel="0" collapsed="false">
      <c r="A2989" s="4"/>
      <c r="B2989" s="8"/>
      <c r="C2989" s="8"/>
      <c r="D2989" s="8"/>
      <c r="E2989" s="8"/>
      <c r="F2989" s="8"/>
      <c r="G2989" s="8"/>
      <c r="H2989" s="8"/>
      <c r="I2989" s="8"/>
      <c r="J2989" s="8"/>
      <c r="K2989" s="8"/>
      <c r="L2989" s="8"/>
      <c r="M2989" s="8"/>
      <c r="N2989" s="8"/>
      <c r="O2989" s="8"/>
      <c r="P2989" s="4"/>
      <c r="Q2989" s="8"/>
      <c r="R2989" s="4"/>
      <c r="S2989" s="4"/>
    </row>
    <row r="2990" customFormat="false" ht="15" hidden="false" customHeight="false" outlineLevel="0" collapsed="false">
      <c r="A2990" s="4"/>
      <c r="B2990" s="8"/>
      <c r="C2990" s="8"/>
      <c r="D2990" s="8"/>
      <c r="E2990" s="8"/>
      <c r="F2990" s="8"/>
      <c r="G2990" s="8"/>
      <c r="H2990" s="8"/>
      <c r="I2990" s="8"/>
      <c r="J2990" s="8"/>
      <c r="K2990" s="8"/>
      <c r="L2990" s="8"/>
      <c r="M2990" s="8"/>
      <c r="N2990" s="8"/>
      <c r="O2990" s="8"/>
      <c r="P2990" s="4"/>
      <c r="Q2990" s="8"/>
      <c r="R2990" s="4"/>
      <c r="S2990" s="4"/>
    </row>
    <row r="2991" customFormat="false" ht="15" hidden="false" customHeight="false" outlineLevel="0" collapsed="false">
      <c r="A2991" s="4"/>
      <c r="B2991" s="8"/>
      <c r="C2991" s="8"/>
      <c r="D2991" s="8"/>
      <c r="E2991" s="8"/>
      <c r="F2991" s="8"/>
      <c r="G2991" s="8"/>
      <c r="H2991" s="8"/>
      <c r="I2991" s="8"/>
      <c r="J2991" s="8"/>
      <c r="K2991" s="8"/>
      <c r="L2991" s="8"/>
      <c r="M2991" s="8"/>
      <c r="N2991" s="8"/>
      <c r="O2991" s="8"/>
      <c r="P2991" s="4"/>
      <c r="Q2991" s="8"/>
      <c r="R2991" s="4"/>
      <c r="S2991" s="4"/>
    </row>
    <row r="2992" customFormat="false" ht="15" hidden="false" customHeight="false" outlineLevel="0" collapsed="false">
      <c r="A2992" s="4"/>
      <c r="B2992" s="8"/>
      <c r="C2992" s="8"/>
      <c r="D2992" s="8"/>
      <c r="E2992" s="8"/>
      <c r="F2992" s="8"/>
      <c r="G2992" s="8"/>
      <c r="H2992" s="8"/>
      <c r="I2992" s="8"/>
      <c r="J2992" s="8"/>
      <c r="K2992" s="8"/>
      <c r="L2992" s="8"/>
      <c r="M2992" s="8"/>
      <c r="N2992" s="8"/>
      <c r="O2992" s="8"/>
      <c r="P2992" s="4"/>
      <c r="Q2992" s="8"/>
      <c r="R2992" s="4"/>
      <c r="S2992" s="4"/>
    </row>
    <row r="2993" customFormat="false" ht="15" hidden="false" customHeight="false" outlineLevel="0" collapsed="false">
      <c r="A2993" s="4"/>
      <c r="B2993" s="8"/>
      <c r="C2993" s="8"/>
      <c r="D2993" s="8"/>
      <c r="E2993" s="8"/>
      <c r="F2993" s="8"/>
      <c r="G2993" s="8"/>
      <c r="H2993" s="8"/>
      <c r="I2993" s="8"/>
      <c r="J2993" s="8"/>
      <c r="K2993" s="8"/>
      <c r="L2993" s="8"/>
      <c r="M2993" s="8"/>
      <c r="N2993" s="8"/>
      <c r="O2993" s="8"/>
      <c r="P2993" s="4"/>
      <c r="Q2993" s="8"/>
      <c r="R2993" s="4"/>
      <c r="S2993" s="4"/>
    </row>
    <row r="2994" customFormat="false" ht="15" hidden="false" customHeight="false" outlineLevel="0" collapsed="false">
      <c r="A2994" s="4"/>
      <c r="B2994" s="8"/>
      <c r="C2994" s="8"/>
      <c r="D2994" s="8"/>
      <c r="E2994" s="8"/>
      <c r="F2994" s="8"/>
      <c r="G2994" s="8"/>
      <c r="H2994" s="8"/>
      <c r="I2994" s="8"/>
      <c r="J2994" s="8"/>
      <c r="K2994" s="8"/>
      <c r="L2994" s="8"/>
      <c r="M2994" s="8"/>
      <c r="N2994" s="8"/>
      <c r="O2994" s="8"/>
      <c r="P2994" s="4"/>
      <c r="Q2994" s="8"/>
      <c r="R2994" s="4"/>
      <c r="S2994" s="4"/>
    </row>
    <row r="2995" customFormat="false" ht="15" hidden="false" customHeight="false" outlineLevel="0" collapsed="false">
      <c r="A2995" s="4"/>
      <c r="B2995" s="8"/>
      <c r="C2995" s="8"/>
      <c r="D2995" s="8"/>
      <c r="E2995" s="8"/>
      <c r="F2995" s="8"/>
      <c r="G2995" s="8"/>
      <c r="H2995" s="8"/>
      <c r="I2995" s="8"/>
      <c r="J2995" s="8"/>
      <c r="K2995" s="8"/>
      <c r="L2995" s="8"/>
      <c r="M2995" s="8"/>
      <c r="N2995" s="8"/>
      <c r="O2995" s="8"/>
      <c r="P2995" s="4"/>
      <c r="Q2995" s="8"/>
      <c r="R2995" s="4"/>
      <c r="S2995" s="4"/>
    </row>
    <row r="2996" customFormat="false" ht="15" hidden="false" customHeight="false" outlineLevel="0" collapsed="false">
      <c r="A2996" s="4"/>
      <c r="B2996" s="8"/>
      <c r="C2996" s="8"/>
      <c r="D2996" s="8"/>
      <c r="E2996" s="8"/>
      <c r="F2996" s="8"/>
      <c r="G2996" s="8"/>
      <c r="H2996" s="8"/>
      <c r="I2996" s="8"/>
      <c r="J2996" s="8"/>
      <c r="K2996" s="8"/>
      <c r="L2996" s="8"/>
      <c r="M2996" s="8"/>
      <c r="N2996" s="8"/>
      <c r="O2996" s="8"/>
      <c r="P2996" s="4"/>
      <c r="Q2996" s="8"/>
      <c r="R2996" s="4"/>
      <c r="S2996" s="4"/>
    </row>
    <row r="2997" customFormat="false" ht="15" hidden="false" customHeight="false" outlineLevel="0" collapsed="false">
      <c r="A2997" s="4"/>
      <c r="B2997" s="8"/>
      <c r="C2997" s="8"/>
      <c r="D2997" s="8"/>
      <c r="E2997" s="8"/>
      <c r="F2997" s="8"/>
      <c r="G2997" s="8"/>
      <c r="H2997" s="8"/>
      <c r="I2997" s="8"/>
      <c r="J2997" s="8"/>
      <c r="K2997" s="8"/>
      <c r="L2997" s="8"/>
      <c r="M2997" s="8"/>
      <c r="N2997" s="8"/>
      <c r="O2997" s="8"/>
      <c r="P2997" s="4"/>
      <c r="Q2997" s="8"/>
      <c r="R2997" s="4"/>
      <c r="S2997" s="4"/>
    </row>
    <row r="2998" customFormat="false" ht="15" hidden="false" customHeight="false" outlineLevel="0" collapsed="false">
      <c r="A2998" s="4"/>
      <c r="B2998" s="8"/>
      <c r="C2998" s="8"/>
      <c r="D2998" s="8"/>
      <c r="E2998" s="8"/>
      <c r="F2998" s="8"/>
      <c r="G2998" s="8"/>
      <c r="H2998" s="8"/>
      <c r="I2998" s="8"/>
      <c r="J2998" s="8"/>
      <c r="K2998" s="8"/>
      <c r="L2998" s="8"/>
      <c r="M2998" s="8"/>
      <c r="N2998" s="8"/>
      <c r="O2998" s="8"/>
      <c r="P2998" s="4"/>
      <c r="Q2998" s="8"/>
      <c r="R2998" s="4"/>
      <c r="S2998" s="4"/>
    </row>
    <row r="2999" customFormat="false" ht="15" hidden="false" customHeight="false" outlineLevel="0" collapsed="false">
      <c r="A2999" s="4"/>
      <c r="B2999" s="8"/>
      <c r="C2999" s="8"/>
      <c r="D2999" s="8"/>
      <c r="E2999" s="8"/>
      <c r="F2999" s="8"/>
      <c r="G2999" s="8"/>
      <c r="H2999" s="8"/>
      <c r="I2999" s="8"/>
      <c r="J2999" s="8"/>
      <c r="K2999" s="8"/>
      <c r="L2999" s="8"/>
      <c r="M2999" s="8"/>
      <c r="N2999" s="8"/>
      <c r="O2999" s="8"/>
      <c r="P2999" s="4"/>
      <c r="Q2999" s="8"/>
      <c r="R2999" s="4"/>
      <c r="S2999" s="4"/>
    </row>
    <row r="3000" customFormat="false" ht="15" hidden="false" customHeight="false" outlineLevel="0" collapsed="false">
      <c r="A3000" s="4"/>
      <c r="B3000" s="8"/>
      <c r="C3000" s="8"/>
      <c r="D3000" s="8"/>
      <c r="E3000" s="8"/>
      <c r="F3000" s="8"/>
      <c r="G3000" s="8"/>
      <c r="H3000" s="8"/>
      <c r="I3000" s="8"/>
      <c r="J3000" s="8"/>
      <c r="K3000" s="8"/>
      <c r="L3000" s="8"/>
      <c r="M3000" s="8"/>
      <c r="N3000" s="8"/>
      <c r="O3000" s="8"/>
      <c r="P3000" s="4"/>
      <c r="Q3000" s="8"/>
      <c r="R3000" s="4"/>
      <c r="S3000" s="4"/>
    </row>
    <row r="3001" customFormat="false" ht="15" hidden="false" customHeight="false" outlineLevel="0" collapsed="false">
      <c r="A3001" s="4"/>
      <c r="B3001" s="8"/>
      <c r="C3001" s="8"/>
      <c r="D3001" s="8"/>
      <c r="E3001" s="8"/>
      <c r="F3001" s="8"/>
      <c r="G3001" s="8"/>
      <c r="H3001" s="8"/>
      <c r="I3001" s="8"/>
      <c r="J3001" s="8"/>
      <c r="K3001" s="8"/>
      <c r="L3001" s="8"/>
      <c r="M3001" s="8"/>
      <c r="N3001" s="8"/>
      <c r="O3001" s="8"/>
      <c r="P3001" s="4"/>
      <c r="Q3001" s="8"/>
      <c r="R3001" s="4"/>
      <c r="S3001" s="4"/>
    </row>
    <row r="3002" customFormat="false" ht="15" hidden="false" customHeight="false" outlineLevel="0" collapsed="false">
      <c r="A3002" s="4"/>
      <c r="B3002" s="8"/>
      <c r="C3002" s="8"/>
      <c r="D3002" s="8"/>
      <c r="E3002" s="8"/>
      <c r="F3002" s="8"/>
      <c r="G3002" s="8"/>
      <c r="H3002" s="8"/>
      <c r="I3002" s="8"/>
      <c r="J3002" s="8"/>
      <c r="K3002" s="8"/>
      <c r="L3002" s="8"/>
      <c r="M3002" s="8"/>
      <c r="N3002" s="8"/>
      <c r="O3002" s="8"/>
      <c r="P3002" s="4"/>
      <c r="Q3002" s="8"/>
      <c r="R3002" s="4"/>
      <c r="S3002" s="4"/>
    </row>
    <row r="3003" customFormat="false" ht="15" hidden="false" customHeight="false" outlineLevel="0" collapsed="false">
      <c r="A3003" s="4"/>
      <c r="B3003" s="8"/>
      <c r="C3003" s="8"/>
      <c r="D3003" s="8"/>
      <c r="E3003" s="8"/>
      <c r="F3003" s="8"/>
      <c r="G3003" s="8"/>
      <c r="H3003" s="8"/>
      <c r="I3003" s="8"/>
      <c r="J3003" s="8"/>
      <c r="K3003" s="8"/>
      <c r="L3003" s="8"/>
      <c r="M3003" s="8"/>
      <c r="N3003" s="8"/>
      <c r="O3003" s="8"/>
      <c r="P3003" s="4"/>
      <c r="Q3003" s="8"/>
      <c r="R3003" s="4"/>
      <c r="S3003" s="4"/>
    </row>
    <row r="3004" customFormat="false" ht="15" hidden="false" customHeight="false" outlineLevel="0" collapsed="false">
      <c r="A3004" s="4"/>
      <c r="B3004" s="8"/>
      <c r="C3004" s="8"/>
      <c r="D3004" s="8"/>
      <c r="E3004" s="8"/>
      <c r="F3004" s="8"/>
      <c r="G3004" s="8"/>
      <c r="H3004" s="8"/>
      <c r="I3004" s="8"/>
      <c r="J3004" s="8"/>
      <c r="K3004" s="8"/>
      <c r="L3004" s="8"/>
      <c r="M3004" s="8"/>
      <c r="N3004" s="8"/>
      <c r="O3004" s="8"/>
      <c r="P3004" s="4"/>
      <c r="Q3004" s="8"/>
      <c r="R3004" s="4"/>
      <c r="S3004" s="4"/>
    </row>
    <row r="3005" customFormat="false" ht="15" hidden="false" customHeight="false" outlineLevel="0" collapsed="false">
      <c r="A3005" s="4"/>
      <c r="B3005" s="8"/>
      <c r="C3005" s="8"/>
      <c r="D3005" s="8"/>
      <c r="E3005" s="8"/>
      <c r="F3005" s="8"/>
      <c r="G3005" s="8"/>
      <c r="H3005" s="8"/>
      <c r="I3005" s="8"/>
      <c r="J3005" s="8"/>
      <c r="K3005" s="8"/>
      <c r="L3005" s="8"/>
      <c r="M3005" s="8"/>
      <c r="N3005" s="8"/>
      <c r="O3005" s="8"/>
      <c r="P3005" s="4"/>
      <c r="Q3005" s="8"/>
      <c r="R3005" s="4"/>
      <c r="S3005" s="4"/>
    </row>
    <row r="3006" customFormat="false" ht="15" hidden="false" customHeight="false" outlineLevel="0" collapsed="false">
      <c r="A3006" s="4"/>
      <c r="B3006" s="8"/>
      <c r="C3006" s="8"/>
      <c r="D3006" s="8"/>
      <c r="E3006" s="8"/>
      <c r="F3006" s="8"/>
      <c r="G3006" s="8"/>
      <c r="H3006" s="8"/>
      <c r="I3006" s="8"/>
      <c r="J3006" s="8"/>
      <c r="K3006" s="8"/>
      <c r="L3006" s="8"/>
      <c r="M3006" s="8"/>
      <c r="N3006" s="8"/>
      <c r="O3006" s="8"/>
      <c r="P3006" s="4"/>
      <c r="Q3006" s="8"/>
      <c r="R3006" s="4"/>
      <c r="S3006" s="4"/>
    </row>
    <row r="3007" customFormat="false" ht="15" hidden="false" customHeight="false" outlineLevel="0" collapsed="false">
      <c r="A3007" s="4"/>
      <c r="B3007" s="8"/>
      <c r="C3007" s="8"/>
      <c r="D3007" s="8"/>
      <c r="E3007" s="8"/>
      <c r="F3007" s="8"/>
      <c r="G3007" s="8"/>
      <c r="H3007" s="8"/>
      <c r="I3007" s="8"/>
      <c r="J3007" s="8"/>
      <c r="K3007" s="8"/>
      <c r="L3007" s="8"/>
      <c r="M3007" s="8"/>
      <c r="N3007" s="8"/>
      <c r="O3007" s="8"/>
      <c r="P3007" s="4"/>
      <c r="Q3007" s="8"/>
      <c r="R3007" s="4"/>
      <c r="S3007" s="4"/>
    </row>
    <row r="3008" customFormat="false" ht="15" hidden="false" customHeight="false" outlineLevel="0" collapsed="false">
      <c r="A3008" s="4"/>
      <c r="B3008" s="8"/>
      <c r="C3008" s="8"/>
      <c r="D3008" s="8"/>
      <c r="E3008" s="8"/>
      <c r="F3008" s="8"/>
      <c r="G3008" s="8"/>
      <c r="H3008" s="8"/>
      <c r="I3008" s="8"/>
      <c r="J3008" s="8"/>
      <c r="K3008" s="8"/>
      <c r="L3008" s="8"/>
      <c r="M3008" s="8"/>
      <c r="N3008" s="8"/>
      <c r="O3008" s="8"/>
      <c r="P3008" s="4"/>
      <c r="Q3008" s="8"/>
      <c r="R3008" s="4"/>
      <c r="S3008" s="4"/>
    </row>
    <row r="3009" customFormat="false" ht="15" hidden="false" customHeight="false" outlineLevel="0" collapsed="false">
      <c r="A3009" s="4"/>
      <c r="B3009" s="8"/>
      <c r="C3009" s="8"/>
      <c r="D3009" s="8"/>
      <c r="E3009" s="8"/>
      <c r="F3009" s="8"/>
      <c r="G3009" s="8"/>
      <c r="H3009" s="8"/>
      <c r="I3009" s="8"/>
      <c r="J3009" s="8"/>
      <c r="K3009" s="8"/>
      <c r="L3009" s="8"/>
      <c r="M3009" s="8"/>
      <c r="N3009" s="8"/>
      <c r="O3009" s="8"/>
      <c r="P3009" s="4"/>
      <c r="Q3009" s="8"/>
      <c r="R3009" s="4"/>
      <c r="S3009" s="4"/>
    </row>
    <row r="3010" customFormat="false" ht="15" hidden="false" customHeight="false" outlineLevel="0" collapsed="false">
      <c r="A3010" s="4"/>
      <c r="B3010" s="8"/>
      <c r="C3010" s="8"/>
      <c r="D3010" s="8"/>
      <c r="E3010" s="8"/>
      <c r="F3010" s="8"/>
      <c r="G3010" s="8"/>
      <c r="H3010" s="8"/>
      <c r="I3010" s="8"/>
      <c r="J3010" s="8"/>
      <c r="K3010" s="8"/>
      <c r="L3010" s="8"/>
      <c r="M3010" s="8"/>
      <c r="N3010" s="8"/>
      <c r="O3010" s="8"/>
      <c r="P3010" s="4"/>
      <c r="Q3010" s="8"/>
      <c r="R3010" s="4"/>
      <c r="S3010" s="4"/>
    </row>
    <row r="3011" customFormat="false" ht="15" hidden="false" customHeight="false" outlineLevel="0" collapsed="false">
      <c r="A3011" s="4"/>
      <c r="B3011" s="8"/>
      <c r="C3011" s="8"/>
      <c r="D3011" s="8"/>
      <c r="E3011" s="8"/>
      <c r="F3011" s="8"/>
      <c r="G3011" s="8"/>
      <c r="H3011" s="8"/>
      <c r="I3011" s="8"/>
      <c r="J3011" s="8"/>
      <c r="K3011" s="8"/>
      <c r="L3011" s="8"/>
      <c r="M3011" s="8"/>
      <c r="N3011" s="8"/>
      <c r="O3011" s="8"/>
      <c r="P3011" s="4"/>
      <c r="Q3011" s="8"/>
      <c r="R3011" s="4"/>
      <c r="S3011" s="4"/>
    </row>
    <row r="3012" customFormat="false" ht="15" hidden="false" customHeight="false" outlineLevel="0" collapsed="false">
      <c r="A3012" s="4"/>
      <c r="B3012" s="8"/>
      <c r="C3012" s="8"/>
      <c r="D3012" s="8"/>
      <c r="E3012" s="8"/>
      <c r="F3012" s="8"/>
      <c r="G3012" s="8"/>
      <c r="H3012" s="8"/>
      <c r="I3012" s="8"/>
      <c r="J3012" s="8"/>
      <c r="K3012" s="8"/>
      <c r="L3012" s="8"/>
      <c r="M3012" s="8"/>
      <c r="N3012" s="8"/>
      <c r="O3012" s="8"/>
      <c r="P3012" s="4"/>
      <c r="Q3012" s="8"/>
      <c r="R3012" s="4"/>
      <c r="S3012" s="4"/>
    </row>
    <row r="3013" customFormat="false" ht="15" hidden="false" customHeight="false" outlineLevel="0" collapsed="false">
      <c r="A3013" s="4"/>
      <c r="B3013" s="8"/>
      <c r="C3013" s="8"/>
      <c r="D3013" s="8"/>
      <c r="E3013" s="8"/>
      <c r="F3013" s="8"/>
      <c r="G3013" s="8"/>
      <c r="H3013" s="8"/>
      <c r="I3013" s="8"/>
      <c r="J3013" s="8"/>
      <c r="K3013" s="8"/>
      <c r="L3013" s="8"/>
      <c r="M3013" s="8"/>
      <c r="N3013" s="8"/>
      <c r="O3013" s="8"/>
      <c r="P3013" s="4"/>
      <c r="Q3013" s="8"/>
      <c r="R3013" s="4"/>
      <c r="S3013" s="4"/>
    </row>
    <row r="3014" customFormat="false" ht="15" hidden="false" customHeight="false" outlineLevel="0" collapsed="false">
      <c r="A3014" s="4"/>
      <c r="B3014" s="8"/>
      <c r="C3014" s="8"/>
      <c r="D3014" s="8"/>
      <c r="E3014" s="8"/>
      <c r="F3014" s="8"/>
      <c r="G3014" s="8"/>
      <c r="H3014" s="8"/>
      <c r="I3014" s="8"/>
      <c r="J3014" s="8"/>
      <c r="K3014" s="8"/>
      <c r="L3014" s="8"/>
      <c r="M3014" s="8"/>
      <c r="N3014" s="8"/>
      <c r="O3014" s="8"/>
      <c r="P3014" s="4"/>
      <c r="Q3014" s="8"/>
      <c r="R3014" s="4"/>
      <c r="S3014" s="4"/>
    </row>
    <row r="3015" customFormat="false" ht="15" hidden="false" customHeight="false" outlineLevel="0" collapsed="false">
      <c r="A3015" s="4"/>
      <c r="B3015" s="8"/>
      <c r="C3015" s="8"/>
      <c r="D3015" s="8"/>
      <c r="E3015" s="8"/>
      <c r="F3015" s="8"/>
      <c r="G3015" s="8"/>
      <c r="H3015" s="8"/>
      <c r="I3015" s="8"/>
      <c r="J3015" s="8"/>
      <c r="K3015" s="8"/>
      <c r="L3015" s="8"/>
      <c r="M3015" s="8"/>
      <c r="N3015" s="8"/>
      <c r="O3015" s="8"/>
      <c r="P3015" s="4"/>
      <c r="Q3015" s="8"/>
      <c r="R3015" s="4"/>
      <c r="S3015" s="4"/>
    </row>
    <row r="3016" customFormat="false" ht="15" hidden="false" customHeight="false" outlineLevel="0" collapsed="false">
      <c r="A3016" s="4"/>
      <c r="B3016" s="8"/>
      <c r="C3016" s="8"/>
      <c r="D3016" s="8"/>
      <c r="E3016" s="8"/>
      <c r="F3016" s="8"/>
      <c r="G3016" s="8"/>
      <c r="H3016" s="8"/>
      <c r="I3016" s="8"/>
      <c r="J3016" s="8"/>
      <c r="K3016" s="8"/>
      <c r="L3016" s="8"/>
      <c r="M3016" s="8"/>
      <c r="N3016" s="8"/>
      <c r="O3016" s="8"/>
      <c r="P3016" s="4"/>
      <c r="Q3016" s="8"/>
      <c r="R3016" s="4"/>
      <c r="S3016" s="4"/>
    </row>
    <row r="3017" customFormat="false" ht="15" hidden="false" customHeight="false" outlineLevel="0" collapsed="false">
      <c r="A3017" s="4"/>
      <c r="B3017" s="8"/>
      <c r="C3017" s="8"/>
      <c r="D3017" s="8"/>
      <c r="E3017" s="8"/>
      <c r="F3017" s="8"/>
      <c r="G3017" s="8"/>
      <c r="H3017" s="8"/>
      <c r="I3017" s="8"/>
      <c r="J3017" s="8"/>
      <c r="K3017" s="8"/>
      <c r="L3017" s="8"/>
      <c r="M3017" s="8"/>
      <c r="N3017" s="8"/>
      <c r="O3017" s="8"/>
      <c r="P3017" s="4"/>
      <c r="Q3017" s="8"/>
      <c r="R3017" s="4"/>
      <c r="S3017" s="4"/>
    </row>
    <row r="3018" customFormat="false" ht="15" hidden="false" customHeight="false" outlineLevel="0" collapsed="false">
      <c r="A3018" s="4"/>
      <c r="B3018" s="8"/>
      <c r="C3018" s="8"/>
      <c r="D3018" s="8"/>
      <c r="E3018" s="8"/>
      <c r="F3018" s="8"/>
      <c r="G3018" s="8"/>
      <c r="H3018" s="8"/>
      <c r="I3018" s="8"/>
      <c r="J3018" s="8"/>
      <c r="K3018" s="8"/>
      <c r="L3018" s="8"/>
      <c r="M3018" s="8"/>
      <c r="N3018" s="8"/>
      <c r="O3018" s="8"/>
      <c r="P3018" s="4"/>
      <c r="Q3018" s="8"/>
      <c r="R3018" s="4"/>
      <c r="S3018" s="4"/>
    </row>
    <row r="3019" customFormat="false" ht="15" hidden="false" customHeight="false" outlineLevel="0" collapsed="false">
      <c r="A3019" s="4"/>
      <c r="B3019" s="8"/>
      <c r="C3019" s="8"/>
      <c r="D3019" s="8"/>
      <c r="E3019" s="8"/>
      <c r="F3019" s="8"/>
      <c r="G3019" s="8"/>
      <c r="H3019" s="8"/>
      <c r="I3019" s="8"/>
      <c r="J3019" s="8"/>
      <c r="K3019" s="8"/>
      <c r="L3019" s="8"/>
      <c r="M3019" s="8"/>
      <c r="N3019" s="8"/>
      <c r="O3019" s="8"/>
      <c r="P3019" s="4"/>
      <c r="Q3019" s="8"/>
      <c r="R3019" s="4"/>
      <c r="S3019" s="4"/>
    </row>
    <row r="3020" customFormat="false" ht="15" hidden="false" customHeight="false" outlineLevel="0" collapsed="false">
      <c r="A3020" s="4"/>
      <c r="B3020" s="8"/>
      <c r="C3020" s="8"/>
      <c r="D3020" s="8"/>
      <c r="E3020" s="8"/>
      <c r="F3020" s="8"/>
      <c r="G3020" s="8"/>
      <c r="H3020" s="8"/>
      <c r="I3020" s="8"/>
      <c r="J3020" s="8"/>
      <c r="K3020" s="8"/>
      <c r="L3020" s="8"/>
      <c r="M3020" s="8"/>
      <c r="N3020" s="8"/>
      <c r="O3020" s="8"/>
      <c r="P3020" s="4"/>
      <c r="Q3020" s="8"/>
      <c r="R3020" s="4"/>
      <c r="S3020" s="4"/>
    </row>
    <row r="3021" customFormat="false" ht="15" hidden="false" customHeight="false" outlineLevel="0" collapsed="false">
      <c r="A3021" s="4"/>
      <c r="B3021" s="8"/>
      <c r="C3021" s="8"/>
      <c r="D3021" s="8"/>
      <c r="E3021" s="8"/>
      <c r="F3021" s="8"/>
      <c r="G3021" s="8"/>
      <c r="H3021" s="8"/>
      <c r="I3021" s="8"/>
      <c r="J3021" s="8"/>
      <c r="K3021" s="8"/>
      <c r="L3021" s="8"/>
      <c r="M3021" s="8"/>
      <c r="N3021" s="8"/>
      <c r="O3021" s="8"/>
      <c r="P3021" s="4"/>
      <c r="Q3021" s="8"/>
      <c r="R3021" s="4"/>
      <c r="S3021" s="4"/>
    </row>
    <row r="3022" customFormat="false" ht="15" hidden="false" customHeight="false" outlineLevel="0" collapsed="false">
      <c r="A3022" s="4"/>
      <c r="B3022" s="8"/>
      <c r="C3022" s="8"/>
      <c r="D3022" s="8"/>
      <c r="E3022" s="8"/>
      <c r="F3022" s="8"/>
      <c r="G3022" s="8"/>
      <c r="H3022" s="8"/>
      <c r="I3022" s="8"/>
      <c r="J3022" s="8"/>
      <c r="K3022" s="8"/>
      <c r="L3022" s="8"/>
      <c r="M3022" s="8"/>
      <c r="N3022" s="8"/>
      <c r="O3022" s="8"/>
      <c r="P3022" s="4"/>
      <c r="Q3022" s="8"/>
      <c r="R3022" s="4"/>
      <c r="S3022" s="4"/>
    </row>
    <row r="3023" customFormat="false" ht="15" hidden="false" customHeight="false" outlineLevel="0" collapsed="false">
      <c r="A3023" s="4"/>
      <c r="B3023" s="8"/>
      <c r="C3023" s="8"/>
      <c r="D3023" s="8"/>
      <c r="E3023" s="8"/>
      <c r="F3023" s="8"/>
      <c r="G3023" s="8"/>
      <c r="H3023" s="8"/>
      <c r="I3023" s="8"/>
      <c r="J3023" s="8"/>
      <c r="K3023" s="8"/>
      <c r="L3023" s="8"/>
      <c r="M3023" s="8"/>
      <c r="N3023" s="8"/>
      <c r="O3023" s="8"/>
      <c r="P3023" s="4"/>
      <c r="Q3023" s="8"/>
      <c r="R3023" s="4"/>
      <c r="S3023" s="4"/>
    </row>
    <row r="3024" customFormat="false" ht="15" hidden="false" customHeight="false" outlineLevel="0" collapsed="false">
      <c r="A3024" s="4"/>
      <c r="B3024" s="8"/>
      <c r="C3024" s="8"/>
      <c r="D3024" s="8"/>
      <c r="E3024" s="8"/>
      <c r="F3024" s="8"/>
      <c r="G3024" s="8"/>
      <c r="H3024" s="8"/>
      <c r="I3024" s="8"/>
      <c r="J3024" s="8"/>
      <c r="K3024" s="8"/>
      <c r="L3024" s="8"/>
      <c r="M3024" s="8"/>
      <c r="N3024" s="8"/>
      <c r="O3024" s="8"/>
      <c r="P3024" s="4"/>
      <c r="Q3024" s="8"/>
      <c r="R3024" s="4"/>
      <c r="S3024" s="4"/>
    </row>
    <row r="3025" customFormat="false" ht="15" hidden="false" customHeight="false" outlineLevel="0" collapsed="false">
      <c r="A3025" s="4"/>
      <c r="B3025" s="8"/>
      <c r="C3025" s="8"/>
      <c r="D3025" s="8"/>
      <c r="E3025" s="8"/>
      <c r="F3025" s="8"/>
      <c r="G3025" s="8"/>
      <c r="H3025" s="8"/>
      <c r="I3025" s="8"/>
      <c r="J3025" s="8"/>
      <c r="K3025" s="8"/>
      <c r="L3025" s="8"/>
      <c r="M3025" s="8"/>
      <c r="N3025" s="8"/>
      <c r="O3025" s="8"/>
      <c r="P3025" s="4"/>
      <c r="Q3025" s="8"/>
      <c r="R3025" s="4"/>
      <c r="S3025" s="4"/>
    </row>
    <row r="3026" customFormat="false" ht="15" hidden="false" customHeight="false" outlineLevel="0" collapsed="false">
      <c r="A3026" s="4"/>
      <c r="B3026" s="8"/>
      <c r="C3026" s="8"/>
      <c r="D3026" s="8"/>
      <c r="E3026" s="8"/>
      <c r="F3026" s="8"/>
      <c r="G3026" s="8"/>
      <c r="H3026" s="8"/>
      <c r="I3026" s="8"/>
      <c r="J3026" s="8"/>
      <c r="K3026" s="8"/>
      <c r="L3026" s="8"/>
      <c r="M3026" s="8"/>
      <c r="N3026" s="8"/>
      <c r="O3026" s="8"/>
      <c r="P3026" s="4"/>
      <c r="Q3026" s="8"/>
      <c r="R3026" s="4"/>
      <c r="S3026" s="4"/>
    </row>
    <row r="3027" customFormat="false" ht="15" hidden="false" customHeight="false" outlineLevel="0" collapsed="false">
      <c r="A3027" s="4"/>
      <c r="B3027" s="8"/>
      <c r="C3027" s="8"/>
      <c r="D3027" s="8"/>
      <c r="E3027" s="8"/>
      <c r="F3027" s="8"/>
      <c r="G3027" s="8"/>
      <c r="H3027" s="8"/>
      <c r="I3027" s="8"/>
      <c r="J3027" s="8"/>
      <c r="K3027" s="8"/>
      <c r="L3027" s="8"/>
      <c r="M3027" s="8"/>
      <c r="N3027" s="8"/>
      <c r="O3027" s="8"/>
      <c r="P3027" s="4"/>
      <c r="Q3027" s="8"/>
      <c r="R3027" s="4"/>
      <c r="S3027" s="4"/>
    </row>
    <row r="3028" customFormat="false" ht="15" hidden="false" customHeight="false" outlineLevel="0" collapsed="false">
      <c r="A3028" s="4"/>
      <c r="B3028" s="8"/>
      <c r="C3028" s="8"/>
      <c r="D3028" s="8"/>
      <c r="E3028" s="8"/>
      <c r="F3028" s="8"/>
      <c r="G3028" s="8"/>
      <c r="H3028" s="8"/>
      <c r="I3028" s="8"/>
      <c r="J3028" s="8"/>
      <c r="K3028" s="8"/>
      <c r="L3028" s="8"/>
      <c r="M3028" s="8"/>
      <c r="N3028" s="8"/>
      <c r="O3028" s="8"/>
      <c r="P3028" s="4"/>
      <c r="Q3028" s="8"/>
      <c r="R3028" s="4"/>
      <c r="S3028" s="4"/>
    </row>
    <row r="3029" customFormat="false" ht="15" hidden="false" customHeight="false" outlineLevel="0" collapsed="false">
      <c r="A3029" s="4"/>
      <c r="B3029" s="8"/>
      <c r="C3029" s="8"/>
      <c r="D3029" s="8"/>
      <c r="E3029" s="8"/>
      <c r="F3029" s="8"/>
      <c r="G3029" s="8"/>
      <c r="H3029" s="8"/>
      <c r="I3029" s="8"/>
      <c r="J3029" s="8"/>
      <c r="K3029" s="8"/>
      <c r="L3029" s="8"/>
      <c r="M3029" s="8"/>
      <c r="N3029" s="8"/>
      <c r="O3029" s="8"/>
      <c r="P3029" s="4"/>
      <c r="Q3029" s="8"/>
      <c r="R3029" s="4"/>
      <c r="S3029" s="4"/>
    </row>
    <row r="3030" customFormat="false" ht="15" hidden="false" customHeight="false" outlineLevel="0" collapsed="false">
      <c r="A3030" s="4"/>
      <c r="B3030" s="8"/>
      <c r="C3030" s="8"/>
      <c r="D3030" s="8"/>
      <c r="E3030" s="8"/>
      <c r="F3030" s="8"/>
      <c r="G3030" s="8"/>
      <c r="H3030" s="8"/>
      <c r="I3030" s="8"/>
      <c r="J3030" s="8"/>
      <c r="K3030" s="8"/>
      <c r="L3030" s="8"/>
      <c r="M3030" s="8"/>
      <c r="N3030" s="8"/>
      <c r="O3030" s="8"/>
      <c r="P3030" s="4"/>
      <c r="Q3030" s="8"/>
      <c r="R3030" s="4"/>
      <c r="S3030" s="4"/>
    </row>
    <row r="3031" customFormat="false" ht="15" hidden="false" customHeight="false" outlineLevel="0" collapsed="false">
      <c r="A3031" s="4"/>
      <c r="B3031" s="8"/>
      <c r="C3031" s="8"/>
      <c r="D3031" s="8"/>
      <c r="E3031" s="8"/>
      <c r="F3031" s="8"/>
      <c r="G3031" s="8"/>
      <c r="H3031" s="8"/>
      <c r="I3031" s="8"/>
      <c r="J3031" s="8"/>
      <c r="K3031" s="8"/>
      <c r="L3031" s="8"/>
      <c r="M3031" s="8"/>
      <c r="N3031" s="8"/>
      <c r="O3031" s="8"/>
      <c r="P3031" s="4"/>
      <c r="Q3031" s="8"/>
      <c r="R3031" s="4"/>
      <c r="S3031" s="4"/>
    </row>
    <row r="3032" customFormat="false" ht="15" hidden="false" customHeight="false" outlineLevel="0" collapsed="false">
      <c r="A3032" s="4"/>
      <c r="B3032" s="8"/>
      <c r="C3032" s="8"/>
      <c r="D3032" s="8"/>
      <c r="E3032" s="8"/>
      <c r="F3032" s="8"/>
      <c r="G3032" s="8"/>
      <c r="H3032" s="8"/>
      <c r="I3032" s="8"/>
      <c r="J3032" s="8"/>
      <c r="K3032" s="8"/>
      <c r="L3032" s="8"/>
      <c r="M3032" s="8"/>
      <c r="N3032" s="8"/>
      <c r="O3032" s="8"/>
      <c r="P3032" s="4"/>
      <c r="Q3032" s="8"/>
      <c r="R3032" s="4"/>
      <c r="S3032" s="4"/>
    </row>
    <row r="3033" customFormat="false" ht="15" hidden="false" customHeight="false" outlineLevel="0" collapsed="false">
      <c r="A3033" s="4"/>
      <c r="B3033" s="8"/>
      <c r="C3033" s="8"/>
      <c r="D3033" s="8"/>
      <c r="E3033" s="8"/>
      <c r="F3033" s="8"/>
      <c r="G3033" s="8"/>
      <c r="H3033" s="8"/>
      <c r="I3033" s="8"/>
      <c r="J3033" s="8"/>
      <c r="K3033" s="8"/>
      <c r="L3033" s="8"/>
      <c r="M3033" s="8"/>
      <c r="N3033" s="8"/>
      <c r="O3033" s="8"/>
      <c r="P3033" s="4"/>
      <c r="Q3033" s="8"/>
      <c r="R3033" s="4"/>
      <c r="S3033" s="4"/>
    </row>
    <row r="3034" customFormat="false" ht="15" hidden="false" customHeight="false" outlineLevel="0" collapsed="false">
      <c r="A3034" s="4"/>
      <c r="B3034" s="8"/>
      <c r="C3034" s="8"/>
      <c r="D3034" s="8"/>
      <c r="E3034" s="8"/>
      <c r="F3034" s="8"/>
      <c r="G3034" s="8"/>
      <c r="H3034" s="8"/>
      <c r="I3034" s="8"/>
      <c r="J3034" s="8"/>
      <c r="K3034" s="8"/>
      <c r="L3034" s="8"/>
      <c r="M3034" s="8"/>
      <c r="N3034" s="8"/>
      <c r="O3034" s="8"/>
      <c r="P3034" s="4"/>
      <c r="Q3034" s="8"/>
      <c r="R3034" s="4"/>
      <c r="S3034" s="4"/>
    </row>
    <row r="3035" customFormat="false" ht="15" hidden="false" customHeight="false" outlineLevel="0" collapsed="false">
      <c r="A3035" s="4"/>
      <c r="B3035" s="8"/>
      <c r="C3035" s="8"/>
      <c r="D3035" s="8"/>
      <c r="E3035" s="8"/>
      <c r="F3035" s="8"/>
      <c r="G3035" s="8"/>
      <c r="H3035" s="8"/>
      <c r="I3035" s="8"/>
      <c r="J3035" s="8"/>
      <c r="K3035" s="8"/>
      <c r="L3035" s="8"/>
      <c r="M3035" s="8"/>
      <c r="N3035" s="8"/>
      <c r="O3035" s="8"/>
      <c r="P3035" s="4"/>
      <c r="Q3035" s="8"/>
      <c r="R3035" s="4"/>
      <c r="S3035" s="4"/>
    </row>
    <row r="3036" customFormat="false" ht="15" hidden="false" customHeight="false" outlineLevel="0" collapsed="false">
      <c r="A3036" s="4"/>
      <c r="B3036" s="8"/>
      <c r="C3036" s="8"/>
      <c r="D3036" s="8"/>
      <c r="E3036" s="8"/>
      <c r="F3036" s="8"/>
      <c r="G3036" s="8"/>
      <c r="H3036" s="8"/>
      <c r="I3036" s="8"/>
      <c r="J3036" s="8"/>
      <c r="K3036" s="8"/>
      <c r="L3036" s="8"/>
      <c r="M3036" s="8"/>
      <c r="N3036" s="8"/>
      <c r="O3036" s="8"/>
      <c r="P3036" s="4"/>
      <c r="Q3036" s="8"/>
      <c r="R3036" s="4"/>
      <c r="S3036" s="4"/>
    </row>
    <row r="3037" customFormat="false" ht="15" hidden="false" customHeight="false" outlineLevel="0" collapsed="false">
      <c r="A3037" s="4"/>
      <c r="B3037" s="8"/>
      <c r="C3037" s="8"/>
      <c r="D3037" s="8"/>
      <c r="E3037" s="8"/>
      <c r="F3037" s="8"/>
      <c r="G3037" s="8"/>
      <c r="H3037" s="8"/>
      <c r="I3037" s="8"/>
      <c r="J3037" s="8"/>
      <c r="K3037" s="8"/>
      <c r="L3037" s="8"/>
      <c r="M3037" s="8"/>
      <c r="N3037" s="8"/>
      <c r="O3037" s="8"/>
      <c r="P3037" s="4"/>
      <c r="Q3037" s="8"/>
      <c r="R3037" s="4"/>
      <c r="S3037" s="4"/>
    </row>
    <row r="3038" customFormat="false" ht="15" hidden="false" customHeight="false" outlineLevel="0" collapsed="false">
      <c r="A3038" s="4"/>
      <c r="B3038" s="8"/>
      <c r="C3038" s="8"/>
      <c r="D3038" s="8"/>
      <c r="E3038" s="8"/>
      <c r="F3038" s="8"/>
      <c r="G3038" s="8"/>
      <c r="H3038" s="8"/>
      <c r="I3038" s="8"/>
      <c r="J3038" s="8"/>
      <c r="K3038" s="8"/>
      <c r="L3038" s="8"/>
      <c r="M3038" s="8"/>
      <c r="N3038" s="8"/>
      <c r="O3038" s="8"/>
      <c r="P3038" s="4"/>
      <c r="Q3038" s="8"/>
      <c r="R3038" s="4"/>
      <c r="S3038" s="4"/>
    </row>
    <row r="3039" customFormat="false" ht="15" hidden="false" customHeight="false" outlineLevel="0" collapsed="false">
      <c r="A3039" s="4"/>
      <c r="B3039" s="8"/>
      <c r="C3039" s="8"/>
      <c r="D3039" s="8"/>
      <c r="E3039" s="8"/>
      <c r="F3039" s="8"/>
      <c r="G3039" s="8"/>
      <c r="H3039" s="8"/>
      <c r="I3039" s="8"/>
      <c r="J3039" s="8"/>
      <c r="K3039" s="8"/>
      <c r="L3039" s="8"/>
      <c r="M3039" s="8"/>
      <c r="N3039" s="8"/>
      <c r="O3039" s="8"/>
      <c r="P3039" s="4"/>
      <c r="Q3039" s="8"/>
      <c r="R3039" s="4"/>
      <c r="S3039" s="4"/>
    </row>
    <row r="3040" customFormat="false" ht="15" hidden="false" customHeight="false" outlineLevel="0" collapsed="false">
      <c r="A3040" s="4"/>
      <c r="B3040" s="8"/>
      <c r="C3040" s="8"/>
      <c r="D3040" s="8"/>
      <c r="E3040" s="8"/>
      <c r="F3040" s="8"/>
      <c r="G3040" s="8"/>
      <c r="H3040" s="8"/>
      <c r="I3040" s="8"/>
      <c r="J3040" s="8"/>
      <c r="K3040" s="8"/>
      <c r="L3040" s="8"/>
      <c r="M3040" s="8"/>
      <c r="N3040" s="8"/>
      <c r="O3040" s="8"/>
      <c r="P3040" s="4"/>
      <c r="Q3040" s="8"/>
      <c r="R3040" s="4"/>
      <c r="S3040" s="4"/>
    </row>
    <row r="3041" customFormat="false" ht="15" hidden="false" customHeight="false" outlineLevel="0" collapsed="false">
      <c r="A3041" s="4"/>
      <c r="B3041" s="8"/>
      <c r="C3041" s="8"/>
      <c r="D3041" s="8"/>
      <c r="E3041" s="8"/>
      <c r="F3041" s="8"/>
      <c r="G3041" s="8"/>
      <c r="H3041" s="8"/>
      <c r="I3041" s="8"/>
      <c r="J3041" s="8"/>
      <c r="K3041" s="8"/>
      <c r="L3041" s="8"/>
      <c r="M3041" s="8"/>
      <c r="N3041" s="8"/>
      <c r="O3041" s="8"/>
      <c r="P3041" s="4"/>
      <c r="Q3041" s="8"/>
      <c r="R3041" s="4"/>
      <c r="S3041" s="4"/>
    </row>
    <row r="3042" customFormat="false" ht="15" hidden="false" customHeight="false" outlineLevel="0" collapsed="false">
      <c r="A3042" s="4"/>
      <c r="B3042" s="8"/>
      <c r="C3042" s="8"/>
      <c r="D3042" s="8"/>
      <c r="E3042" s="8"/>
      <c r="F3042" s="8"/>
      <c r="G3042" s="8"/>
      <c r="H3042" s="8"/>
      <c r="I3042" s="8"/>
      <c r="J3042" s="8"/>
      <c r="K3042" s="8"/>
      <c r="L3042" s="8"/>
      <c r="M3042" s="8"/>
      <c r="N3042" s="8"/>
      <c r="O3042" s="8"/>
      <c r="P3042" s="4"/>
      <c r="Q3042" s="8"/>
      <c r="R3042" s="4"/>
      <c r="S3042" s="4"/>
    </row>
    <row r="3043" customFormat="false" ht="15" hidden="false" customHeight="false" outlineLevel="0" collapsed="false">
      <c r="A3043" s="4"/>
      <c r="B3043" s="8"/>
      <c r="C3043" s="8"/>
      <c r="D3043" s="8"/>
      <c r="E3043" s="8"/>
      <c r="F3043" s="8"/>
      <c r="G3043" s="8"/>
      <c r="H3043" s="8"/>
      <c r="I3043" s="8"/>
      <c r="J3043" s="8"/>
      <c r="K3043" s="8"/>
      <c r="L3043" s="8"/>
      <c r="M3043" s="8"/>
      <c r="N3043" s="8"/>
      <c r="O3043" s="8"/>
      <c r="P3043" s="4"/>
      <c r="Q3043" s="8"/>
      <c r="R3043" s="4"/>
      <c r="S3043" s="4"/>
    </row>
    <row r="3044" customFormat="false" ht="15" hidden="false" customHeight="false" outlineLevel="0" collapsed="false">
      <c r="A3044" s="4"/>
      <c r="B3044" s="8"/>
      <c r="C3044" s="8"/>
      <c r="D3044" s="8"/>
      <c r="E3044" s="8"/>
      <c r="F3044" s="8"/>
      <c r="G3044" s="8"/>
      <c r="H3044" s="8"/>
      <c r="I3044" s="8"/>
      <c r="J3044" s="8"/>
      <c r="K3044" s="8"/>
      <c r="L3044" s="8"/>
      <c r="M3044" s="8"/>
      <c r="N3044" s="8"/>
      <c r="O3044" s="8"/>
      <c r="P3044" s="4"/>
      <c r="Q3044" s="8"/>
      <c r="R3044" s="4"/>
      <c r="S3044" s="4"/>
    </row>
    <row r="3045" customFormat="false" ht="15" hidden="false" customHeight="false" outlineLevel="0" collapsed="false">
      <c r="A3045" s="4"/>
      <c r="B3045" s="8"/>
      <c r="C3045" s="8"/>
      <c r="D3045" s="8"/>
      <c r="E3045" s="8"/>
      <c r="F3045" s="8"/>
      <c r="G3045" s="8"/>
      <c r="H3045" s="8"/>
      <c r="I3045" s="8"/>
      <c r="J3045" s="8"/>
      <c r="K3045" s="8"/>
      <c r="L3045" s="8"/>
      <c r="M3045" s="8"/>
      <c r="N3045" s="8"/>
      <c r="O3045" s="8"/>
      <c r="P3045" s="4"/>
      <c r="Q3045" s="8"/>
      <c r="R3045" s="4"/>
      <c r="S3045" s="4"/>
    </row>
    <row r="3046" customFormat="false" ht="15" hidden="false" customHeight="false" outlineLevel="0" collapsed="false">
      <c r="A3046" s="4"/>
      <c r="B3046" s="8"/>
      <c r="C3046" s="8"/>
      <c r="D3046" s="8"/>
      <c r="E3046" s="8"/>
      <c r="F3046" s="8"/>
      <c r="G3046" s="8"/>
      <c r="H3046" s="8"/>
      <c r="I3046" s="8"/>
      <c r="J3046" s="8"/>
      <c r="K3046" s="8"/>
      <c r="L3046" s="8"/>
      <c r="M3046" s="8"/>
      <c r="N3046" s="8"/>
      <c r="O3046" s="8"/>
      <c r="P3046" s="4"/>
      <c r="Q3046" s="8"/>
      <c r="R3046" s="4"/>
      <c r="S3046" s="4"/>
    </row>
    <row r="3047" customFormat="false" ht="15" hidden="false" customHeight="false" outlineLevel="0" collapsed="false">
      <c r="A3047" s="4"/>
      <c r="B3047" s="8"/>
      <c r="C3047" s="8"/>
      <c r="D3047" s="8"/>
      <c r="E3047" s="8"/>
      <c r="F3047" s="8"/>
      <c r="G3047" s="8"/>
      <c r="H3047" s="8"/>
      <c r="I3047" s="8"/>
      <c r="J3047" s="8"/>
      <c r="K3047" s="8"/>
      <c r="L3047" s="8"/>
      <c r="M3047" s="8"/>
      <c r="N3047" s="8"/>
      <c r="O3047" s="8"/>
      <c r="P3047" s="4"/>
      <c r="Q3047" s="8"/>
      <c r="R3047" s="4"/>
      <c r="S3047" s="4"/>
    </row>
    <row r="3048" customFormat="false" ht="15" hidden="false" customHeight="false" outlineLevel="0" collapsed="false">
      <c r="A3048" s="4"/>
      <c r="B3048" s="8"/>
      <c r="C3048" s="8"/>
      <c r="D3048" s="8"/>
      <c r="E3048" s="8"/>
      <c r="F3048" s="8"/>
      <c r="G3048" s="8"/>
      <c r="H3048" s="8"/>
      <c r="I3048" s="8"/>
      <c r="J3048" s="8"/>
      <c r="K3048" s="8"/>
      <c r="L3048" s="8"/>
      <c r="M3048" s="8"/>
      <c r="N3048" s="8"/>
      <c r="O3048" s="8"/>
      <c r="P3048" s="4"/>
      <c r="Q3048" s="8"/>
      <c r="R3048" s="4"/>
      <c r="S3048" s="4"/>
    </row>
    <row r="3049" customFormat="false" ht="15" hidden="false" customHeight="false" outlineLevel="0" collapsed="false">
      <c r="A3049" s="4"/>
      <c r="B3049" s="8"/>
      <c r="C3049" s="8"/>
      <c r="D3049" s="8"/>
      <c r="E3049" s="8"/>
      <c r="F3049" s="8"/>
      <c r="G3049" s="8"/>
      <c r="H3049" s="8"/>
      <c r="I3049" s="8"/>
      <c r="J3049" s="8"/>
      <c r="K3049" s="8"/>
      <c r="L3049" s="8"/>
      <c r="M3049" s="8"/>
      <c r="N3049" s="8"/>
      <c r="O3049" s="8"/>
      <c r="P3049" s="4"/>
      <c r="Q3049" s="8"/>
      <c r="R3049" s="4"/>
      <c r="S3049" s="4"/>
    </row>
    <row r="3050" customFormat="false" ht="15" hidden="false" customHeight="false" outlineLevel="0" collapsed="false">
      <c r="A3050" s="4"/>
      <c r="B3050" s="8"/>
      <c r="C3050" s="8"/>
      <c r="D3050" s="8"/>
      <c r="E3050" s="8"/>
      <c r="F3050" s="8"/>
      <c r="G3050" s="8"/>
      <c r="H3050" s="8"/>
      <c r="I3050" s="8"/>
      <c r="J3050" s="8"/>
      <c r="K3050" s="8"/>
      <c r="L3050" s="8"/>
      <c r="M3050" s="8"/>
      <c r="N3050" s="8"/>
      <c r="O3050" s="8"/>
      <c r="P3050" s="4"/>
      <c r="Q3050" s="8"/>
      <c r="R3050" s="4"/>
      <c r="S3050" s="4"/>
    </row>
    <row r="3051" customFormat="false" ht="15" hidden="false" customHeight="false" outlineLevel="0" collapsed="false">
      <c r="A3051" s="4"/>
      <c r="B3051" s="8"/>
      <c r="C3051" s="8"/>
      <c r="D3051" s="8"/>
      <c r="E3051" s="8"/>
      <c r="F3051" s="8"/>
      <c r="G3051" s="8"/>
      <c r="H3051" s="8"/>
      <c r="I3051" s="8"/>
      <c r="J3051" s="8"/>
      <c r="K3051" s="8"/>
      <c r="L3051" s="8"/>
      <c r="M3051" s="8"/>
      <c r="N3051" s="8"/>
      <c r="O3051" s="8"/>
      <c r="P3051" s="4"/>
      <c r="Q3051" s="8"/>
      <c r="R3051" s="4"/>
      <c r="S3051" s="4"/>
    </row>
    <row r="3052" customFormat="false" ht="15" hidden="false" customHeight="false" outlineLevel="0" collapsed="false">
      <c r="A3052" s="4"/>
      <c r="B3052" s="8"/>
      <c r="C3052" s="8"/>
      <c r="D3052" s="8"/>
      <c r="E3052" s="8"/>
      <c r="F3052" s="8"/>
      <c r="G3052" s="8"/>
      <c r="H3052" s="8"/>
      <c r="I3052" s="8"/>
      <c r="J3052" s="8"/>
      <c r="K3052" s="8"/>
      <c r="L3052" s="8"/>
      <c r="M3052" s="8"/>
      <c r="N3052" s="8"/>
      <c r="O3052" s="8"/>
      <c r="P3052" s="4"/>
      <c r="Q3052" s="8"/>
      <c r="R3052" s="4"/>
      <c r="S3052" s="4"/>
    </row>
    <row r="3053" customFormat="false" ht="15" hidden="false" customHeight="false" outlineLevel="0" collapsed="false">
      <c r="A3053" s="4"/>
      <c r="B3053" s="8"/>
      <c r="C3053" s="8"/>
      <c r="D3053" s="8"/>
      <c r="E3053" s="8"/>
      <c r="F3053" s="8"/>
      <c r="G3053" s="8"/>
      <c r="H3053" s="8"/>
      <c r="I3053" s="8"/>
      <c r="J3053" s="8"/>
      <c r="K3053" s="8"/>
      <c r="L3053" s="8"/>
      <c r="M3053" s="8"/>
      <c r="N3053" s="8"/>
      <c r="O3053" s="8"/>
      <c r="P3053" s="4"/>
      <c r="Q3053" s="8"/>
      <c r="R3053" s="4"/>
      <c r="S3053" s="4"/>
    </row>
    <row r="3054" customFormat="false" ht="15" hidden="false" customHeight="false" outlineLevel="0" collapsed="false">
      <c r="A3054" s="4"/>
      <c r="B3054" s="8"/>
      <c r="C3054" s="8"/>
      <c r="D3054" s="8"/>
      <c r="E3054" s="8"/>
      <c r="F3054" s="8"/>
      <c r="G3054" s="8"/>
      <c r="H3054" s="8"/>
      <c r="I3054" s="8"/>
      <c r="J3054" s="8"/>
      <c r="K3054" s="8"/>
      <c r="L3054" s="8"/>
      <c r="M3054" s="8"/>
      <c r="N3054" s="8"/>
      <c r="O3054" s="8"/>
      <c r="P3054" s="4"/>
      <c r="Q3054" s="8"/>
      <c r="R3054" s="4"/>
      <c r="S3054" s="4"/>
    </row>
    <row r="3055" customFormat="false" ht="15" hidden="false" customHeight="false" outlineLevel="0" collapsed="false">
      <c r="A3055" s="4"/>
      <c r="B3055" s="8"/>
      <c r="C3055" s="8"/>
      <c r="D3055" s="8"/>
      <c r="E3055" s="8"/>
      <c r="F3055" s="8"/>
      <c r="G3055" s="8"/>
      <c r="H3055" s="8"/>
      <c r="I3055" s="8"/>
      <c r="J3055" s="8"/>
      <c r="K3055" s="8"/>
      <c r="L3055" s="8"/>
      <c r="M3055" s="8"/>
      <c r="N3055" s="8"/>
      <c r="O3055" s="8"/>
      <c r="P3055" s="4"/>
      <c r="Q3055" s="8"/>
      <c r="R3055" s="4"/>
      <c r="S3055" s="4"/>
    </row>
    <row r="3056" customFormat="false" ht="15" hidden="false" customHeight="false" outlineLevel="0" collapsed="false">
      <c r="A3056" s="4"/>
      <c r="B3056" s="8"/>
      <c r="C3056" s="8"/>
      <c r="D3056" s="8"/>
      <c r="E3056" s="8"/>
      <c r="F3056" s="8"/>
      <c r="G3056" s="8"/>
      <c r="H3056" s="8"/>
      <c r="I3056" s="8"/>
      <c r="J3056" s="8"/>
      <c r="K3056" s="8"/>
      <c r="L3056" s="8"/>
      <c r="M3056" s="8"/>
      <c r="N3056" s="8"/>
      <c r="O3056" s="8"/>
      <c r="P3056" s="4"/>
      <c r="Q3056" s="8"/>
      <c r="R3056" s="4"/>
      <c r="S3056" s="4"/>
    </row>
    <row r="3057" customFormat="false" ht="15" hidden="false" customHeight="false" outlineLevel="0" collapsed="false">
      <c r="A3057" s="4"/>
      <c r="B3057" s="8"/>
      <c r="C3057" s="8"/>
      <c r="D3057" s="8"/>
      <c r="E3057" s="8"/>
      <c r="F3057" s="8"/>
      <c r="G3057" s="8"/>
      <c r="H3057" s="8"/>
      <c r="I3057" s="8"/>
      <c r="J3057" s="8"/>
      <c r="K3057" s="8"/>
      <c r="L3057" s="8"/>
      <c r="M3057" s="8"/>
      <c r="N3057" s="8"/>
      <c r="O3057" s="8"/>
      <c r="P3057" s="4"/>
      <c r="Q3057" s="8"/>
      <c r="R3057" s="4"/>
      <c r="S3057" s="4"/>
    </row>
    <row r="3058" customFormat="false" ht="15" hidden="false" customHeight="false" outlineLevel="0" collapsed="false">
      <c r="A3058" s="4"/>
      <c r="B3058" s="8"/>
      <c r="C3058" s="8"/>
      <c r="D3058" s="8"/>
      <c r="E3058" s="8"/>
      <c r="F3058" s="8"/>
      <c r="G3058" s="8"/>
      <c r="H3058" s="8"/>
      <c r="I3058" s="8"/>
      <c r="J3058" s="8"/>
      <c r="K3058" s="8"/>
      <c r="L3058" s="8"/>
      <c r="M3058" s="8"/>
      <c r="N3058" s="8"/>
      <c r="O3058" s="8"/>
      <c r="P3058" s="4"/>
      <c r="Q3058" s="8"/>
      <c r="R3058" s="4"/>
      <c r="S3058" s="4"/>
    </row>
    <row r="3059" customFormat="false" ht="15" hidden="false" customHeight="false" outlineLevel="0" collapsed="false">
      <c r="A3059" s="4"/>
      <c r="B3059" s="8"/>
      <c r="C3059" s="8"/>
      <c r="D3059" s="8"/>
      <c r="E3059" s="8"/>
      <c r="F3059" s="8"/>
      <c r="G3059" s="8"/>
      <c r="H3059" s="8"/>
      <c r="I3059" s="8"/>
      <c r="J3059" s="8"/>
      <c r="K3059" s="8"/>
      <c r="L3059" s="8"/>
      <c r="M3059" s="8"/>
      <c r="N3059" s="8"/>
      <c r="O3059" s="8"/>
      <c r="P3059" s="4"/>
      <c r="Q3059" s="8"/>
      <c r="R3059" s="4"/>
      <c r="S3059" s="4"/>
    </row>
    <row r="3060" customFormat="false" ht="15" hidden="false" customHeight="false" outlineLevel="0" collapsed="false">
      <c r="A3060" s="4"/>
      <c r="B3060" s="8"/>
      <c r="C3060" s="8"/>
      <c r="D3060" s="8"/>
      <c r="E3060" s="8"/>
      <c r="F3060" s="8"/>
      <c r="G3060" s="8"/>
      <c r="H3060" s="8"/>
      <c r="I3060" s="8"/>
      <c r="J3060" s="8"/>
      <c r="K3060" s="8"/>
      <c r="L3060" s="8"/>
      <c r="M3060" s="8"/>
      <c r="N3060" s="8"/>
      <c r="O3060" s="8"/>
      <c r="P3060" s="4"/>
      <c r="Q3060" s="8"/>
      <c r="R3060" s="4"/>
      <c r="S3060" s="4"/>
    </row>
    <row r="3061" customFormat="false" ht="15" hidden="false" customHeight="false" outlineLevel="0" collapsed="false">
      <c r="A3061" s="4"/>
      <c r="B3061" s="8"/>
      <c r="C3061" s="8"/>
      <c r="D3061" s="8"/>
      <c r="E3061" s="8"/>
      <c r="F3061" s="8"/>
      <c r="G3061" s="8"/>
      <c r="H3061" s="8"/>
      <c r="I3061" s="8"/>
      <c r="J3061" s="8"/>
      <c r="K3061" s="8"/>
      <c r="L3061" s="8"/>
      <c r="M3061" s="8"/>
      <c r="N3061" s="8"/>
      <c r="O3061" s="8"/>
      <c r="P3061" s="4"/>
      <c r="Q3061" s="8"/>
      <c r="R3061" s="4"/>
      <c r="S3061" s="4"/>
    </row>
    <row r="3062" customFormat="false" ht="15" hidden="false" customHeight="false" outlineLevel="0" collapsed="false">
      <c r="A3062" s="4"/>
      <c r="B3062" s="8"/>
      <c r="C3062" s="8"/>
      <c r="D3062" s="8"/>
      <c r="E3062" s="8"/>
      <c r="F3062" s="8"/>
      <c r="G3062" s="8"/>
      <c r="H3062" s="8"/>
      <c r="I3062" s="8"/>
      <c r="J3062" s="8"/>
      <c r="K3062" s="8"/>
      <c r="L3062" s="8"/>
      <c r="M3062" s="8"/>
      <c r="N3062" s="8"/>
      <c r="O3062" s="8"/>
      <c r="P3062" s="4"/>
      <c r="Q3062" s="8"/>
      <c r="R3062" s="4"/>
      <c r="S3062" s="4"/>
    </row>
    <row r="3063" customFormat="false" ht="15" hidden="false" customHeight="false" outlineLevel="0" collapsed="false">
      <c r="A3063" s="4"/>
      <c r="B3063" s="8"/>
      <c r="C3063" s="8"/>
      <c r="D3063" s="8"/>
      <c r="E3063" s="8"/>
      <c r="F3063" s="8"/>
      <c r="G3063" s="8"/>
      <c r="H3063" s="8"/>
      <c r="I3063" s="8"/>
      <c r="J3063" s="8"/>
      <c r="K3063" s="8"/>
      <c r="L3063" s="8"/>
      <c r="M3063" s="8"/>
      <c r="N3063" s="8"/>
      <c r="O3063" s="8"/>
      <c r="P3063" s="4"/>
      <c r="Q3063" s="8"/>
      <c r="R3063" s="4"/>
      <c r="S3063" s="4"/>
    </row>
    <row r="3064" customFormat="false" ht="15" hidden="false" customHeight="false" outlineLevel="0" collapsed="false">
      <c r="A3064" s="4"/>
      <c r="B3064" s="8"/>
      <c r="C3064" s="8"/>
      <c r="D3064" s="8"/>
      <c r="E3064" s="8"/>
      <c r="F3064" s="8"/>
      <c r="G3064" s="8"/>
      <c r="H3064" s="8"/>
      <c r="I3064" s="8"/>
      <c r="J3064" s="8"/>
      <c r="K3064" s="8"/>
      <c r="L3064" s="8"/>
      <c r="M3064" s="8"/>
      <c r="N3064" s="8"/>
      <c r="O3064" s="8"/>
      <c r="P3064" s="4"/>
      <c r="Q3064" s="8"/>
      <c r="R3064" s="4"/>
      <c r="S3064" s="4"/>
    </row>
    <row r="3065" customFormat="false" ht="15" hidden="false" customHeight="false" outlineLevel="0" collapsed="false">
      <c r="A3065" s="4"/>
      <c r="B3065" s="8"/>
      <c r="C3065" s="8"/>
      <c r="D3065" s="8"/>
      <c r="E3065" s="8"/>
      <c r="F3065" s="8"/>
      <c r="G3065" s="8"/>
      <c r="H3065" s="8"/>
      <c r="I3065" s="8"/>
      <c r="J3065" s="8"/>
      <c r="K3065" s="8"/>
      <c r="L3065" s="8"/>
      <c r="M3065" s="8"/>
      <c r="N3065" s="8"/>
      <c r="O3065" s="8"/>
      <c r="P3065" s="4"/>
      <c r="Q3065" s="8"/>
      <c r="R3065" s="4"/>
      <c r="S3065" s="4"/>
    </row>
    <row r="3066" customFormat="false" ht="15" hidden="false" customHeight="false" outlineLevel="0" collapsed="false">
      <c r="A3066" s="4"/>
      <c r="B3066" s="8"/>
      <c r="C3066" s="8"/>
      <c r="D3066" s="8"/>
      <c r="E3066" s="8"/>
      <c r="F3066" s="8"/>
      <c r="G3066" s="8"/>
      <c r="H3066" s="8"/>
      <c r="I3066" s="8"/>
      <c r="J3066" s="8"/>
      <c r="K3066" s="8"/>
      <c r="L3066" s="8"/>
      <c r="M3066" s="8"/>
      <c r="N3066" s="8"/>
      <c r="O3066" s="8"/>
      <c r="P3066" s="4"/>
      <c r="Q3066" s="8"/>
      <c r="R3066" s="4"/>
      <c r="S3066" s="4"/>
    </row>
    <row r="3067" customFormat="false" ht="15" hidden="false" customHeight="false" outlineLevel="0" collapsed="false">
      <c r="A3067" s="4"/>
      <c r="B3067" s="8"/>
      <c r="C3067" s="8"/>
      <c r="D3067" s="8"/>
      <c r="E3067" s="8"/>
      <c r="F3067" s="8"/>
      <c r="G3067" s="8"/>
      <c r="H3067" s="8"/>
      <c r="I3067" s="8"/>
      <c r="J3067" s="8"/>
      <c r="K3067" s="8"/>
      <c r="L3067" s="8"/>
      <c r="M3067" s="8"/>
      <c r="N3067" s="8"/>
      <c r="O3067" s="8"/>
      <c r="P3067" s="4"/>
      <c r="Q3067" s="8"/>
      <c r="R3067" s="4"/>
      <c r="S3067" s="4"/>
    </row>
    <row r="3068" customFormat="false" ht="15" hidden="false" customHeight="false" outlineLevel="0" collapsed="false">
      <c r="A3068" s="4"/>
      <c r="B3068" s="8"/>
      <c r="C3068" s="8"/>
      <c r="D3068" s="8"/>
      <c r="E3068" s="8"/>
      <c r="F3068" s="8"/>
      <c r="G3068" s="8"/>
      <c r="H3068" s="8"/>
      <c r="I3068" s="8"/>
      <c r="J3068" s="8"/>
      <c r="K3068" s="8"/>
      <c r="L3068" s="8"/>
      <c r="M3068" s="8"/>
      <c r="N3068" s="8"/>
      <c r="O3068" s="8"/>
      <c r="P3068" s="4"/>
      <c r="Q3068" s="8"/>
      <c r="R3068" s="4"/>
      <c r="S3068" s="4"/>
    </row>
    <row r="3069" customFormat="false" ht="15" hidden="false" customHeight="false" outlineLevel="0" collapsed="false">
      <c r="A3069" s="4"/>
      <c r="B3069" s="8"/>
      <c r="C3069" s="8"/>
      <c r="D3069" s="8"/>
      <c r="E3069" s="8"/>
      <c r="F3069" s="8"/>
      <c r="G3069" s="8"/>
      <c r="H3069" s="8"/>
      <c r="I3069" s="8"/>
      <c r="J3069" s="8"/>
      <c r="K3069" s="8"/>
      <c r="L3069" s="8"/>
      <c r="M3069" s="8"/>
      <c r="N3069" s="8"/>
      <c r="O3069" s="8"/>
      <c r="P3069" s="4"/>
      <c r="Q3069" s="8"/>
      <c r="R3069" s="4"/>
      <c r="S3069" s="4"/>
    </row>
    <row r="3070" customFormat="false" ht="15" hidden="false" customHeight="false" outlineLevel="0" collapsed="false">
      <c r="A3070" s="4"/>
      <c r="B3070" s="8"/>
      <c r="C3070" s="8"/>
      <c r="D3070" s="8"/>
      <c r="E3070" s="8"/>
      <c r="F3070" s="8"/>
      <c r="G3070" s="8"/>
      <c r="H3070" s="8"/>
      <c r="I3070" s="8"/>
      <c r="J3070" s="8"/>
      <c r="K3070" s="8"/>
      <c r="L3070" s="8"/>
      <c r="M3070" s="8"/>
      <c r="N3070" s="8"/>
      <c r="O3070" s="8"/>
      <c r="P3070" s="4"/>
      <c r="Q3070" s="8"/>
      <c r="R3070" s="4"/>
      <c r="S3070" s="4"/>
    </row>
    <row r="3071" customFormat="false" ht="15" hidden="false" customHeight="false" outlineLevel="0" collapsed="false">
      <c r="A3071" s="4"/>
      <c r="B3071" s="8"/>
      <c r="C3071" s="8"/>
      <c r="D3071" s="8"/>
      <c r="E3071" s="8"/>
      <c r="F3071" s="8"/>
      <c r="G3071" s="8"/>
      <c r="H3071" s="8"/>
      <c r="I3071" s="8"/>
      <c r="J3071" s="8"/>
      <c r="K3071" s="8"/>
      <c r="L3071" s="8"/>
      <c r="M3071" s="8"/>
      <c r="N3071" s="8"/>
      <c r="O3071" s="8"/>
      <c r="P3071" s="4"/>
      <c r="Q3071" s="8"/>
      <c r="R3071" s="4"/>
      <c r="S3071" s="4"/>
    </row>
    <row r="3072" customFormat="false" ht="15" hidden="false" customHeight="false" outlineLevel="0" collapsed="false">
      <c r="A3072" s="4"/>
      <c r="B3072" s="8"/>
      <c r="C3072" s="8"/>
      <c r="D3072" s="8"/>
      <c r="E3072" s="8"/>
      <c r="F3072" s="8"/>
      <c r="G3072" s="8"/>
      <c r="H3072" s="8"/>
      <c r="I3072" s="8"/>
      <c r="J3072" s="8"/>
      <c r="K3072" s="8"/>
      <c r="L3072" s="8"/>
      <c r="M3072" s="8"/>
      <c r="N3072" s="8"/>
      <c r="O3072" s="8"/>
      <c r="P3072" s="4"/>
      <c r="Q3072" s="8"/>
      <c r="R3072" s="4"/>
      <c r="S3072" s="4"/>
    </row>
    <row r="3073" customFormat="false" ht="15" hidden="false" customHeight="false" outlineLevel="0" collapsed="false">
      <c r="A3073" s="4"/>
      <c r="B3073" s="8"/>
      <c r="C3073" s="8"/>
      <c r="D3073" s="8"/>
      <c r="E3073" s="8"/>
      <c r="F3073" s="8"/>
      <c r="G3073" s="8"/>
      <c r="H3073" s="8"/>
      <c r="I3073" s="8"/>
      <c r="J3073" s="8"/>
      <c r="K3073" s="8"/>
      <c r="L3073" s="8"/>
      <c r="M3073" s="8"/>
      <c r="N3073" s="8"/>
      <c r="O3073" s="8"/>
      <c r="P3073" s="4"/>
      <c r="Q3073" s="8"/>
      <c r="R3073" s="4"/>
      <c r="S3073" s="4"/>
    </row>
    <row r="3074" customFormat="false" ht="15" hidden="false" customHeight="false" outlineLevel="0" collapsed="false">
      <c r="A3074" s="4"/>
      <c r="B3074" s="8"/>
      <c r="C3074" s="8"/>
      <c r="D3074" s="8"/>
      <c r="E3074" s="8"/>
      <c r="F3074" s="8"/>
      <c r="G3074" s="8"/>
      <c r="H3074" s="8"/>
      <c r="I3074" s="8"/>
      <c r="J3074" s="8"/>
      <c r="K3074" s="8"/>
      <c r="L3074" s="8"/>
      <c r="M3074" s="8"/>
      <c r="N3074" s="8"/>
      <c r="O3074" s="8"/>
      <c r="P3074" s="4"/>
      <c r="Q3074" s="8"/>
      <c r="R3074" s="4"/>
      <c r="S3074" s="4"/>
    </row>
    <row r="3075" customFormat="false" ht="15" hidden="false" customHeight="false" outlineLevel="0" collapsed="false">
      <c r="A3075" s="4"/>
      <c r="B3075" s="8"/>
      <c r="C3075" s="8"/>
      <c r="D3075" s="8"/>
      <c r="E3075" s="8"/>
      <c r="F3075" s="8"/>
      <c r="G3075" s="8"/>
      <c r="H3075" s="8"/>
      <c r="I3075" s="8"/>
      <c r="J3075" s="8"/>
      <c r="K3075" s="8"/>
      <c r="L3075" s="8"/>
      <c r="M3075" s="8"/>
      <c r="N3075" s="8"/>
      <c r="O3075" s="8"/>
      <c r="P3075" s="4"/>
      <c r="Q3075" s="8"/>
      <c r="R3075" s="4"/>
      <c r="S3075" s="4"/>
    </row>
    <row r="3076" customFormat="false" ht="15" hidden="false" customHeight="false" outlineLevel="0" collapsed="false">
      <c r="A3076" s="4"/>
      <c r="B3076" s="8"/>
      <c r="C3076" s="8"/>
      <c r="D3076" s="8"/>
      <c r="E3076" s="8"/>
      <c r="F3076" s="8"/>
      <c r="G3076" s="8"/>
      <c r="H3076" s="8"/>
      <c r="I3076" s="8"/>
      <c r="J3076" s="8"/>
      <c r="K3076" s="8"/>
      <c r="L3076" s="8"/>
      <c r="M3076" s="8"/>
      <c r="N3076" s="8"/>
      <c r="O3076" s="8"/>
      <c r="P3076" s="4"/>
      <c r="Q3076" s="8"/>
      <c r="R3076" s="4"/>
      <c r="S3076" s="4"/>
    </row>
    <row r="3077" customFormat="false" ht="15" hidden="false" customHeight="false" outlineLevel="0" collapsed="false">
      <c r="A3077" s="4"/>
      <c r="B3077" s="8"/>
      <c r="C3077" s="8"/>
      <c r="D3077" s="8"/>
      <c r="E3077" s="8"/>
      <c r="F3077" s="8"/>
      <c r="G3077" s="8"/>
      <c r="H3077" s="8"/>
      <c r="I3077" s="8"/>
      <c r="J3077" s="8"/>
      <c r="K3077" s="8"/>
      <c r="L3077" s="8"/>
      <c r="M3077" s="8"/>
      <c r="N3077" s="8"/>
      <c r="O3077" s="8"/>
      <c r="P3077" s="4"/>
      <c r="Q3077" s="8"/>
      <c r="R3077" s="4"/>
      <c r="S3077" s="4"/>
    </row>
    <row r="3078" customFormat="false" ht="15" hidden="false" customHeight="false" outlineLevel="0" collapsed="false">
      <c r="A3078" s="4"/>
      <c r="B3078" s="8"/>
      <c r="C3078" s="8"/>
      <c r="D3078" s="8"/>
      <c r="E3078" s="8"/>
      <c r="F3078" s="8"/>
      <c r="G3078" s="8"/>
      <c r="H3078" s="8"/>
      <c r="I3078" s="8"/>
      <c r="J3078" s="8"/>
      <c r="K3078" s="8"/>
      <c r="L3078" s="8"/>
      <c r="M3078" s="8"/>
      <c r="N3078" s="8"/>
      <c r="O3078" s="8"/>
      <c r="P3078" s="4"/>
      <c r="Q3078" s="8"/>
      <c r="R3078" s="4"/>
      <c r="S3078" s="4"/>
    </row>
    <row r="3079" customFormat="false" ht="15" hidden="false" customHeight="false" outlineLevel="0" collapsed="false">
      <c r="A3079" s="4"/>
      <c r="B3079" s="8"/>
      <c r="C3079" s="8"/>
      <c r="D3079" s="8"/>
      <c r="E3079" s="8"/>
      <c r="F3079" s="8"/>
      <c r="G3079" s="8"/>
      <c r="H3079" s="8"/>
      <c r="I3079" s="8"/>
      <c r="J3079" s="8"/>
      <c r="K3079" s="8"/>
      <c r="L3079" s="8"/>
      <c r="M3079" s="8"/>
      <c r="N3079" s="8"/>
      <c r="O3079" s="8"/>
      <c r="P3079" s="4"/>
      <c r="Q3079" s="8"/>
      <c r="R3079" s="4"/>
      <c r="S3079" s="4"/>
    </row>
    <row r="3080" customFormat="false" ht="15" hidden="false" customHeight="false" outlineLevel="0" collapsed="false">
      <c r="A3080" s="4"/>
      <c r="B3080" s="8"/>
      <c r="C3080" s="8"/>
      <c r="D3080" s="8"/>
      <c r="E3080" s="8"/>
      <c r="F3080" s="8"/>
      <c r="G3080" s="8"/>
      <c r="H3080" s="8"/>
      <c r="I3080" s="8"/>
      <c r="J3080" s="8"/>
      <c r="K3080" s="8"/>
      <c r="L3080" s="8"/>
      <c r="M3080" s="8"/>
      <c r="N3080" s="8"/>
      <c r="O3080" s="8"/>
      <c r="P3080" s="4"/>
      <c r="Q3080" s="8"/>
      <c r="R3080" s="4"/>
      <c r="S3080" s="4"/>
    </row>
    <row r="3081" customFormat="false" ht="15" hidden="false" customHeight="false" outlineLevel="0" collapsed="false">
      <c r="A3081" s="4"/>
      <c r="B3081" s="8"/>
      <c r="C3081" s="8"/>
      <c r="D3081" s="8"/>
      <c r="E3081" s="8"/>
      <c r="F3081" s="8"/>
      <c r="G3081" s="8"/>
      <c r="H3081" s="8"/>
      <c r="I3081" s="8"/>
      <c r="J3081" s="8"/>
      <c r="K3081" s="8"/>
      <c r="L3081" s="8"/>
      <c r="M3081" s="8"/>
      <c r="N3081" s="8"/>
      <c r="O3081" s="8"/>
      <c r="P3081" s="4"/>
      <c r="Q3081" s="8"/>
      <c r="R3081" s="4"/>
      <c r="S3081" s="4"/>
    </row>
    <row r="3082" customFormat="false" ht="15" hidden="false" customHeight="false" outlineLevel="0" collapsed="false">
      <c r="A3082" s="4"/>
      <c r="B3082" s="8"/>
      <c r="C3082" s="8"/>
      <c r="D3082" s="8"/>
      <c r="E3082" s="8"/>
      <c r="F3082" s="8"/>
      <c r="G3082" s="8"/>
      <c r="H3082" s="8"/>
      <c r="I3082" s="8"/>
      <c r="J3082" s="8"/>
      <c r="K3082" s="8"/>
      <c r="L3082" s="8"/>
      <c r="M3082" s="8"/>
      <c r="N3082" s="8"/>
      <c r="O3082" s="8"/>
      <c r="P3082" s="4"/>
      <c r="Q3082" s="8"/>
      <c r="R3082" s="4"/>
      <c r="S3082" s="4"/>
    </row>
    <row r="3083" customFormat="false" ht="15" hidden="false" customHeight="false" outlineLevel="0" collapsed="false">
      <c r="A3083" s="4"/>
      <c r="B3083" s="8"/>
      <c r="C3083" s="8"/>
      <c r="D3083" s="8"/>
      <c r="E3083" s="8"/>
      <c r="F3083" s="8"/>
      <c r="G3083" s="8"/>
      <c r="H3083" s="8"/>
      <c r="I3083" s="8"/>
      <c r="J3083" s="8"/>
      <c r="K3083" s="8"/>
      <c r="L3083" s="8"/>
      <c r="M3083" s="8"/>
      <c r="N3083" s="8"/>
      <c r="O3083" s="8"/>
      <c r="P3083" s="4"/>
      <c r="Q3083" s="8"/>
      <c r="R3083" s="4"/>
      <c r="S3083" s="4"/>
    </row>
    <row r="3084" customFormat="false" ht="15" hidden="false" customHeight="false" outlineLevel="0" collapsed="false">
      <c r="A3084" s="4"/>
      <c r="B3084" s="8"/>
      <c r="C3084" s="8"/>
      <c r="D3084" s="8"/>
      <c r="E3084" s="8"/>
      <c r="F3084" s="8"/>
      <c r="G3084" s="8"/>
      <c r="H3084" s="8"/>
      <c r="I3084" s="8"/>
      <c r="J3084" s="8"/>
      <c r="K3084" s="8"/>
      <c r="L3084" s="8"/>
      <c r="M3084" s="8"/>
      <c r="N3084" s="8"/>
      <c r="O3084" s="8"/>
      <c r="P3084" s="4"/>
      <c r="Q3084" s="8"/>
      <c r="R3084" s="4"/>
      <c r="S3084" s="4"/>
    </row>
    <row r="3085" customFormat="false" ht="15" hidden="false" customHeight="false" outlineLevel="0" collapsed="false">
      <c r="A3085" s="4"/>
      <c r="B3085" s="8"/>
      <c r="C3085" s="8"/>
      <c r="D3085" s="8"/>
      <c r="E3085" s="8"/>
      <c r="F3085" s="8"/>
      <c r="G3085" s="8"/>
      <c r="H3085" s="8"/>
      <c r="I3085" s="8"/>
      <c r="J3085" s="8"/>
      <c r="K3085" s="8"/>
      <c r="L3085" s="8"/>
      <c r="M3085" s="8"/>
      <c r="N3085" s="8"/>
      <c r="O3085" s="8"/>
      <c r="P3085" s="4"/>
      <c r="Q3085" s="8"/>
      <c r="R3085" s="4"/>
      <c r="S3085" s="4"/>
    </row>
    <row r="3086" customFormat="false" ht="15" hidden="false" customHeight="false" outlineLevel="0" collapsed="false">
      <c r="A3086" s="4"/>
      <c r="B3086" s="8"/>
      <c r="C3086" s="8"/>
      <c r="D3086" s="8"/>
      <c r="E3086" s="8"/>
      <c r="F3086" s="8"/>
      <c r="G3086" s="8"/>
      <c r="H3086" s="8"/>
      <c r="I3086" s="8"/>
      <c r="J3086" s="8"/>
      <c r="K3086" s="8"/>
      <c r="L3086" s="8"/>
      <c r="M3086" s="8"/>
      <c r="N3086" s="8"/>
      <c r="O3086" s="8"/>
      <c r="P3086" s="4"/>
      <c r="Q3086" s="8"/>
      <c r="R3086" s="4"/>
      <c r="S3086" s="4"/>
    </row>
    <row r="3087" customFormat="false" ht="15" hidden="false" customHeight="false" outlineLevel="0" collapsed="false">
      <c r="A3087" s="4"/>
      <c r="B3087" s="8"/>
      <c r="C3087" s="8"/>
      <c r="D3087" s="8"/>
      <c r="E3087" s="8"/>
      <c r="F3087" s="8"/>
      <c r="G3087" s="8"/>
      <c r="H3087" s="8"/>
      <c r="I3087" s="8"/>
      <c r="J3087" s="8"/>
      <c r="K3087" s="8"/>
      <c r="L3087" s="8"/>
      <c r="M3087" s="8"/>
      <c r="N3087" s="8"/>
      <c r="O3087" s="8"/>
      <c r="P3087" s="4"/>
      <c r="Q3087" s="8"/>
      <c r="R3087" s="4"/>
      <c r="S3087" s="4"/>
    </row>
    <row r="3088" customFormat="false" ht="15" hidden="false" customHeight="false" outlineLevel="0" collapsed="false">
      <c r="A3088" s="4"/>
      <c r="B3088" s="8"/>
      <c r="C3088" s="8"/>
      <c r="D3088" s="8"/>
      <c r="E3088" s="8"/>
      <c r="F3088" s="8"/>
      <c r="G3088" s="8"/>
      <c r="H3088" s="8"/>
      <c r="I3088" s="8"/>
      <c r="J3088" s="8"/>
      <c r="K3088" s="8"/>
      <c r="L3088" s="8"/>
      <c r="M3088" s="8"/>
      <c r="N3088" s="8"/>
      <c r="O3088" s="8"/>
      <c r="P3088" s="4"/>
      <c r="Q3088" s="8"/>
      <c r="R3088" s="4"/>
      <c r="S3088" s="4"/>
    </row>
    <row r="3089" customFormat="false" ht="15" hidden="false" customHeight="false" outlineLevel="0" collapsed="false">
      <c r="A3089" s="4"/>
      <c r="B3089" s="8"/>
      <c r="C3089" s="8"/>
      <c r="D3089" s="8"/>
      <c r="E3089" s="8"/>
      <c r="F3089" s="8"/>
      <c r="G3089" s="8"/>
      <c r="H3089" s="8"/>
      <c r="I3089" s="8"/>
      <c r="J3089" s="8"/>
      <c r="K3089" s="8"/>
      <c r="L3089" s="8"/>
      <c r="M3089" s="8"/>
      <c r="N3089" s="8"/>
      <c r="O3089" s="8"/>
      <c r="P3089" s="4"/>
      <c r="Q3089" s="8"/>
      <c r="R3089" s="4"/>
      <c r="S3089" s="4"/>
    </row>
    <row r="3090" customFormat="false" ht="15" hidden="false" customHeight="false" outlineLevel="0" collapsed="false">
      <c r="A3090" s="4"/>
      <c r="B3090" s="8"/>
      <c r="C3090" s="8"/>
      <c r="D3090" s="8"/>
      <c r="E3090" s="8"/>
      <c r="F3090" s="8"/>
      <c r="G3090" s="8"/>
      <c r="H3090" s="8"/>
      <c r="I3090" s="8"/>
      <c r="J3090" s="8"/>
      <c r="K3090" s="8"/>
      <c r="L3090" s="8"/>
      <c r="M3090" s="8"/>
      <c r="N3090" s="8"/>
      <c r="O3090" s="8"/>
      <c r="P3090" s="4"/>
      <c r="Q3090" s="8"/>
      <c r="R3090" s="4"/>
      <c r="S3090" s="4"/>
    </row>
    <row r="3091" customFormat="false" ht="15" hidden="false" customHeight="false" outlineLevel="0" collapsed="false">
      <c r="A3091" s="4"/>
      <c r="B3091" s="8"/>
      <c r="C3091" s="8"/>
      <c r="D3091" s="8"/>
      <c r="E3091" s="8"/>
      <c r="F3091" s="8"/>
      <c r="G3091" s="8"/>
      <c r="H3091" s="8"/>
      <c r="I3091" s="8"/>
      <c r="J3091" s="8"/>
      <c r="K3091" s="8"/>
      <c r="L3091" s="8"/>
      <c r="M3091" s="8"/>
      <c r="N3091" s="8"/>
      <c r="O3091" s="8"/>
      <c r="P3091" s="4"/>
      <c r="Q3091" s="8"/>
      <c r="R3091" s="4"/>
      <c r="S3091" s="4"/>
    </row>
    <row r="3092" customFormat="false" ht="15" hidden="false" customHeight="false" outlineLevel="0" collapsed="false">
      <c r="A3092" s="4"/>
      <c r="B3092" s="8"/>
      <c r="C3092" s="8"/>
      <c r="D3092" s="8"/>
      <c r="E3092" s="8"/>
      <c r="F3092" s="8"/>
      <c r="G3092" s="8"/>
      <c r="H3092" s="8"/>
      <c r="I3092" s="8"/>
      <c r="J3092" s="8"/>
      <c r="K3092" s="8"/>
      <c r="L3092" s="8"/>
      <c r="M3092" s="8"/>
      <c r="N3092" s="8"/>
      <c r="O3092" s="8"/>
      <c r="P3092" s="4"/>
      <c r="Q3092" s="8"/>
      <c r="R3092" s="4"/>
      <c r="S3092" s="4"/>
    </row>
    <row r="3093" customFormat="false" ht="15" hidden="false" customHeight="false" outlineLevel="0" collapsed="false">
      <c r="A3093" s="4"/>
      <c r="B3093" s="8"/>
      <c r="C3093" s="8"/>
      <c r="D3093" s="8"/>
      <c r="E3093" s="8"/>
      <c r="F3093" s="8"/>
      <c r="G3093" s="8"/>
      <c r="H3093" s="8"/>
      <c r="I3093" s="8"/>
      <c r="J3093" s="8"/>
      <c r="K3093" s="8"/>
      <c r="L3093" s="8"/>
      <c r="M3093" s="8"/>
      <c r="N3093" s="8"/>
      <c r="O3093" s="8"/>
      <c r="P3093" s="4"/>
      <c r="Q3093" s="8"/>
      <c r="R3093" s="4"/>
      <c r="S3093" s="4"/>
    </row>
    <row r="3094" customFormat="false" ht="15" hidden="false" customHeight="false" outlineLevel="0" collapsed="false">
      <c r="A3094" s="4"/>
      <c r="B3094" s="8"/>
      <c r="C3094" s="8"/>
      <c r="D3094" s="8"/>
      <c r="E3094" s="8"/>
      <c r="F3094" s="8"/>
      <c r="G3094" s="8"/>
      <c r="H3094" s="8"/>
      <c r="I3094" s="8"/>
      <c r="J3094" s="8"/>
      <c r="K3094" s="8"/>
      <c r="L3094" s="8"/>
      <c r="M3094" s="8"/>
      <c r="N3094" s="8"/>
      <c r="O3094" s="8"/>
      <c r="P3094" s="4"/>
      <c r="Q3094" s="8"/>
      <c r="R3094" s="4"/>
      <c r="S3094" s="4"/>
    </row>
    <row r="3095" customFormat="false" ht="15" hidden="false" customHeight="false" outlineLevel="0" collapsed="false">
      <c r="A3095" s="4"/>
      <c r="B3095" s="8"/>
      <c r="C3095" s="8"/>
      <c r="D3095" s="8"/>
      <c r="E3095" s="8"/>
      <c r="F3095" s="8"/>
      <c r="G3095" s="8"/>
      <c r="H3095" s="8"/>
      <c r="I3095" s="8"/>
      <c r="J3095" s="8"/>
      <c r="K3095" s="8"/>
      <c r="L3095" s="8"/>
      <c r="M3095" s="8"/>
      <c r="N3095" s="8"/>
      <c r="O3095" s="8"/>
      <c r="P3095" s="4"/>
      <c r="Q3095" s="8"/>
      <c r="R3095" s="4"/>
      <c r="S3095" s="4"/>
    </row>
    <row r="3096" customFormat="false" ht="15" hidden="false" customHeight="false" outlineLevel="0" collapsed="false">
      <c r="A3096" s="4"/>
      <c r="B3096" s="8"/>
      <c r="C3096" s="8"/>
      <c r="D3096" s="8"/>
      <c r="E3096" s="8"/>
      <c r="F3096" s="8"/>
      <c r="G3096" s="8"/>
      <c r="H3096" s="8"/>
      <c r="I3096" s="8"/>
      <c r="J3096" s="8"/>
      <c r="K3096" s="8"/>
      <c r="L3096" s="8"/>
      <c r="M3096" s="8"/>
      <c r="N3096" s="8"/>
      <c r="O3096" s="8"/>
      <c r="P3096" s="4"/>
      <c r="Q3096" s="8"/>
      <c r="R3096" s="4"/>
      <c r="S3096" s="4"/>
    </row>
    <row r="3097" customFormat="false" ht="15" hidden="false" customHeight="false" outlineLevel="0" collapsed="false">
      <c r="A3097" s="4"/>
      <c r="B3097" s="8"/>
      <c r="C3097" s="8"/>
      <c r="D3097" s="8"/>
      <c r="E3097" s="8"/>
      <c r="F3097" s="8"/>
      <c r="G3097" s="8"/>
      <c r="H3097" s="8"/>
      <c r="I3097" s="8"/>
      <c r="J3097" s="8"/>
      <c r="K3097" s="8"/>
      <c r="L3097" s="8"/>
      <c r="M3097" s="8"/>
      <c r="N3097" s="8"/>
      <c r="O3097" s="8"/>
      <c r="P3097" s="4"/>
      <c r="Q3097" s="8"/>
      <c r="R3097" s="4"/>
      <c r="S3097" s="4"/>
    </row>
    <row r="3098" customFormat="false" ht="15" hidden="false" customHeight="false" outlineLevel="0" collapsed="false">
      <c r="A3098" s="4"/>
      <c r="B3098" s="8"/>
      <c r="C3098" s="8"/>
      <c r="D3098" s="8"/>
      <c r="E3098" s="8"/>
      <c r="F3098" s="8"/>
      <c r="G3098" s="8"/>
      <c r="H3098" s="8"/>
      <c r="I3098" s="8"/>
      <c r="J3098" s="8"/>
      <c r="K3098" s="8"/>
      <c r="L3098" s="8"/>
      <c r="M3098" s="8"/>
      <c r="N3098" s="8"/>
      <c r="O3098" s="8"/>
      <c r="P3098" s="4"/>
      <c r="Q3098" s="8"/>
      <c r="R3098" s="4"/>
      <c r="S3098" s="4"/>
    </row>
    <row r="3099" customFormat="false" ht="15" hidden="false" customHeight="false" outlineLevel="0" collapsed="false">
      <c r="A3099" s="4"/>
      <c r="B3099" s="8"/>
      <c r="C3099" s="8"/>
      <c r="D3099" s="8"/>
      <c r="E3099" s="8"/>
      <c r="F3099" s="8"/>
      <c r="G3099" s="8"/>
      <c r="H3099" s="8"/>
      <c r="I3099" s="8"/>
      <c r="J3099" s="8"/>
      <c r="K3099" s="8"/>
      <c r="L3099" s="8"/>
      <c r="M3099" s="8"/>
      <c r="N3099" s="8"/>
      <c r="O3099" s="8"/>
      <c r="P3099" s="4"/>
      <c r="Q3099" s="8"/>
      <c r="R3099" s="4"/>
      <c r="S3099" s="4"/>
    </row>
    <row r="3100" customFormat="false" ht="15" hidden="false" customHeight="false" outlineLevel="0" collapsed="false">
      <c r="A3100" s="4"/>
      <c r="B3100" s="8"/>
      <c r="C3100" s="8"/>
      <c r="D3100" s="8"/>
      <c r="E3100" s="8"/>
      <c r="F3100" s="8"/>
      <c r="G3100" s="8"/>
      <c r="H3100" s="8"/>
      <c r="I3100" s="8"/>
      <c r="J3100" s="8"/>
      <c r="K3100" s="8"/>
      <c r="L3100" s="8"/>
      <c r="M3100" s="8"/>
      <c r="N3100" s="8"/>
      <c r="O3100" s="8"/>
      <c r="P3100" s="4"/>
      <c r="Q3100" s="8"/>
      <c r="R3100" s="4"/>
      <c r="S3100" s="4"/>
    </row>
    <row r="3101" customFormat="false" ht="15" hidden="false" customHeight="false" outlineLevel="0" collapsed="false">
      <c r="A3101" s="4"/>
      <c r="B3101" s="8"/>
      <c r="C3101" s="8"/>
      <c r="D3101" s="8"/>
      <c r="E3101" s="8"/>
      <c r="F3101" s="8"/>
      <c r="G3101" s="8"/>
      <c r="H3101" s="8"/>
      <c r="I3101" s="8"/>
      <c r="J3101" s="8"/>
      <c r="K3101" s="8"/>
      <c r="L3101" s="8"/>
      <c r="M3101" s="8"/>
      <c r="N3101" s="8"/>
      <c r="O3101" s="8"/>
      <c r="P3101" s="4"/>
      <c r="Q3101" s="8"/>
      <c r="R3101" s="4"/>
      <c r="S3101" s="4"/>
    </row>
    <row r="3102" customFormat="false" ht="15" hidden="false" customHeight="false" outlineLevel="0" collapsed="false">
      <c r="A3102" s="4"/>
      <c r="B3102" s="8"/>
      <c r="C3102" s="8"/>
      <c r="D3102" s="8"/>
      <c r="E3102" s="8"/>
      <c r="F3102" s="8"/>
      <c r="G3102" s="8"/>
      <c r="H3102" s="8"/>
      <c r="I3102" s="8"/>
      <c r="J3102" s="8"/>
      <c r="K3102" s="8"/>
      <c r="L3102" s="8"/>
      <c r="M3102" s="8"/>
      <c r="N3102" s="8"/>
      <c r="O3102" s="8"/>
      <c r="P3102" s="4"/>
      <c r="Q3102" s="8"/>
      <c r="R3102" s="4"/>
      <c r="S3102" s="4"/>
    </row>
    <row r="3103" customFormat="false" ht="15" hidden="false" customHeight="false" outlineLevel="0" collapsed="false">
      <c r="A3103" s="4"/>
      <c r="B3103" s="8"/>
      <c r="C3103" s="8"/>
      <c r="D3103" s="8"/>
      <c r="E3103" s="8"/>
      <c r="F3103" s="8"/>
      <c r="G3103" s="8"/>
      <c r="H3103" s="8"/>
      <c r="I3103" s="8"/>
      <c r="J3103" s="8"/>
      <c r="K3103" s="8"/>
      <c r="L3103" s="8"/>
      <c r="M3103" s="8"/>
      <c r="N3103" s="8"/>
      <c r="O3103" s="8"/>
      <c r="P3103" s="4"/>
      <c r="Q3103" s="8"/>
      <c r="R3103" s="4"/>
      <c r="S3103" s="4"/>
    </row>
    <row r="3104" customFormat="false" ht="15" hidden="false" customHeight="false" outlineLevel="0" collapsed="false">
      <c r="A3104" s="4"/>
      <c r="B3104" s="8"/>
      <c r="C3104" s="8"/>
      <c r="D3104" s="8"/>
      <c r="E3104" s="8"/>
      <c r="F3104" s="8"/>
      <c r="G3104" s="8"/>
      <c r="H3104" s="8"/>
      <c r="I3104" s="8"/>
      <c r="J3104" s="8"/>
      <c r="K3104" s="8"/>
      <c r="L3104" s="8"/>
      <c r="M3104" s="8"/>
      <c r="N3104" s="8"/>
      <c r="O3104" s="8"/>
      <c r="P3104" s="4"/>
      <c r="Q3104" s="8"/>
      <c r="R3104" s="4"/>
      <c r="S3104" s="4"/>
    </row>
    <row r="3105" customFormat="false" ht="15" hidden="false" customHeight="false" outlineLevel="0" collapsed="false">
      <c r="A3105" s="4"/>
      <c r="B3105" s="8"/>
      <c r="C3105" s="8"/>
      <c r="D3105" s="8"/>
      <c r="E3105" s="8"/>
      <c r="F3105" s="8"/>
      <c r="G3105" s="8"/>
      <c r="H3105" s="8"/>
      <c r="I3105" s="8"/>
      <c r="J3105" s="8"/>
      <c r="K3105" s="8"/>
      <c r="L3105" s="8"/>
      <c r="M3105" s="8"/>
      <c r="N3105" s="8"/>
      <c r="O3105" s="8"/>
      <c r="P3105" s="4"/>
      <c r="Q3105" s="8"/>
      <c r="R3105" s="4"/>
      <c r="S3105" s="4"/>
    </row>
    <row r="3106" customFormat="false" ht="15" hidden="false" customHeight="false" outlineLevel="0" collapsed="false">
      <c r="A3106" s="4"/>
      <c r="B3106" s="8"/>
      <c r="C3106" s="8"/>
      <c r="D3106" s="8"/>
      <c r="E3106" s="8"/>
      <c r="F3106" s="8"/>
      <c r="G3106" s="8"/>
      <c r="H3106" s="8"/>
      <c r="I3106" s="8"/>
      <c r="J3106" s="8"/>
      <c r="K3106" s="8"/>
      <c r="L3106" s="8"/>
      <c r="M3106" s="8"/>
      <c r="N3106" s="8"/>
      <c r="O3106" s="8"/>
      <c r="P3106" s="4"/>
      <c r="Q3106" s="8"/>
      <c r="R3106" s="4"/>
      <c r="S3106" s="4"/>
    </row>
    <row r="3107" customFormat="false" ht="15" hidden="false" customHeight="false" outlineLevel="0" collapsed="false">
      <c r="A3107" s="4"/>
      <c r="B3107" s="8"/>
      <c r="C3107" s="8"/>
      <c r="D3107" s="8"/>
      <c r="E3107" s="8"/>
      <c r="F3107" s="8"/>
      <c r="G3107" s="8"/>
      <c r="H3107" s="8"/>
      <c r="I3107" s="8"/>
      <c r="J3107" s="8"/>
      <c r="K3107" s="8"/>
      <c r="L3107" s="8"/>
      <c r="M3107" s="8"/>
      <c r="N3107" s="8"/>
      <c r="O3107" s="8"/>
      <c r="P3107" s="4"/>
      <c r="Q3107" s="8"/>
      <c r="R3107" s="4"/>
      <c r="S3107" s="4"/>
    </row>
    <row r="3108" customFormat="false" ht="15" hidden="false" customHeight="false" outlineLevel="0" collapsed="false">
      <c r="A3108" s="4"/>
      <c r="B3108" s="8"/>
      <c r="C3108" s="8"/>
      <c r="D3108" s="8"/>
      <c r="E3108" s="8"/>
      <c r="F3108" s="8"/>
      <c r="G3108" s="8"/>
      <c r="H3108" s="8"/>
      <c r="I3108" s="8"/>
      <c r="J3108" s="8"/>
      <c r="K3108" s="8"/>
      <c r="L3108" s="8"/>
      <c r="M3108" s="8"/>
      <c r="N3108" s="8"/>
      <c r="O3108" s="8"/>
      <c r="P3108" s="4"/>
      <c r="Q3108" s="8"/>
      <c r="R3108" s="4"/>
      <c r="S3108" s="4"/>
    </row>
    <row r="3109" customFormat="false" ht="15" hidden="false" customHeight="false" outlineLevel="0" collapsed="false">
      <c r="A3109" s="4"/>
      <c r="B3109" s="8"/>
      <c r="C3109" s="8"/>
      <c r="D3109" s="8"/>
      <c r="E3109" s="8"/>
      <c r="F3109" s="8"/>
      <c r="G3109" s="8"/>
      <c r="H3109" s="8"/>
      <c r="I3109" s="8"/>
      <c r="J3109" s="8"/>
      <c r="K3109" s="8"/>
      <c r="L3109" s="8"/>
      <c r="M3109" s="8"/>
      <c r="N3109" s="8"/>
      <c r="O3109" s="8"/>
      <c r="P3109" s="4"/>
      <c r="Q3109" s="8"/>
      <c r="R3109" s="4"/>
      <c r="S3109" s="4"/>
    </row>
    <row r="3110" customFormat="false" ht="15" hidden="false" customHeight="false" outlineLevel="0" collapsed="false">
      <c r="A3110" s="4"/>
      <c r="B3110" s="8"/>
      <c r="C3110" s="8"/>
      <c r="D3110" s="8"/>
      <c r="E3110" s="8"/>
      <c r="F3110" s="8"/>
      <c r="G3110" s="8"/>
      <c r="H3110" s="8"/>
      <c r="I3110" s="8"/>
      <c r="J3110" s="8"/>
      <c r="K3110" s="8"/>
      <c r="L3110" s="8"/>
      <c r="M3110" s="8"/>
      <c r="N3110" s="8"/>
      <c r="O3110" s="8"/>
      <c r="P3110" s="4"/>
      <c r="Q3110" s="8"/>
      <c r="R3110" s="4"/>
      <c r="S3110" s="4"/>
    </row>
    <row r="3111" customFormat="false" ht="15" hidden="false" customHeight="false" outlineLevel="0" collapsed="false">
      <c r="A3111" s="4"/>
      <c r="B3111" s="8"/>
      <c r="C3111" s="8"/>
      <c r="D3111" s="8"/>
      <c r="E3111" s="8"/>
      <c r="F3111" s="8"/>
      <c r="G3111" s="8"/>
      <c r="H3111" s="8"/>
      <c r="I3111" s="8"/>
      <c r="J3111" s="8"/>
      <c r="K3111" s="8"/>
      <c r="L3111" s="8"/>
      <c r="M3111" s="8"/>
      <c r="N3111" s="8"/>
      <c r="O3111" s="8"/>
      <c r="P3111" s="4"/>
      <c r="Q3111" s="8"/>
      <c r="R3111" s="4"/>
      <c r="S3111" s="4"/>
    </row>
    <row r="3112" customFormat="false" ht="15" hidden="false" customHeight="false" outlineLevel="0" collapsed="false">
      <c r="A3112" s="4"/>
      <c r="B3112" s="8"/>
      <c r="C3112" s="8"/>
      <c r="D3112" s="8"/>
      <c r="E3112" s="8"/>
      <c r="F3112" s="8"/>
      <c r="G3112" s="8"/>
      <c r="H3112" s="8"/>
      <c r="I3112" s="8"/>
      <c r="J3112" s="8"/>
      <c r="K3112" s="8"/>
      <c r="L3112" s="8"/>
      <c r="M3112" s="8"/>
      <c r="N3112" s="8"/>
      <c r="O3112" s="8"/>
      <c r="P3112" s="4"/>
      <c r="Q3112" s="8"/>
      <c r="R3112" s="4"/>
      <c r="S3112" s="4"/>
    </row>
    <row r="3113" customFormat="false" ht="15" hidden="false" customHeight="false" outlineLevel="0" collapsed="false">
      <c r="A3113" s="4"/>
      <c r="B3113" s="8"/>
      <c r="C3113" s="8"/>
      <c r="D3113" s="8"/>
      <c r="E3113" s="8"/>
      <c r="F3113" s="8"/>
      <c r="G3113" s="8"/>
      <c r="H3113" s="8"/>
      <c r="I3113" s="8"/>
      <c r="J3113" s="8"/>
      <c r="K3113" s="8"/>
      <c r="L3113" s="8"/>
      <c r="M3113" s="8"/>
      <c r="N3113" s="8"/>
      <c r="O3113" s="8"/>
      <c r="P3113" s="4"/>
      <c r="Q3113" s="8"/>
      <c r="R3113" s="4"/>
      <c r="S3113" s="4"/>
    </row>
    <row r="3114" customFormat="false" ht="15" hidden="false" customHeight="false" outlineLevel="0" collapsed="false">
      <c r="A3114" s="4"/>
      <c r="B3114" s="8"/>
      <c r="C3114" s="8"/>
      <c r="D3114" s="8"/>
      <c r="E3114" s="8"/>
      <c r="F3114" s="8"/>
      <c r="G3114" s="8"/>
      <c r="H3114" s="8"/>
      <c r="I3114" s="8"/>
      <c r="J3114" s="8"/>
      <c r="K3114" s="8"/>
      <c r="L3114" s="8"/>
      <c r="M3114" s="8"/>
      <c r="N3114" s="8"/>
      <c r="O3114" s="8"/>
      <c r="P3114" s="4"/>
      <c r="Q3114" s="8"/>
      <c r="R3114" s="4"/>
      <c r="S3114" s="4"/>
    </row>
    <row r="3115" customFormat="false" ht="15" hidden="false" customHeight="false" outlineLevel="0" collapsed="false">
      <c r="A3115" s="4"/>
      <c r="B3115" s="8"/>
      <c r="C3115" s="8"/>
      <c r="D3115" s="8"/>
      <c r="E3115" s="8"/>
      <c r="F3115" s="8"/>
      <c r="G3115" s="8"/>
      <c r="H3115" s="8"/>
      <c r="I3115" s="8"/>
      <c r="J3115" s="8"/>
      <c r="K3115" s="8"/>
      <c r="L3115" s="8"/>
      <c r="M3115" s="8"/>
      <c r="N3115" s="8"/>
      <c r="O3115" s="8"/>
      <c r="P3115" s="4"/>
      <c r="Q3115" s="8"/>
      <c r="R3115" s="4"/>
      <c r="S3115" s="4"/>
    </row>
    <row r="3116" customFormat="false" ht="15" hidden="false" customHeight="false" outlineLevel="0" collapsed="false">
      <c r="A3116" s="4"/>
      <c r="B3116" s="8"/>
      <c r="C3116" s="8"/>
      <c r="D3116" s="8"/>
      <c r="E3116" s="8"/>
      <c r="F3116" s="8"/>
      <c r="G3116" s="8"/>
      <c r="H3116" s="8"/>
      <c r="I3116" s="8"/>
      <c r="J3116" s="8"/>
      <c r="K3116" s="8"/>
      <c r="L3116" s="8"/>
      <c r="M3116" s="8"/>
      <c r="N3116" s="8"/>
      <c r="O3116" s="8"/>
      <c r="P3116" s="4"/>
      <c r="Q3116" s="8"/>
      <c r="R3116" s="4"/>
      <c r="S3116" s="4"/>
    </row>
    <row r="3117" customFormat="false" ht="15" hidden="false" customHeight="false" outlineLevel="0" collapsed="false">
      <c r="A3117" s="4"/>
      <c r="B3117" s="8"/>
      <c r="C3117" s="8"/>
      <c r="D3117" s="8"/>
      <c r="E3117" s="8"/>
      <c r="F3117" s="8"/>
      <c r="G3117" s="8"/>
      <c r="H3117" s="8"/>
      <c r="I3117" s="8"/>
      <c r="J3117" s="8"/>
      <c r="K3117" s="8"/>
      <c r="L3117" s="8"/>
      <c r="M3117" s="8"/>
      <c r="N3117" s="8"/>
      <c r="O3117" s="8"/>
      <c r="P3117" s="4"/>
      <c r="Q3117" s="8"/>
      <c r="R3117" s="4"/>
      <c r="S3117" s="4"/>
    </row>
    <row r="3118" customFormat="false" ht="15" hidden="false" customHeight="false" outlineLevel="0" collapsed="false">
      <c r="A3118" s="4"/>
      <c r="B3118" s="8"/>
      <c r="C3118" s="8"/>
      <c r="D3118" s="8"/>
      <c r="E3118" s="8"/>
      <c r="F3118" s="8"/>
      <c r="G3118" s="8"/>
      <c r="H3118" s="8"/>
      <c r="I3118" s="8"/>
      <c r="J3118" s="8"/>
      <c r="K3118" s="8"/>
      <c r="L3118" s="8"/>
      <c r="M3118" s="8"/>
      <c r="N3118" s="8"/>
      <c r="O3118" s="8"/>
      <c r="P3118" s="4"/>
      <c r="Q3118" s="8"/>
      <c r="R3118" s="4"/>
      <c r="S3118" s="4"/>
    </row>
    <row r="3119" customFormat="false" ht="15" hidden="false" customHeight="false" outlineLevel="0" collapsed="false">
      <c r="A3119" s="4"/>
      <c r="B3119" s="8"/>
      <c r="C3119" s="8"/>
      <c r="D3119" s="8"/>
      <c r="E3119" s="8"/>
      <c r="F3119" s="8"/>
      <c r="G3119" s="8"/>
      <c r="H3119" s="8"/>
      <c r="I3119" s="8"/>
      <c r="J3119" s="8"/>
      <c r="K3119" s="8"/>
      <c r="L3119" s="8"/>
      <c r="M3119" s="8"/>
      <c r="N3119" s="8"/>
      <c r="O3119" s="8"/>
      <c r="P3119" s="4"/>
      <c r="Q3119" s="8"/>
      <c r="R3119" s="4"/>
      <c r="S3119" s="4"/>
    </row>
    <row r="3120" customFormat="false" ht="15" hidden="false" customHeight="false" outlineLevel="0" collapsed="false">
      <c r="A3120" s="4"/>
      <c r="B3120" s="8"/>
      <c r="C3120" s="8"/>
      <c r="D3120" s="8"/>
      <c r="E3120" s="8"/>
      <c r="F3120" s="8"/>
      <c r="G3120" s="8"/>
      <c r="H3120" s="8"/>
      <c r="I3120" s="8"/>
      <c r="J3120" s="8"/>
      <c r="K3120" s="8"/>
      <c r="L3120" s="8"/>
      <c r="M3120" s="8"/>
      <c r="N3120" s="8"/>
      <c r="O3120" s="8"/>
      <c r="P3120" s="4"/>
      <c r="Q3120" s="8"/>
      <c r="R3120" s="4"/>
      <c r="S3120" s="4"/>
    </row>
    <row r="3121" customFormat="false" ht="15" hidden="false" customHeight="false" outlineLevel="0" collapsed="false">
      <c r="A3121" s="4"/>
      <c r="B3121" s="8"/>
      <c r="C3121" s="8"/>
      <c r="D3121" s="8"/>
      <c r="E3121" s="8"/>
      <c r="F3121" s="8"/>
      <c r="G3121" s="8"/>
      <c r="H3121" s="8"/>
      <c r="I3121" s="8"/>
      <c r="J3121" s="8"/>
      <c r="K3121" s="8"/>
      <c r="L3121" s="8"/>
      <c r="M3121" s="8"/>
      <c r="N3121" s="8"/>
      <c r="O3121" s="8"/>
      <c r="P3121" s="4"/>
      <c r="Q3121" s="8"/>
      <c r="R3121" s="4"/>
      <c r="S3121" s="4"/>
    </row>
    <row r="3122" customFormat="false" ht="15" hidden="false" customHeight="false" outlineLevel="0" collapsed="false">
      <c r="A3122" s="4"/>
      <c r="B3122" s="8"/>
      <c r="C3122" s="8"/>
      <c r="D3122" s="8"/>
      <c r="E3122" s="8"/>
      <c r="F3122" s="8"/>
      <c r="G3122" s="8"/>
      <c r="H3122" s="8"/>
      <c r="I3122" s="8"/>
      <c r="J3122" s="8"/>
      <c r="K3122" s="8"/>
      <c r="L3122" s="8"/>
      <c r="M3122" s="8"/>
      <c r="N3122" s="8"/>
      <c r="O3122" s="8"/>
      <c r="P3122" s="4"/>
      <c r="Q3122" s="8"/>
      <c r="R3122" s="4"/>
      <c r="S3122" s="4"/>
    </row>
    <row r="3123" customFormat="false" ht="15" hidden="false" customHeight="false" outlineLevel="0" collapsed="false">
      <c r="A3123" s="4"/>
      <c r="B3123" s="8"/>
      <c r="C3123" s="8"/>
      <c r="D3123" s="8"/>
      <c r="E3123" s="8"/>
      <c r="F3123" s="8"/>
      <c r="G3123" s="8"/>
      <c r="H3123" s="8"/>
      <c r="I3123" s="8"/>
      <c r="J3123" s="8"/>
      <c r="K3123" s="8"/>
      <c r="L3123" s="8"/>
      <c r="M3123" s="8"/>
      <c r="N3123" s="8"/>
      <c r="O3123" s="8"/>
      <c r="P3123" s="4"/>
      <c r="Q3123" s="8"/>
      <c r="R3123" s="4"/>
      <c r="S3123" s="4"/>
    </row>
    <row r="3124" customFormat="false" ht="15" hidden="false" customHeight="false" outlineLevel="0" collapsed="false">
      <c r="A3124" s="4"/>
      <c r="B3124" s="8"/>
      <c r="C3124" s="8"/>
      <c r="D3124" s="8"/>
      <c r="E3124" s="8"/>
      <c r="F3124" s="8"/>
      <c r="G3124" s="8"/>
      <c r="H3124" s="8"/>
      <c r="I3124" s="8"/>
      <c r="J3124" s="8"/>
      <c r="K3124" s="8"/>
      <c r="L3124" s="8"/>
      <c r="M3124" s="8"/>
      <c r="N3124" s="8"/>
      <c r="O3124" s="8"/>
      <c r="P3124" s="4"/>
      <c r="Q3124" s="8"/>
      <c r="R3124" s="4"/>
      <c r="S3124" s="4"/>
    </row>
    <row r="3125" customFormat="false" ht="15" hidden="false" customHeight="false" outlineLevel="0" collapsed="false">
      <c r="A3125" s="4"/>
      <c r="B3125" s="8"/>
      <c r="C3125" s="8"/>
      <c r="D3125" s="8"/>
      <c r="E3125" s="8"/>
      <c r="F3125" s="8"/>
      <c r="G3125" s="8"/>
      <c r="H3125" s="8"/>
      <c r="I3125" s="8"/>
      <c r="J3125" s="8"/>
      <c r="K3125" s="8"/>
      <c r="L3125" s="8"/>
      <c r="M3125" s="8"/>
      <c r="N3125" s="8"/>
      <c r="O3125" s="8"/>
      <c r="P3125" s="4"/>
      <c r="Q3125" s="8"/>
      <c r="R3125" s="4"/>
      <c r="S3125" s="4"/>
    </row>
    <row r="3126" customFormat="false" ht="15" hidden="false" customHeight="false" outlineLevel="0" collapsed="false">
      <c r="A3126" s="4"/>
      <c r="B3126" s="8"/>
      <c r="C3126" s="8"/>
      <c r="D3126" s="8"/>
      <c r="E3126" s="8"/>
      <c r="F3126" s="8"/>
      <c r="G3126" s="8"/>
      <c r="H3126" s="8"/>
      <c r="I3126" s="8"/>
      <c r="J3126" s="8"/>
      <c r="K3126" s="8"/>
      <c r="L3126" s="8"/>
      <c r="M3126" s="8"/>
      <c r="N3126" s="8"/>
      <c r="O3126" s="8"/>
      <c r="P3126" s="4"/>
      <c r="Q3126" s="8"/>
      <c r="R3126" s="4"/>
      <c r="S3126" s="4"/>
    </row>
    <row r="3127" customFormat="false" ht="15" hidden="false" customHeight="false" outlineLevel="0" collapsed="false">
      <c r="A3127" s="4"/>
      <c r="B3127" s="8"/>
      <c r="C3127" s="8"/>
      <c r="D3127" s="8"/>
      <c r="E3127" s="8"/>
      <c r="F3127" s="8"/>
      <c r="G3127" s="8"/>
      <c r="H3127" s="8"/>
      <c r="I3127" s="8"/>
      <c r="J3127" s="8"/>
      <c r="K3127" s="8"/>
      <c r="L3127" s="8"/>
      <c r="M3127" s="8"/>
      <c r="N3127" s="8"/>
      <c r="O3127" s="8"/>
      <c r="P3127" s="4"/>
      <c r="Q3127" s="8"/>
      <c r="R3127" s="4"/>
      <c r="S3127" s="4"/>
    </row>
    <row r="3128" customFormat="false" ht="15" hidden="false" customHeight="false" outlineLevel="0" collapsed="false">
      <c r="A3128" s="4"/>
      <c r="B3128" s="8"/>
      <c r="C3128" s="8"/>
      <c r="D3128" s="8"/>
      <c r="E3128" s="8"/>
      <c r="F3128" s="8"/>
      <c r="G3128" s="8"/>
      <c r="H3128" s="8"/>
      <c r="I3128" s="8"/>
      <c r="J3128" s="8"/>
      <c r="K3128" s="8"/>
      <c r="L3128" s="8"/>
      <c r="M3128" s="8"/>
      <c r="N3128" s="8"/>
      <c r="O3128" s="8"/>
      <c r="P3128" s="4"/>
      <c r="Q3128" s="8"/>
      <c r="R3128" s="4"/>
      <c r="S3128" s="4"/>
    </row>
    <row r="3129" customFormat="false" ht="15" hidden="false" customHeight="false" outlineLevel="0" collapsed="false">
      <c r="A3129" s="4"/>
      <c r="B3129" s="8"/>
      <c r="C3129" s="8"/>
      <c r="D3129" s="8"/>
      <c r="E3129" s="8"/>
      <c r="F3129" s="8"/>
      <c r="G3129" s="8"/>
      <c r="H3129" s="8"/>
      <c r="I3129" s="8"/>
      <c r="J3129" s="8"/>
      <c r="K3129" s="8"/>
      <c r="L3129" s="8"/>
      <c r="M3129" s="8"/>
      <c r="N3129" s="8"/>
      <c r="O3129" s="8"/>
      <c r="P3129" s="4"/>
      <c r="Q3129" s="8"/>
      <c r="R3129" s="4"/>
      <c r="S3129" s="4"/>
    </row>
    <row r="3130" customFormat="false" ht="15" hidden="false" customHeight="false" outlineLevel="0" collapsed="false">
      <c r="A3130" s="4"/>
      <c r="B3130" s="8"/>
      <c r="C3130" s="8"/>
      <c r="D3130" s="8"/>
      <c r="E3130" s="8"/>
      <c r="F3130" s="8"/>
      <c r="G3130" s="8"/>
      <c r="H3130" s="8"/>
      <c r="I3130" s="8"/>
      <c r="J3130" s="8"/>
      <c r="K3130" s="8"/>
      <c r="L3130" s="8"/>
      <c r="M3130" s="8"/>
      <c r="N3130" s="8"/>
      <c r="O3130" s="8"/>
      <c r="P3130" s="4"/>
      <c r="Q3130" s="8"/>
      <c r="R3130" s="4"/>
      <c r="S3130" s="4"/>
    </row>
    <row r="3131" customFormat="false" ht="15" hidden="false" customHeight="false" outlineLevel="0" collapsed="false">
      <c r="A3131" s="4"/>
      <c r="B3131" s="8"/>
      <c r="C3131" s="8"/>
      <c r="D3131" s="8"/>
      <c r="E3131" s="8"/>
      <c r="F3131" s="8"/>
      <c r="G3131" s="8"/>
      <c r="H3131" s="8"/>
      <c r="I3131" s="8"/>
      <c r="J3131" s="8"/>
      <c r="K3131" s="8"/>
      <c r="L3131" s="8"/>
      <c r="M3131" s="8"/>
      <c r="N3131" s="8"/>
      <c r="O3131" s="8"/>
      <c r="P3131" s="4"/>
      <c r="Q3131" s="8"/>
      <c r="R3131" s="4"/>
      <c r="S3131" s="4"/>
    </row>
    <row r="3132" customFormat="false" ht="15" hidden="false" customHeight="false" outlineLevel="0" collapsed="false">
      <c r="A3132" s="4"/>
      <c r="B3132" s="8"/>
      <c r="C3132" s="8"/>
      <c r="D3132" s="8"/>
      <c r="E3132" s="8"/>
      <c r="F3132" s="8"/>
      <c r="G3132" s="8"/>
      <c r="H3132" s="8"/>
      <c r="I3132" s="8"/>
      <c r="J3132" s="8"/>
      <c r="K3132" s="8"/>
      <c r="L3132" s="8"/>
      <c r="M3132" s="8"/>
      <c r="N3132" s="8"/>
      <c r="O3132" s="8"/>
      <c r="P3132" s="4"/>
      <c r="Q3132" s="8"/>
      <c r="R3132" s="4"/>
      <c r="S3132" s="4"/>
    </row>
    <row r="3133" customFormat="false" ht="15" hidden="false" customHeight="false" outlineLevel="0" collapsed="false">
      <c r="A3133" s="4"/>
      <c r="B3133" s="8"/>
      <c r="C3133" s="8"/>
      <c r="D3133" s="8"/>
      <c r="E3133" s="8"/>
      <c r="F3133" s="8"/>
      <c r="G3133" s="8"/>
      <c r="H3133" s="8"/>
      <c r="I3133" s="8"/>
      <c r="J3133" s="8"/>
      <c r="K3133" s="8"/>
      <c r="L3133" s="8"/>
      <c r="M3133" s="8"/>
      <c r="N3133" s="8"/>
      <c r="O3133" s="8"/>
      <c r="P3133" s="4"/>
      <c r="Q3133" s="8"/>
      <c r="R3133" s="4"/>
      <c r="S3133" s="4"/>
    </row>
    <row r="3134" customFormat="false" ht="15" hidden="false" customHeight="false" outlineLevel="0" collapsed="false">
      <c r="A3134" s="4"/>
      <c r="B3134" s="8"/>
      <c r="C3134" s="8"/>
      <c r="D3134" s="8"/>
      <c r="E3134" s="8"/>
      <c r="F3134" s="8"/>
      <c r="G3134" s="8"/>
      <c r="H3134" s="8"/>
      <c r="I3134" s="8"/>
      <c r="J3134" s="8"/>
      <c r="K3134" s="8"/>
      <c r="L3134" s="8"/>
      <c r="M3134" s="8"/>
      <c r="N3134" s="8"/>
      <c r="O3134" s="8"/>
      <c r="P3134" s="4"/>
      <c r="Q3134" s="8"/>
      <c r="R3134" s="4"/>
      <c r="S3134" s="4"/>
    </row>
    <row r="3135" customFormat="false" ht="15" hidden="false" customHeight="false" outlineLevel="0" collapsed="false">
      <c r="A3135" s="4"/>
      <c r="B3135" s="8"/>
      <c r="C3135" s="8"/>
      <c r="D3135" s="8"/>
      <c r="E3135" s="8"/>
      <c r="F3135" s="8"/>
      <c r="G3135" s="8"/>
      <c r="H3135" s="8"/>
      <c r="I3135" s="8"/>
      <c r="J3135" s="8"/>
      <c r="K3135" s="8"/>
      <c r="L3135" s="8"/>
      <c r="M3135" s="8"/>
      <c r="N3135" s="8"/>
      <c r="O3135" s="8"/>
      <c r="P3135" s="4"/>
      <c r="Q3135" s="8"/>
      <c r="R3135" s="4"/>
      <c r="S3135" s="4"/>
    </row>
    <row r="3136" customFormat="false" ht="15" hidden="false" customHeight="false" outlineLevel="0" collapsed="false">
      <c r="A3136" s="4"/>
      <c r="B3136" s="8"/>
      <c r="C3136" s="8"/>
      <c r="D3136" s="8"/>
      <c r="E3136" s="8"/>
      <c r="F3136" s="8"/>
      <c r="G3136" s="8"/>
      <c r="H3136" s="8"/>
      <c r="I3136" s="8"/>
      <c r="J3136" s="8"/>
      <c r="K3136" s="8"/>
      <c r="L3136" s="8"/>
      <c r="M3136" s="8"/>
      <c r="N3136" s="8"/>
      <c r="O3136" s="8"/>
      <c r="P3136" s="4"/>
      <c r="Q3136" s="8"/>
      <c r="R3136" s="4"/>
      <c r="S3136" s="4"/>
    </row>
    <row r="3137" customFormat="false" ht="15" hidden="false" customHeight="false" outlineLevel="0" collapsed="false">
      <c r="A3137" s="4"/>
      <c r="B3137" s="8"/>
      <c r="C3137" s="8"/>
      <c r="D3137" s="8"/>
      <c r="E3137" s="8"/>
      <c r="F3137" s="8"/>
      <c r="G3137" s="8"/>
      <c r="H3137" s="8"/>
      <c r="I3137" s="8"/>
      <c r="J3137" s="8"/>
      <c r="K3137" s="8"/>
      <c r="L3137" s="8"/>
      <c r="M3137" s="8"/>
      <c r="N3137" s="8"/>
      <c r="O3137" s="8"/>
      <c r="P3137" s="4"/>
      <c r="Q3137" s="8"/>
      <c r="R3137" s="4"/>
      <c r="S3137" s="4"/>
    </row>
    <row r="3138" customFormat="false" ht="15" hidden="false" customHeight="false" outlineLevel="0" collapsed="false">
      <c r="A3138" s="4"/>
      <c r="B3138" s="8"/>
      <c r="C3138" s="8"/>
      <c r="D3138" s="8"/>
      <c r="E3138" s="8"/>
      <c r="F3138" s="8"/>
      <c r="G3138" s="8"/>
      <c r="H3138" s="8"/>
      <c r="I3138" s="8"/>
      <c r="J3138" s="8"/>
      <c r="K3138" s="8"/>
      <c r="L3138" s="8"/>
      <c r="M3138" s="8"/>
      <c r="N3138" s="8"/>
      <c r="O3138" s="8"/>
      <c r="P3138" s="4"/>
      <c r="Q3138" s="8"/>
      <c r="R3138" s="4"/>
      <c r="S3138" s="4"/>
    </row>
    <row r="3139" customFormat="false" ht="15" hidden="false" customHeight="false" outlineLevel="0" collapsed="false">
      <c r="A3139" s="4"/>
      <c r="B3139" s="8"/>
      <c r="C3139" s="8"/>
      <c r="D3139" s="8"/>
      <c r="E3139" s="8"/>
      <c r="F3139" s="8"/>
      <c r="G3139" s="8"/>
      <c r="H3139" s="8"/>
      <c r="I3139" s="8"/>
      <c r="J3139" s="8"/>
      <c r="K3139" s="8"/>
      <c r="L3139" s="8"/>
      <c r="M3139" s="8"/>
      <c r="N3139" s="8"/>
      <c r="O3139" s="8"/>
      <c r="P3139" s="4"/>
      <c r="Q3139" s="8"/>
      <c r="R3139" s="4"/>
      <c r="S3139" s="4"/>
    </row>
    <row r="3140" customFormat="false" ht="15" hidden="false" customHeight="false" outlineLevel="0" collapsed="false">
      <c r="A3140" s="4"/>
      <c r="B3140" s="8"/>
      <c r="C3140" s="8"/>
      <c r="D3140" s="8"/>
      <c r="E3140" s="8"/>
      <c r="F3140" s="8"/>
      <c r="G3140" s="8"/>
      <c r="H3140" s="8"/>
      <c r="I3140" s="8"/>
      <c r="J3140" s="8"/>
      <c r="K3140" s="8"/>
      <c r="L3140" s="8"/>
      <c r="M3140" s="8"/>
      <c r="N3140" s="8"/>
      <c r="O3140" s="8"/>
      <c r="P3140" s="4"/>
      <c r="Q3140" s="8"/>
      <c r="R3140" s="4"/>
      <c r="S3140" s="4"/>
    </row>
    <row r="3141" customFormat="false" ht="15" hidden="false" customHeight="false" outlineLevel="0" collapsed="false">
      <c r="A3141" s="4"/>
      <c r="B3141" s="8"/>
      <c r="C3141" s="8"/>
      <c r="D3141" s="8"/>
      <c r="E3141" s="8"/>
      <c r="F3141" s="8"/>
      <c r="G3141" s="8"/>
      <c r="H3141" s="8"/>
      <c r="I3141" s="8"/>
      <c r="J3141" s="8"/>
      <c r="K3141" s="8"/>
      <c r="L3141" s="8"/>
      <c r="M3141" s="8"/>
      <c r="N3141" s="8"/>
      <c r="O3141" s="8"/>
      <c r="P3141" s="4"/>
      <c r="Q3141" s="8"/>
      <c r="R3141" s="4"/>
      <c r="S3141" s="4"/>
    </row>
    <row r="3142" customFormat="false" ht="15" hidden="false" customHeight="false" outlineLevel="0" collapsed="false">
      <c r="A3142" s="4"/>
      <c r="B3142" s="8"/>
      <c r="C3142" s="8"/>
      <c r="D3142" s="8"/>
      <c r="E3142" s="8"/>
      <c r="F3142" s="8"/>
      <c r="G3142" s="8"/>
      <c r="H3142" s="8"/>
      <c r="I3142" s="8"/>
      <c r="J3142" s="8"/>
      <c r="K3142" s="8"/>
      <c r="L3142" s="8"/>
      <c r="M3142" s="8"/>
      <c r="N3142" s="8"/>
      <c r="O3142" s="8"/>
      <c r="P3142" s="4"/>
      <c r="Q3142" s="8"/>
      <c r="R3142" s="4"/>
      <c r="S3142" s="4"/>
    </row>
    <row r="3143" customFormat="false" ht="15" hidden="false" customHeight="false" outlineLevel="0" collapsed="false">
      <c r="A3143" s="4"/>
      <c r="B3143" s="8"/>
      <c r="C3143" s="8"/>
      <c r="D3143" s="8"/>
      <c r="E3143" s="8"/>
      <c r="F3143" s="8"/>
      <c r="G3143" s="8"/>
      <c r="H3143" s="8"/>
      <c r="I3143" s="8"/>
      <c r="J3143" s="8"/>
      <c r="K3143" s="8"/>
      <c r="L3143" s="8"/>
      <c r="M3143" s="8"/>
      <c r="N3143" s="8"/>
      <c r="O3143" s="8"/>
      <c r="P3143" s="4"/>
      <c r="Q3143" s="8"/>
      <c r="R3143" s="4"/>
      <c r="S3143" s="4"/>
    </row>
    <row r="3144" customFormat="false" ht="15" hidden="false" customHeight="false" outlineLevel="0" collapsed="false">
      <c r="A3144" s="4"/>
      <c r="B3144" s="8"/>
      <c r="C3144" s="8"/>
      <c r="D3144" s="8"/>
      <c r="E3144" s="8"/>
      <c r="F3144" s="8"/>
      <c r="G3144" s="8"/>
      <c r="H3144" s="8"/>
      <c r="I3144" s="8"/>
      <c r="J3144" s="8"/>
      <c r="K3144" s="8"/>
      <c r="L3144" s="8"/>
      <c r="M3144" s="8"/>
      <c r="N3144" s="8"/>
      <c r="O3144" s="8"/>
      <c r="P3144" s="4"/>
      <c r="Q3144" s="8"/>
      <c r="R3144" s="4"/>
      <c r="S3144" s="4"/>
    </row>
    <row r="3145" customFormat="false" ht="15" hidden="false" customHeight="false" outlineLevel="0" collapsed="false">
      <c r="A3145" s="4"/>
      <c r="B3145" s="8"/>
      <c r="C3145" s="8"/>
      <c r="D3145" s="8"/>
      <c r="E3145" s="8"/>
      <c r="F3145" s="8"/>
      <c r="G3145" s="8"/>
      <c r="H3145" s="8"/>
      <c r="I3145" s="8"/>
      <c r="J3145" s="8"/>
      <c r="K3145" s="8"/>
      <c r="L3145" s="8"/>
      <c r="M3145" s="8"/>
      <c r="N3145" s="8"/>
      <c r="O3145" s="8"/>
      <c r="P3145" s="4"/>
      <c r="Q3145" s="8"/>
      <c r="R3145" s="4"/>
      <c r="S3145" s="4"/>
    </row>
    <row r="3146" customFormat="false" ht="15" hidden="false" customHeight="false" outlineLevel="0" collapsed="false">
      <c r="A3146" s="4"/>
      <c r="B3146" s="8"/>
      <c r="C3146" s="8"/>
      <c r="D3146" s="8"/>
      <c r="E3146" s="8"/>
      <c r="F3146" s="8"/>
      <c r="G3146" s="8"/>
      <c r="H3146" s="8"/>
      <c r="I3146" s="8"/>
      <c r="J3146" s="8"/>
      <c r="K3146" s="8"/>
      <c r="L3146" s="8"/>
      <c r="M3146" s="8"/>
      <c r="N3146" s="8"/>
      <c r="O3146" s="8"/>
      <c r="P3146" s="4"/>
      <c r="Q3146" s="8"/>
      <c r="R3146" s="4"/>
      <c r="S3146" s="4"/>
    </row>
    <row r="3147" customFormat="false" ht="15" hidden="false" customHeight="false" outlineLevel="0" collapsed="false">
      <c r="A3147" s="4"/>
      <c r="B3147" s="8"/>
      <c r="C3147" s="8"/>
      <c r="D3147" s="8"/>
      <c r="E3147" s="8"/>
      <c r="F3147" s="8"/>
      <c r="G3147" s="8"/>
      <c r="H3147" s="8"/>
      <c r="I3147" s="8"/>
      <c r="J3147" s="8"/>
      <c r="K3147" s="8"/>
      <c r="L3147" s="8"/>
      <c r="M3147" s="8"/>
      <c r="N3147" s="8"/>
      <c r="O3147" s="8"/>
      <c r="P3147" s="4"/>
      <c r="Q3147" s="8"/>
      <c r="R3147" s="4"/>
      <c r="S3147" s="4"/>
    </row>
    <row r="3148" customFormat="false" ht="15" hidden="false" customHeight="false" outlineLevel="0" collapsed="false">
      <c r="A3148" s="4"/>
      <c r="B3148" s="8"/>
      <c r="C3148" s="8"/>
      <c r="D3148" s="8"/>
      <c r="E3148" s="8"/>
      <c r="F3148" s="8"/>
      <c r="G3148" s="8"/>
      <c r="H3148" s="8"/>
      <c r="I3148" s="8"/>
      <c r="J3148" s="8"/>
      <c r="K3148" s="8"/>
      <c r="L3148" s="8"/>
      <c r="M3148" s="8"/>
      <c r="N3148" s="8"/>
      <c r="O3148" s="8"/>
      <c r="P3148" s="4"/>
      <c r="Q3148" s="8"/>
      <c r="R3148" s="4"/>
      <c r="S3148" s="4"/>
    </row>
    <row r="3149" customFormat="false" ht="15" hidden="false" customHeight="false" outlineLevel="0" collapsed="false">
      <c r="A3149" s="4"/>
      <c r="B3149" s="8"/>
      <c r="C3149" s="8"/>
      <c r="D3149" s="8"/>
      <c r="E3149" s="8"/>
      <c r="F3149" s="8"/>
      <c r="G3149" s="8"/>
      <c r="H3149" s="8"/>
      <c r="I3149" s="8"/>
      <c r="J3149" s="8"/>
      <c r="K3149" s="8"/>
      <c r="L3149" s="8"/>
      <c r="M3149" s="8"/>
      <c r="N3149" s="8"/>
      <c r="O3149" s="8"/>
      <c r="P3149" s="4"/>
      <c r="Q3149" s="8"/>
      <c r="R3149" s="4"/>
      <c r="S3149" s="4"/>
    </row>
    <row r="3150" customFormat="false" ht="15" hidden="false" customHeight="false" outlineLevel="0" collapsed="false">
      <c r="A3150" s="4"/>
      <c r="B3150" s="8"/>
      <c r="C3150" s="8"/>
      <c r="D3150" s="8"/>
      <c r="E3150" s="8"/>
      <c r="F3150" s="8"/>
      <c r="G3150" s="8"/>
      <c r="H3150" s="8"/>
      <c r="I3150" s="8"/>
      <c r="J3150" s="8"/>
      <c r="K3150" s="8"/>
      <c r="L3150" s="8"/>
      <c r="M3150" s="8"/>
      <c r="N3150" s="8"/>
      <c r="O3150" s="8"/>
      <c r="P3150" s="4"/>
      <c r="Q3150" s="8"/>
      <c r="R3150" s="4"/>
      <c r="S3150" s="4"/>
    </row>
    <row r="3151" customFormat="false" ht="15" hidden="false" customHeight="false" outlineLevel="0" collapsed="false">
      <c r="A3151" s="4"/>
      <c r="B3151" s="8"/>
      <c r="C3151" s="8"/>
      <c r="D3151" s="8"/>
      <c r="E3151" s="8"/>
      <c r="F3151" s="8"/>
      <c r="G3151" s="8"/>
      <c r="H3151" s="8"/>
      <c r="I3151" s="8"/>
      <c r="J3151" s="8"/>
      <c r="K3151" s="8"/>
      <c r="L3151" s="8"/>
      <c r="M3151" s="8"/>
      <c r="N3151" s="8"/>
      <c r="O3151" s="8"/>
      <c r="P3151" s="4"/>
      <c r="Q3151" s="8"/>
      <c r="R3151" s="4"/>
      <c r="S3151" s="4"/>
    </row>
    <row r="3152" customFormat="false" ht="15" hidden="false" customHeight="false" outlineLevel="0" collapsed="false">
      <c r="A3152" s="4"/>
      <c r="B3152" s="8"/>
      <c r="C3152" s="8"/>
      <c r="D3152" s="8"/>
      <c r="E3152" s="8"/>
      <c r="F3152" s="8"/>
      <c r="G3152" s="8"/>
      <c r="H3152" s="8"/>
      <c r="I3152" s="8"/>
      <c r="J3152" s="8"/>
      <c r="K3152" s="8"/>
      <c r="L3152" s="8"/>
      <c r="M3152" s="8"/>
      <c r="N3152" s="8"/>
      <c r="O3152" s="8"/>
      <c r="P3152" s="4"/>
      <c r="Q3152" s="8"/>
      <c r="R3152" s="4"/>
      <c r="S3152" s="4"/>
    </row>
    <row r="3153" customFormat="false" ht="15" hidden="false" customHeight="false" outlineLevel="0" collapsed="false">
      <c r="A3153" s="4"/>
      <c r="B3153" s="8"/>
      <c r="C3153" s="8"/>
      <c r="D3153" s="8"/>
      <c r="E3153" s="8"/>
      <c r="F3153" s="8"/>
      <c r="G3153" s="8"/>
      <c r="H3153" s="8"/>
      <c r="I3153" s="8"/>
      <c r="J3153" s="8"/>
      <c r="K3153" s="8"/>
      <c r="L3153" s="8"/>
      <c r="M3153" s="8"/>
      <c r="N3153" s="8"/>
      <c r="O3153" s="8"/>
      <c r="P3153" s="4"/>
      <c r="Q3153" s="8"/>
      <c r="R3153" s="4"/>
      <c r="S3153" s="4"/>
    </row>
    <row r="3154" customFormat="false" ht="15" hidden="false" customHeight="false" outlineLevel="0" collapsed="false">
      <c r="A3154" s="4"/>
      <c r="B3154" s="8"/>
      <c r="C3154" s="8"/>
      <c r="D3154" s="8"/>
      <c r="E3154" s="8"/>
      <c r="F3154" s="8"/>
      <c r="G3154" s="8"/>
      <c r="H3154" s="8"/>
      <c r="I3154" s="8"/>
      <c r="J3154" s="8"/>
      <c r="K3154" s="8"/>
      <c r="L3154" s="8"/>
      <c r="M3154" s="8"/>
      <c r="N3154" s="8"/>
      <c r="O3154" s="8"/>
      <c r="P3154" s="4"/>
      <c r="Q3154" s="8"/>
      <c r="R3154" s="4"/>
      <c r="S3154" s="4"/>
    </row>
    <row r="3155" customFormat="false" ht="15" hidden="false" customHeight="false" outlineLevel="0" collapsed="false">
      <c r="A3155" s="4"/>
      <c r="B3155" s="8"/>
      <c r="C3155" s="8"/>
      <c r="D3155" s="8"/>
      <c r="E3155" s="8"/>
      <c r="F3155" s="8"/>
      <c r="G3155" s="8"/>
      <c r="H3155" s="8"/>
      <c r="I3155" s="8"/>
      <c r="J3155" s="8"/>
      <c r="K3155" s="8"/>
      <c r="L3155" s="8"/>
      <c r="M3155" s="8"/>
      <c r="N3155" s="8"/>
      <c r="O3155" s="8"/>
      <c r="P3155" s="4"/>
      <c r="Q3155" s="8"/>
      <c r="R3155" s="4"/>
      <c r="S3155" s="4"/>
    </row>
    <row r="3156" customFormat="false" ht="15" hidden="false" customHeight="false" outlineLevel="0" collapsed="false">
      <c r="A3156" s="4"/>
      <c r="B3156" s="8"/>
      <c r="C3156" s="8"/>
      <c r="D3156" s="8"/>
      <c r="E3156" s="8"/>
      <c r="F3156" s="8"/>
      <c r="G3156" s="8"/>
      <c r="H3156" s="8"/>
      <c r="I3156" s="8"/>
      <c r="J3156" s="8"/>
      <c r="K3156" s="8"/>
      <c r="L3156" s="8"/>
      <c r="M3156" s="8"/>
      <c r="N3156" s="8"/>
      <c r="O3156" s="8"/>
      <c r="P3156" s="4"/>
      <c r="Q3156" s="8"/>
      <c r="R3156" s="4"/>
      <c r="S3156" s="4"/>
    </row>
    <row r="3157" customFormat="false" ht="15" hidden="false" customHeight="false" outlineLevel="0" collapsed="false">
      <c r="A3157" s="4"/>
      <c r="B3157" s="8"/>
      <c r="C3157" s="8"/>
      <c r="D3157" s="8"/>
      <c r="E3157" s="8"/>
      <c r="F3157" s="8"/>
      <c r="G3157" s="8"/>
      <c r="H3157" s="8"/>
      <c r="I3157" s="8"/>
      <c r="J3157" s="8"/>
      <c r="K3157" s="8"/>
      <c r="L3157" s="8"/>
      <c r="M3157" s="8"/>
      <c r="N3157" s="8"/>
      <c r="O3157" s="8"/>
      <c r="P3157" s="4"/>
      <c r="Q3157" s="8"/>
      <c r="R3157" s="4"/>
      <c r="S3157" s="4"/>
    </row>
    <row r="3158" customFormat="false" ht="15" hidden="false" customHeight="false" outlineLevel="0" collapsed="false">
      <c r="A3158" s="4"/>
      <c r="B3158" s="8"/>
      <c r="C3158" s="8"/>
      <c r="D3158" s="8"/>
      <c r="E3158" s="8"/>
      <c r="F3158" s="8"/>
      <c r="G3158" s="8"/>
      <c r="H3158" s="8"/>
      <c r="I3158" s="8"/>
      <c r="J3158" s="8"/>
      <c r="K3158" s="8"/>
      <c r="L3158" s="8"/>
      <c r="M3158" s="8"/>
      <c r="N3158" s="8"/>
      <c r="O3158" s="8"/>
      <c r="P3158" s="4"/>
      <c r="Q3158" s="8"/>
      <c r="R3158" s="4"/>
      <c r="S3158" s="4"/>
    </row>
    <row r="3159" customFormat="false" ht="15" hidden="false" customHeight="false" outlineLevel="0" collapsed="false">
      <c r="A3159" s="4"/>
      <c r="B3159" s="8"/>
      <c r="C3159" s="8"/>
      <c r="D3159" s="8"/>
      <c r="E3159" s="8"/>
      <c r="F3159" s="8"/>
      <c r="G3159" s="8"/>
      <c r="H3159" s="8"/>
      <c r="I3159" s="8"/>
      <c r="J3159" s="8"/>
      <c r="K3159" s="8"/>
      <c r="L3159" s="8"/>
      <c r="M3159" s="8"/>
      <c r="N3159" s="8"/>
      <c r="O3159" s="8"/>
      <c r="P3159" s="4"/>
      <c r="Q3159" s="8"/>
      <c r="R3159" s="4"/>
      <c r="S3159" s="4"/>
    </row>
    <row r="3160" customFormat="false" ht="15" hidden="false" customHeight="false" outlineLevel="0" collapsed="false">
      <c r="A3160" s="4"/>
      <c r="B3160" s="8"/>
      <c r="C3160" s="8"/>
      <c r="D3160" s="8"/>
      <c r="E3160" s="8"/>
      <c r="F3160" s="8"/>
      <c r="G3160" s="8"/>
      <c r="H3160" s="8"/>
      <c r="I3160" s="8"/>
      <c r="J3160" s="8"/>
      <c r="K3160" s="8"/>
      <c r="L3160" s="8"/>
      <c r="M3160" s="8"/>
      <c r="N3160" s="8"/>
      <c r="O3160" s="8"/>
      <c r="P3160" s="4"/>
      <c r="Q3160" s="8"/>
      <c r="R3160" s="4"/>
      <c r="S3160" s="4"/>
    </row>
    <row r="3161" customFormat="false" ht="15" hidden="false" customHeight="false" outlineLevel="0" collapsed="false">
      <c r="A3161" s="4"/>
      <c r="B3161" s="8"/>
      <c r="C3161" s="8"/>
      <c r="D3161" s="8"/>
      <c r="E3161" s="8"/>
      <c r="F3161" s="8"/>
      <c r="G3161" s="8"/>
      <c r="H3161" s="8"/>
      <c r="I3161" s="8"/>
      <c r="J3161" s="8"/>
      <c r="K3161" s="8"/>
      <c r="L3161" s="8"/>
      <c r="M3161" s="8"/>
      <c r="N3161" s="8"/>
      <c r="O3161" s="8"/>
      <c r="P3161" s="4"/>
      <c r="Q3161" s="8"/>
      <c r="R3161" s="4"/>
      <c r="S3161" s="4"/>
    </row>
    <row r="3162" customFormat="false" ht="15" hidden="false" customHeight="false" outlineLevel="0" collapsed="false">
      <c r="A3162" s="4"/>
      <c r="B3162" s="8"/>
      <c r="C3162" s="8"/>
      <c r="D3162" s="8"/>
      <c r="E3162" s="8"/>
      <c r="F3162" s="8"/>
      <c r="G3162" s="8"/>
      <c r="H3162" s="8"/>
      <c r="I3162" s="8"/>
      <c r="J3162" s="8"/>
      <c r="K3162" s="8"/>
      <c r="L3162" s="8"/>
      <c r="M3162" s="8"/>
      <c r="N3162" s="8"/>
      <c r="O3162" s="8"/>
      <c r="P3162" s="4"/>
      <c r="Q3162" s="8"/>
      <c r="R3162" s="4"/>
      <c r="S3162" s="4"/>
    </row>
    <row r="3163" customFormat="false" ht="15" hidden="false" customHeight="false" outlineLevel="0" collapsed="false">
      <c r="A3163" s="4"/>
      <c r="B3163" s="8"/>
      <c r="C3163" s="8"/>
      <c r="D3163" s="8"/>
      <c r="E3163" s="8"/>
      <c r="F3163" s="8"/>
      <c r="G3163" s="8"/>
      <c r="H3163" s="8"/>
      <c r="I3163" s="8"/>
      <c r="J3163" s="8"/>
      <c r="K3163" s="8"/>
      <c r="L3163" s="8"/>
      <c r="M3163" s="8"/>
      <c r="N3163" s="8"/>
      <c r="O3163" s="8"/>
      <c r="P3163" s="4"/>
      <c r="Q3163" s="8"/>
      <c r="R3163" s="4"/>
      <c r="S3163" s="4"/>
    </row>
    <row r="3164" customFormat="false" ht="15" hidden="false" customHeight="false" outlineLevel="0" collapsed="false">
      <c r="A3164" s="4"/>
      <c r="B3164" s="8"/>
      <c r="C3164" s="8"/>
      <c r="D3164" s="8"/>
      <c r="E3164" s="8"/>
      <c r="F3164" s="8"/>
      <c r="G3164" s="8"/>
      <c r="H3164" s="8"/>
      <c r="I3164" s="8"/>
      <c r="J3164" s="8"/>
      <c r="K3164" s="8"/>
      <c r="L3164" s="8"/>
      <c r="M3164" s="8"/>
      <c r="N3164" s="8"/>
      <c r="O3164" s="8"/>
      <c r="P3164" s="4"/>
      <c r="Q3164" s="8"/>
      <c r="R3164" s="4"/>
      <c r="S3164" s="4"/>
    </row>
    <row r="3165" customFormat="false" ht="15" hidden="false" customHeight="false" outlineLevel="0" collapsed="false">
      <c r="A3165" s="4"/>
      <c r="B3165" s="8"/>
      <c r="C3165" s="8"/>
      <c r="D3165" s="8"/>
      <c r="E3165" s="8"/>
      <c r="F3165" s="8"/>
      <c r="G3165" s="8"/>
      <c r="H3165" s="8"/>
      <c r="I3165" s="8"/>
      <c r="J3165" s="8"/>
      <c r="K3165" s="8"/>
      <c r="L3165" s="8"/>
      <c r="M3165" s="8"/>
      <c r="N3165" s="8"/>
      <c r="O3165" s="8"/>
      <c r="P3165" s="4"/>
      <c r="Q3165" s="8"/>
      <c r="R3165" s="4"/>
      <c r="S3165" s="4"/>
    </row>
    <row r="3166" customFormat="false" ht="15" hidden="false" customHeight="false" outlineLevel="0" collapsed="false">
      <c r="A3166" s="4"/>
      <c r="B3166" s="8"/>
      <c r="C3166" s="8"/>
      <c r="D3166" s="8"/>
      <c r="E3166" s="8"/>
      <c r="F3166" s="8"/>
      <c r="G3166" s="8"/>
      <c r="H3166" s="8"/>
      <c r="I3166" s="8"/>
      <c r="J3166" s="8"/>
      <c r="K3166" s="8"/>
      <c r="L3166" s="8"/>
      <c r="M3166" s="8"/>
      <c r="N3166" s="8"/>
      <c r="O3166" s="8"/>
      <c r="P3166" s="4"/>
      <c r="Q3166" s="8"/>
      <c r="R3166" s="4"/>
      <c r="S3166" s="4"/>
    </row>
    <row r="3167" customFormat="false" ht="15" hidden="false" customHeight="false" outlineLevel="0" collapsed="false">
      <c r="A3167" s="4"/>
      <c r="B3167" s="8"/>
      <c r="C3167" s="8"/>
      <c r="D3167" s="8"/>
      <c r="E3167" s="8"/>
      <c r="F3167" s="8"/>
      <c r="G3167" s="8"/>
      <c r="H3167" s="8"/>
      <c r="I3167" s="8"/>
      <c r="J3167" s="8"/>
      <c r="K3167" s="8"/>
      <c r="L3167" s="8"/>
      <c r="M3167" s="8"/>
      <c r="N3167" s="8"/>
      <c r="O3167" s="8"/>
      <c r="P3167" s="4"/>
      <c r="Q3167" s="8"/>
      <c r="R3167" s="4"/>
      <c r="S3167" s="4"/>
    </row>
    <row r="3168" customFormat="false" ht="15" hidden="false" customHeight="false" outlineLevel="0" collapsed="false">
      <c r="A3168" s="4"/>
      <c r="B3168" s="8"/>
      <c r="C3168" s="8"/>
      <c r="D3168" s="8"/>
      <c r="E3168" s="8"/>
      <c r="F3168" s="8"/>
      <c r="G3168" s="8"/>
      <c r="H3168" s="8"/>
      <c r="I3168" s="8"/>
      <c r="J3168" s="8"/>
      <c r="K3168" s="8"/>
      <c r="L3168" s="8"/>
      <c r="M3168" s="8"/>
      <c r="N3168" s="8"/>
      <c r="O3168" s="8"/>
      <c r="P3168" s="4"/>
      <c r="Q3168" s="8"/>
      <c r="R3168" s="4"/>
      <c r="S3168" s="4"/>
    </row>
    <row r="3169" customFormat="false" ht="15" hidden="false" customHeight="false" outlineLevel="0" collapsed="false">
      <c r="A3169" s="4"/>
      <c r="B3169" s="8"/>
      <c r="C3169" s="8"/>
      <c r="D3169" s="8"/>
      <c r="E3169" s="8"/>
      <c r="F3169" s="8"/>
      <c r="G3169" s="8"/>
      <c r="H3169" s="8"/>
      <c r="I3169" s="8"/>
      <c r="J3169" s="8"/>
      <c r="K3169" s="8"/>
      <c r="L3169" s="8"/>
      <c r="M3169" s="8"/>
      <c r="N3169" s="8"/>
      <c r="O3169" s="8"/>
      <c r="P3169" s="4"/>
      <c r="Q3169" s="8"/>
      <c r="R3169" s="4"/>
      <c r="S3169" s="4"/>
    </row>
    <row r="3170" customFormat="false" ht="15" hidden="false" customHeight="false" outlineLevel="0" collapsed="false">
      <c r="A3170" s="4"/>
      <c r="B3170" s="8"/>
      <c r="C3170" s="8"/>
      <c r="D3170" s="8"/>
      <c r="E3170" s="8"/>
      <c r="F3170" s="8"/>
      <c r="G3170" s="8"/>
      <c r="H3170" s="8"/>
      <c r="I3170" s="8"/>
      <c r="J3170" s="8"/>
      <c r="K3170" s="8"/>
      <c r="L3170" s="8"/>
      <c r="M3170" s="8"/>
      <c r="N3170" s="8"/>
      <c r="O3170" s="8"/>
      <c r="P3170" s="4"/>
      <c r="Q3170" s="8"/>
      <c r="R3170" s="4"/>
      <c r="S3170" s="4"/>
    </row>
    <row r="3171" customFormat="false" ht="15" hidden="false" customHeight="false" outlineLevel="0" collapsed="false">
      <c r="A3171" s="4"/>
      <c r="B3171" s="8"/>
      <c r="C3171" s="8"/>
      <c r="D3171" s="8"/>
      <c r="E3171" s="8"/>
      <c r="F3171" s="8"/>
      <c r="G3171" s="8"/>
      <c r="H3171" s="8"/>
      <c r="I3171" s="8"/>
      <c r="J3171" s="8"/>
      <c r="K3171" s="8"/>
      <c r="L3171" s="8"/>
      <c r="M3171" s="8"/>
      <c r="N3171" s="8"/>
      <c r="O3171" s="8"/>
      <c r="P3171" s="4"/>
      <c r="Q3171" s="8"/>
      <c r="R3171" s="4"/>
      <c r="S3171" s="4"/>
    </row>
    <row r="3172" customFormat="false" ht="15" hidden="false" customHeight="false" outlineLevel="0" collapsed="false">
      <c r="A3172" s="4"/>
      <c r="B3172" s="8"/>
      <c r="C3172" s="8"/>
      <c r="D3172" s="8"/>
      <c r="E3172" s="8"/>
      <c r="F3172" s="8"/>
      <c r="G3172" s="8"/>
      <c r="H3172" s="8"/>
      <c r="I3172" s="8"/>
      <c r="J3172" s="8"/>
      <c r="K3172" s="8"/>
      <c r="L3172" s="8"/>
      <c r="M3172" s="8"/>
      <c r="N3172" s="8"/>
      <c r="O3172" s="8"/>
      <c r="P3172" s="4"/>
      <c r="Q3172" s="8"/>
      <c r="R3172" s="4"/>
      <c r="S3172" s="4"/>
    </row>
    <row r="3173" customFormat="false" ht="15" hidden="false" customHeight="false" outlineLevel="0" collapsed="false">
      <c r="A3173" s="4"/>
      <c r="B3173" s="8"/>
      <c r="C3173" s="8"/>
      <c r="D3173" s="8"/>
      <c r="E3173" s="8"/>
      <c r="F3173" s="8"/>
      <c r="G3173" s="8"/>
      <c r="H3173" s="8"/>
      <c r="I3173" s="8"/>
      <c r="J3173" s="8"/>
      <c r="K3173" s="8"/>
      <c r="L3173" s="8"/>
      <c r="M3173" s="8"/>
      <c r="N3173" s="8"/>
      <c r="O3173" s="8"/>
      <c r="P3173" s="4"/>
      <c r="Q3173" s="8"/>
      <c r="R3173" s="4"/>
      <c r="S3173" s="4"/>
    </row>
    <row r="3174" customFormat="false" ht="15" hidden="false" customHeight="false" outlineLevel="0" collapsed="false">
      <c r="A3174" s="4"/>
      <c r="B3174" s="8"/>
      <c r="C3174" s="8"/>
      <c r="D3174" s="8"/>
      <c r="E3174" s="8"/>
      <c r="F3174" s="8"/>
      <c r="G3174" s="8"/>
      <c r="H3174" s="8"/>
      <c r="I3174" s="8"/>
      <c r="J3174" s="8"/>
      <c r="K3174" s="8"/>
      <c r="L3174" s="8"/>
      <c r="M3174" s="8"/>
      <c r="N3174" s="8"/>
      <c r="O3174" s="8"/>
      <c r="P3174" s="4"/>
      <c r="Q3174" s="8"/>
      <c r="R3174" s="4"/>
      <c r="S3174" s="4"/>
    </row>
    <row r="3175" customFormat="false" ht="15" hidden="false" customHeight="false" outlineLevel="0" collapsed="false">
      <c r="A3175" s="4"/>
      <c r="B3175" s="8"/>
      <c r="C3175" s="8"/>
      <c r="D3175" s="8"/>
      <c r="E3175" s="8"/>
      <c r="F3175" s="8"/>
      <c r="G3175" s="8"/>
      <c r="H3175" s="8"/>
      <c r="I3175" s="8"/>
      <c r="J3175" s="8"/>
      <c r="K3175" s="8"/>
      <c r="L3175" s="8"/>
      <c r="M3175" s="8"/>
      <c r="N3175" s="8"/>
      <c r="O3175" s="8"/>
      <c r="P3175" s="4"/>
      <c r="Q3175" s="8"/>
      <c r="R3175" s="4"/>
      <c r="S3175" s="4"/>
    </row>
    <row r="3176" customFormat="false" ht="15" hidden="false" customHeight="false" outlineLevel="0" collapsed="false">
      <c r="A3176" s="4"/>
      <c r="B3176" s="8"/>
      <c r="C3176" s="8"/>
      <c r="D3176" s="8"/>
      <c r="E3176" s="8"/>
      <c r="F3176" s="8"/>
      <c r="G3176" s="8"/>
      <c r="H3176" s="8"/>
      <c r="I3176" s="8"/>
      <c r="J3176" s="8"/>
      <c r="K3176" s="8"/>
      <c r="L3176" s="8"/>
      <c r="M3176" s="8"/>
      <c r="N3176" s="8"/>
      <c r="O3176" s="8"/>
      <c r="P3176" s="4"/>
      <c r="Q3176" s="8"/>
      <c r="R3176" s="4"/>
      <c r="S3176" s="4"/>
    </row>
    <row r="3177" customFormat="false" ht="15" hidden="false" customHeight="false" outlineLevel="0" collapsed="false">
      <c r="A3177" s="4"/>
      <c r="B3177" s="8"/>
      <c r="C3177" s="8"/>
      <c r="D3177" s="8"/>
      <c r="E3177" s="8"/>
      <c r="F3177" s="8"/>
      <c r="G3177" s="8"/>
      <c r="H3177" s="8"/>
      <c r="I3177" s="8"/>
      <c r="J3177" s="8"/>
      <c r="K3177" s="8"/>
      <c r="L3177" s="8"/>
      <c r="M3177" s="8"/>
      <c r="N3177" s="8"/>
      <c r="O3177" s="8"/>
      <c r="P3177" s="4"/>
      <c r="Q3177" s="8"/>
      <c r="R3177" s="4"/>
      <c r="S3177" s="4"/>
    </row>
    <row r="3178" customFormat="false" ht="15" hidden="false" customHeight="false" outlineLevel="0" collapsed="false">
      <c r="A3178" s="4"/>
      <c r="B3178" s="8"/>
      <c r="C3178" s="8"/>
      <c r="D3178" s="8"/>
      <c r="E3178" s="8"/>
      <c r="F3178" s="8"/>
      <c r="G3178" s="8"/>
      <c r="H3178" s="8"/>
      <c r="I3178" s="8"/>
      <c r="J3178" s="8"/>
      <c r="K3178" s="8"/>
      <c r="L3178" s="8"/>
      <c r="M3178" s="8"/>
      <c r="N3178" s="8"/>
      <c r="O3178" s="8"/>
      <c r="P3178" s="4"/>
      <c r="Q3178" s="8"/>
      <c r="R3178" s="4"/>
      <c r="S3178" s="4"/>
    </row>
    <row r="3179" customFormat="false" ht="15" hidden="false" customHeight="false" outlineLevel="0" collapsed="false">
      <c r="A3179" s="4"/>
      <c r="B3179" s="8"/>
      <c r="C3179" s="8"/>
      <c r="D3179" s="8"/>
      <c r="E3179" s="8"/>
      <c r="F3179" s="8"/>
      <c r="G3179" s="8"/>
      <c r="H3179" s="8"/>
      <c r="I3179" s="8"/>
      <c r="J3179" s="8"/>
      <c r="K3179" s="8"/>
      <c r="L3179" s="8"/>
      <c r="M3179" s="8"/>
      <c r="N3179" s="8"/>
      <c r="O3179" s="8"/>
      <c r="P3179" s="4"/>
      <c r="Q3179" s="8"/>
      <c r="R3179" s="4"/>
      <c r="S3179" s="4"/>
    </row>
    <row r="3180" customFormat="false" ht="15" hidden="false" customHeight="false" outlineLevel="0" collapsed="false">
      <c r="A3180" s="4"/>
      <c r="B3180" s="8"/>
      <c r="C3180" s="8"/>
      <c r="D3180" s="8"/>
      <c r="E3180" s="8"/>
      <c r="F3180" s="8"/>
      <c r="G3180" s="8"/>
      <c r="H3180" s="8"/>
      <c r="I3180" s="8"/>
      <c r="J3180" s="8"/>
      <c r="K3180" s="8"/>
      <c r="L3180" s="8"/>
      <c r="M3180" s="8"/>
      <c r="N3180" s="8"/>
      <c r="O3180" s="8"/>
      <c r="P3180" s="4"/>
      <c r="Q3180" s="8"/>
      <c r="R3180" s="4"/>
      <c r="S3180" s="4"/>
    </row>
    <row r="3181" customFormat="false" ht="15" hidden="false" customHeight="false" outlineLevel="0" collapsed="false">
      <c r="A3181" s="4"/>
      <c r="B3181" s="8"/>
      <c r="C3181" s="8"/>
      <c r="D3181" s="8"/>
      <c r="E3181" s="8"/>
      <c r="F3181" s="8"/>
      <c r="G3181" s="8"/>
      <c r="H3181" s="8"/>
      <c r="I3181" s="8"/>
      <c r="J3181" s="8"/>
      <c r="K3181" s="8"/>
      <c r="L3181" s="8"/>
      <c r="M3181" s="8"/>
      <c r="N3181" s="8"/>
      <c r="O3181" s="8"/>
      <c r="P3181" s="4"/>
      <c r="Q3181" s="8"/>
      <c r="R3181" s="4"/>
      <c r="S3181" s="4"/>
    </row>
    <row r="3182" customFormat="false" ht="15" hidden="false" customHeight="false" outlineLevel="0" collapsed="false">
      <c r="A3182" s="4"/>
      <c r="B3182" s="8"/>
      <c r="C3182" s="8"/>
      <c r="D3182" s="8"/>
      <c r="E3182" s="8"/>
      <c r="F3182" s="8"/>
      <c r="G3182" s="8"/>
      <c r="H3182" s="8"/>
      <c r="I3182" s="8"/>
      <c r="J3182" s="8"/>
      <c r="K3182" s="8"/>
      <c r="L3182" s="8"/>
      <c r="M3182" s="8"/>
      <c r="N3182" s="8"/>
      <c r="O3182" s="8"/>
      <c r="P3182" s="4"/>
      <c r="Q3182" s="8"/>
      <c r="R3182" s="4"/>
      <c r="S3182" s="4"/>
    </row>
    <row r="3183" customFormat="false" ht="15" hidden="false" customHeight="false" outlineLevel="0" collapsed="false">
      <c r="A3183" s="4"/>
      <c r="B3183" s="8"/>
      <c r="C3183" s="8"/>
      <c r="D3183" s="8"/>
      <c r="E3183" s="8"/>
      <c r="F3183" s="8"/>
      <c r="G3183" s="8"/>
      <c r="H3183" s="8"/>
      <c r="I3183" s="8"/>
      <c r="J3183" s="8"/>
      <c r="K3183" s="8"/>
      <c r="L3183" s="8"/>
      <c r="M3183" s="8"/>
      <c r="N3183" s="8"/>
      <c r="O3183" s="8"/>
      <c r="P3183" s="4"/>
      <c r="Q3183" s="8"/>
      <c r="R3183" s="4"/>
      <c r="S3183" s="4"/>
    </row>
    <row r="3184" customFormat="false" ht="15" hidden="false" customHeight="false" outlineLevel="0" collapsed="false">
      <c r="A3184" s="4"/>
      <c r="B3184" s="8"/>
      <c r="C3184" s="8"/>
      <c r="D3184" s="8"/>
      <c r="E3184" s="8"/>
      <c r="F3184" s="8"/>
      <c r="G3184" s="8"/>
      <c r="H3184" s="8"/>
      <c r="I3184" s="8"/>
      <c r="J3184" s="8"/>
      <c r="K3184" s="8"/>
      <c r="L3184" s="8"/>
      <c r="M3184" s="8"/>
      <c r="N3184" s="8"/>
      <c r="O3184" s="8"/>
      <c r="P3184" s="4"/>
      <c r="Q3184" s="8"/>
      <c r="R3184" s="4"/>
      <c r="S3184" s="4"/>
    </row>
    <row r="3185" customFormat="false" ht="15" hidden="false" customHeight="false" outlineLevel="0" collapsed="false">
      <c r="A3185" s="4"/>
      <c r="B3185" s="8"/>
      <c r="C3185" s="8"/>
      <c r="D3185" s="8"/>
      <c r="E3185" s="8"/>
      <c r="F3185" s="8"/>
      <c r="G3185" s="8"/>
      <c r="H3185" s="8"/>
      <c r="I3185" s="8"/>
      <c r="J3185" s="8"/>
      <c r="K3185" s="8"/>
      <c r="L3185" s="8"/>
      <c r="M3185" s="8"/>
      <c r="N3185" s="8"/>
      <c r="O3185" s="8"/>
      <c r="P3185" s="4"/>
      <c r="Q3185" s="8"/>
      <c r="R3185" s="4"/>
      <c r="S3185" s="4"/>
    </row>
    <row r="3186" customFormat="false" ht="15" hidden="false" customHeight="false" outlineLevel="0" collapsed="false">
      <c r="A3186" s="4"/>
      <c r="B3186" s="8"/>
      <c r="C3186" s="8"/>
      <c r="D3186" s="8"/>
      <c r="E3186" s="8"/>
      <c r="F3186" s="8"/>
      <c r="G3186" s="8"/>
      <c r="H3186" s="8"/>
      <c r="I3186" s="8"/>
      <c r="J3186" s="8"/>
      <c r="K3186" s="8"/>
      <c r="L3186" s="8"/>
      <c r="M3186" s="8"/>
      <c r="N3186" s="8"/>
      <c r="O3186" s="8"/>
      <c r="P3186" s="4"/>
      <c r="Q3186" s="8"/>
      <c r="R3186" s="4"/>
      <c r="S3186" s="4"/>
    </row>
    <row r="3187" customFormat="false" ht="15" hidden="false" customHeight="false" outlineLevel="0" collapsed="false">
      <c r="A3187" s="4"/>
      <c r="B3187" s="8"/>
      <c r="C3187" s="8"/>
      <c r="D3187" s="8"/>
      <c r="E3187" s="8"/>
      <c r="F3187" s="8"/>
      <c r="G3187" s="8"/>
      <c r="H3187" s="8"/>
      <c r="I3187" s="8"/>
      <c r="J3187" s="8"/>
      <c r="K3187" s="8"/>
      <c r="L3187" s="8"/>
      <c r="M3187" s="8"/>
      <c r="N3187" s="8"/>
      <c r="O3187" s="8"/>
      <c r="P3187" s="4"/>
      <c r="Q3187" s="8"/>
      <c r="R3187" s="4"/>
      <c r="S3187" s="4"/>
    </row>
    <row r="3188" customFormat="false" ht="15" hidden="false" customHeight="false" outlineLevel="0" collapsed="false">
      <c r="A3188" s="4"/>
      <c r="B3188" s="8"/>
      <c r="C3188" s="8"/>
      <c r="D3188" s="8"/>
      <c r="E3188" s="8"/>
      <c r="F3188" s="8"/>
      <c r="G3188" s="8"/>
      <c r="H3188" s="8"/>
      <c r="I3188" s="8"/>
      <c r="J3188" s="8"/>
      <c r="K3188" s="8"/>
      <c r="L3188" s="8"/>
      <c r="M3188" s="8"/>
      <c r="N3188" s="8"/>
      <c r="O3188" s="8"/>
      <c r="P3188" s="4"/>
      <c r="Q3188" s="8"/>
      <c r="R3188" s="4"/>
      <c r="S3188" s="4"/>
    </row>
    <row r="3189" customFormat="false" ht="15" hidden="false" customHeight="false" outlineLevel="0" collapsed="false">
      <c r="A3189" s="4"/>
      <c r="B3189" s="8"/>
      <c r="C3189" s="8"/>
      <c r="D3189" s="8"/>
      <c r="E3189" s="8"/>
      <c r="F3189" s="8"/>
      <c r="G3189" s="8"/>
      <c r="H3189" s="8"/>
      <c r="I3189" s="8"/>
      <c r="J3189" s="8"/>
      <c r="K3189" s="8"/>
      <c r="L3189" s="8"/>
      <c r="M3189" s="8"/>
      <c r="N3189" s="8"/>
      <c r="O3189" s="8"/>
      <c r="P3189" s="4"/>
      <c r="Q3189" s="8"/>
      <c r="R3189" s="4"/>
      <c r="S3189" s="4"/>
    </row>
    <row r="3190" customFormat="false" ht="15" hidden="false" customHeight="false" outlineLevel="0" collapsed="false">
      <c r="A3190" s="4"/>
      <c r="B3190" s="8"/>
      <c r="C3190" s="8"/>
      <c r="D3190" s="8"/>
      <c r="E3190" s="8"/>
      <c r="F3190" s="8"/>
      <c r="G3190" s="8"/>
      <c r="H3190" s="8"/>
      <c r="I3190" s="8"/>
      <c r="J3190" s="8"/>
      <c r="K3190" s="8"/>
      <c r="L3190" s="8"/>
      <c r="M3190" s="8"/>
      <c r="N3190" s="8"/>
      <c r="O3190" s="8"/>
      <c r="P3190" s="4"/>
      <c r="Q3190" s="8"/>
      <c r="R3190" s="4"/>
      <c r="S3190" s="4"/>
    </row>
    <row r="3191" customFormat="false" ht="15" hidden="false" customHeight="false" outlineLevel="0" collapsed="false">
      <c r="A3191" s="4"/>
      <c r="B3191" s="8"/>
      <c r="C3191" s="8"/>
      <c r="D3191" s="8"/>
      <c r="E3191" s="8"/>
      <c r="F3191" s="8"/>
      <c r="G3191" s="8"/>
      <c r="H3191" s="8"/>
      <c r="I3191" s="8"/>
      <c r="J3191" s="8"/>
      <c r="K3191" s="8"/>
      <c r="L3191" s="8"/>
      <c r="M3191" s="8"/>
      <c r="N3191" s="8"/>
      <c r="O3191" s="8"/>
      <c r="P3191" s="4"/>
      <c r="Q3191" s="8"/>
      <c r="R3191" s="4"/>
      <c r="S3191" s="4"/>
    </row>
    <row r="3192" customFormat="false" ht="15" hidden="false" customHeight="false" outlineLevel="0" collapsed="false">
      <c r="A3192" s="4"/>
      <c r="B3192" s="8"/>
      <c r="C3192" s="8"/>
      <c r="D3192" s="8"/>
      <c r="E3192" s="8"/>
      <c r="F3192" s="8"/>
      <c r="G3192" s="8"/>
      <c r="H3192" s="8"/>
      <c r="I3192" s="8"/>
      <c r="J3192" s="8"/>
      <c r="K3192" s="8"/>
      <c r="L3192" s="8"/>
      <c r="M3192" s="8"/>
      <c r="N3192" s="8"/>
      <c r="O3192" s="8"/>
      <c r="P3192" s="4"/>
      <c r="Q3192" s="8"/>
      <c r="R3192" s="4"/>
      <c r="S3192" s="4"/>
    </row>
    <row r="3193" customFormat="false" ht="15" hidden="false" customHeight="false" outlineLevel="0" collapsed="false">
      <c r="A3193" s="4"/>
      <c r="B3193" s="8"/>
      <c r="C3193" s="8"/>
      <c r="D3193" s="8"/>
      <c r="E3193" s="8"/>
      <c r="F3193" s="8"/>
      <c r="G3193" s="8"/>
      <c r="H3193" s="8"/>
      <c r="I3193" s="8"/>
      <c r="J3193" s="8"/>
      <c r="K3193" s="8"/>
      <c r="L3193" s="8"/>
      <c r="M3193" s="8"/>
      <c r="N3193" s="8"/>
      <c r="O3193" s="8"/>
      <c r="P3193" s="4"/>
      <c r="Q3193" s="8"/>
      <c r="R3193" s="4"/>
      <c r="S3193" s="4"/>
    </row>
    <row r="3194" customFormat="false" ht="15" hidden="false" customHeight="false" outlineLevel="0" collapsed="false">
      <c r="A3194" s="4"/>
      <c r="B3194" s="8"/>
      <c r="C3194" s="8"/>
      <c r="D3194" s="8"/>
      <c r="E3194" s="8"/>
      <c r="F3194" s="8"/>
      <c r="G3194" s="8"/>
      <c r="H3194" s="8"/>
      <c r="I3194" s="8"/>
      <c r="J3194" s="8"/>
      <c r="K3194" s="8"/>
      <c r="L3194" s="8"/>
      <c r="M3194" s="8"/>
      <c r="N3194" s="8"/>
      <c r="O3194" s="8"/>
      <c r="P3194" s="4"/>
      <c r="Q3194" s="8"/>
      <c r="R3194" s="4"/>
      <c r="S3194" s="4"/>
    </row>
    <row r="3195" customFormat="false" ht="15" hidden="false" customHeight="false" outlineLevel="0" collapsed="false">
      <c r="A3195" s="4"/>
      <c r="B3195" s="8"/>
      <c r="C3195" s="8"/>
      <c r="D3195" s="8"/>
      <c r="E3195" s="8"/>
      <c r="F3195" s="8"/>
      <c r="G3195" s="8"/>
      <c r="H3195" s="8"/>
      <c r="I3195" s="8"/>
      <c r="J3195" s="8"/>
      <c r="K3195" s="8"/>
      <c r="L3195" s="8"/>
      <c r="M3195" s="8"/>
      <c r="N3195" s="8"/>
      <c r="O3195" s="8"/>
      <c r="P3195" s="4"/>
      <c r="Q3195" s="8"/>
      <c r="R3195" s="4"/>
      <c r="S3195" s="4"/>
    </row>
    <row r="3196" customFormat="false" ht="15" hidden="false" customHeight="false" outlineLevel="0" collapsed="false">
      <c r="A3196" s="4"/>
      <c r="B3196" s="8"/>
      <c r="C3196" s="8"/>
      <c r="D3196" s="8"/>
      <c r="E3196" s="8"/>
      <c r="F3196" s="8"/>
      <c r="G3196" s="8"/>
      <c r="H3196" s="8"/>
      <c r="I3196" s="8"/>
      <c r="J3196" s="8"/>
      <c r="K3196" s="8"/>
      <c r="L3196" s="8"/>
      <c r="M3196" s="8"/>
      <c r="N3196" s="8"/>
      <c r="O3196" s="8"/>
      <c r="P3196" s="4"/>
      <c r="Q3196" s="8"/>
      <c r="R3196" s="4"/>
      <c r="S3196" s="4"/>
    </row>
    <row r="3197" customFormat="false" ht="15" hidden="false" customHeight="false" outlineLevel="0" collapsed="false">
      <c r="A3197" s="4"/>
      <c r="B3197" s="8"/>
      <c r="C3197" s="8"/>
      <c r="D3197" s="8"/>
      <c r="E3197" s="8"/>
      <c r="F3197" s="8"/>
      <c r="G3197" s="8"/>
      <c r="H3197" s="8"/>
      <c r="I3197" s="8"/>
      <c r="J3197" s="8"/>
      <c r="K3197" s="8"/>
      <c r="L3197" s="8"/>
      <c r="M3197" s="8"/>
      <c r="N3197" s="8"/>
      <c r="O3197" s="8"/>
      <c r="P3197" s="4"/>
      <c r="Q3197" s="8"/>
      <c r="R3197" s="4"/>
      <c r="S3197" s="4"/>
    </row>
    <row r="3198" customFormat="false" ht="15" hidden="false" customHeight="false" outlineLevel="0" collapsed="false">
      <c r="A3198" s="4"/>
      <c r="B3198" s="8"/>
      <c r="C3198" s="8"/>
      <c r="D3198" s="8"/>
      <c r="E3198" s="8"/>
      <c r="F3198" s="8"/>
      <c r="G3198" s="8"/>
      <c r="H3198" s="8"/>
      <c r="I3198" s="8"/>
      <c r="J3198" s="8"/>
      <c r="K3198" s="8"/>
      <c r="L3198" s="8"/>
      <c r="M3198" s="8"/>
      <c r="N3198" s="8"/>
      <c r="O3198" s="8"/>
      <c r="P3198" s="4"/>
      <c r="Q3198" s="8"/>
      <c r="R3198" s="4"/>
      <c r="S3198" s="4"/>
    </row>
    <row r="3199" customFormat="false" ht="15" hidden="false" customHeight="false" outlineLevel="0" collapsed="false">
      <c r="A3199" s="4"/>
      <c r="B3199" s="8"/>
      <c r="C3199" s="8"/>
      <c r="D3199" s="8"/>
      <c r="E3199" s="8"/>
      <c r="F3199" s="8"/>
      <c r="G3199" s="8"/>
      <c r="H3199" s="8"/>
      <c r="I3199" s="8"/>
      <c r="J3199" s="8"/>
      <c r="K3199" s="8"/>
      <c r="L3199" s="8"/>
      <c r="M3199" s="8"/>
      <c r="N3199" s="8"/>
      <c r="O3199" s="8"/>
      <c r="P3199" s="4"/>
      <c r="Q3199" s="8"/>
      <c r="R3199" s="4"/>
      <c r="S3199" s="4"/>
    </row>
    <row r="3200" customFormat="false" ht="15" hidden="false" customHeight="false" outlineLevel="0" collapsed="false">
      <c r="A3200" s="4"/>
      <c r="B3200" s="8"/>
      <c r="C3200" s="8"/>
      <c r="D3200" s="8"/>
      <c r="E3200" s="8"/>
      <c r="F3200" s="8"/>
      <c r="G3200" s="8"/>
      <c r="H3200" s="8"/>
      <c r="I3200" s="8"/>
      <c r="J3200" s="8"/>
      <c r="K3200" s="8"/>
      <c r="L3200" s="8"/>
      <c r="M3200" s="8"/>
      <c r="N3200" s="8"/>
      <c r="O3200" s="8"/>
      <c r="P3200" s="4"/>
      <c r="Q3200" s="8"/>
      <c r="R3200" s="4"/>
      <c r="S3200" s="4"/>
    </row>
    <row r="3201" customFormat="false" ht="15" hidden="false" customHeight="false" outlineLevel="0" collapsed="false">
      <c r="A3201" s="4"/>
      <c r="B3201" s="8"/>
      <c r="C3201" s="8"/>
      <c r="D3201" s="8"/>
      <c r="E3201" s="8"/>
      <c r="F3201" s="8"/>
      <c r="G3201" s="8"/>
      <c r="H3201" s="8"/>
      <c r="I3201" s="8"/>
      <c r="J3201" s="8"/>
      <c r="K3201" s="8"/>
      <c r="L3201" s="8"/>
      <c r="M3201" s="8"/>
      <c r="N3201" s="8"/>
      <c r="O3201" s="8"/>
      <c r="P3201" s="4"/>
      <c r="Q3201" s="8"/>
      <c r="R3201" s="4"/>
      <c r="S3201" s="4"/>
    </row>
    <row r="3202" customFormat="false" ht="15" hidden="false" customHeight="false" outlineLevel="0" collapsed="false">
      <c r="A3202" s="4"/>
      <c r="B3202" s="8"/>
      <c r="C3202" s="8"/>
      <c r="D3202" s="8"/>
      <c r="E3202" s="8"/>
      <c r="F3202" s="8"/>
      <c r="G3202" s="8"/>
      <c r="H3202" s="8"/>
      <c r="I3202" s="8"/>
      <c r="J3202" s="8"/>
      <c r="K3202" s="8"/>
      <c r="L3202" s="8"/>
      <c r="M3202" s="8"/>
      <c r="N3202" s="8"/>
      <c r="O3202" s="8"/>
      <c r="P3202" s="4"/>
      <c r="Q3202" s="8"/>
      <c r="R3202" s="4"/>
      <c r="S3202" s="4"/>
    </row>
    <row r="3203" customFormat="false" ht="15" hidden="false" customHeight="false" outlineLevel="0" collapsed="false">
      <c r="A3203" s="4"/>
      <c r="B3203" s="8"/>
      <c r="C3203" s="8"/>
      <c r="D3203" s="8"/>
      <c r="E3203" s="8"/>
      <c r="F3203" s="8"/>
      <c r="G3203" s="8"/>
      <c r="H3203" s="8"/>
      <c r="I3203" s="8"/>
      <c r="J3203" s="8"/>
      <c r="K3203" s="8"/>
      <c r="L3203" s="8"/>
      <c r="M3203" s="8"/>
      <c r="N3203" s="8"/>
      <c r="O3203" s="8"/>
      <c r="P3203" s="4"/>
      <c r="Q3203" s="8"/>
      <c r="R3203" s="4"/>
      <c r="S3203" s="4"/>
    </row>
    <row r="3204" customFormat="false" ht="15" hidden="false" customHeight="false" outlineLevel="0" collapsed="false">
      <c r="A3204" s="4"/>
      <c r="B3204" s="8"/>
      <c r="C3204" s="8"/>
      <c r="D3204" s="8"/>
      <c r="E3204" s="8"/>
      <c r="F3204" s="8"/>
      <c r="G3204" s="8"/>
      <c r="H3204" s="8"/>
      <c r="I3204" s="8"/>
      <c r="J3204" s="8"/>
      <c r="K3204" s="8"/>
      <c r="L3204" s="8"/>
      <c r="M3204" s="8"/>
      <c r="N3204" s="8"/>
      <c r="O3204" s="8"/>
      <c r="P3204" s="4"/>
      <c r="Q3204" s="8"/>
      <c r="R3204" s="4"/>
      <c r="S3204" s="4"/>
    </row>
    <row r="3205" customFormat="false" ht="15" hidden="false" customHeight="false" outlineLevel="0" collapsed="false">
      <c r="A3205" s="4"/>
      <c r="B3205" s="8"/>
      <c r="C3205" s="8"/>
      <c r="D3205" s="8"/>
      <c r="E3205" s="8"/>
      <c r="F3205" s="8"/>
      <c r="G3205" s="8"/>
      <c r="H3205" s="8"/>
      <c r="I3205" s="8"/>
      <c r="J3205" s="8"/>
      <c r="K3205" s="8"/>
      <c r="L3205" s="8"/>
      <c r="M3205" s="8"/>
      <c r="N3205" s="8"/>
      <c r="O3205" s="8"/>
      <c r="P3205" s="4"/>
      <c r="Q3205" s="8"/>
      <c r="R3205" s="4"/>
      <c r="S3205" s="4"/>
    </row>
    <row r="3206" customFormat="false" ht="15" hidden="false" customHeight="false" outlineLevel="0" collapsed="false">
      <c r="A3206" s="4"/>
      <c r="B3206" s="8"/>
      <c r="C3206" s="8"/>
      <c r="D3206" s="8"/>
      <c r="E3206" s="8"/>
      <c r="F3206" s="8"/>
      <c r="G3206" s="8"/>
      <c r="H3206" s="8"/>
      <c r="I3206" s="8"/>
      <c r="J3206" s="8"/>
      <c r="K3206" s="8"/>
      <c r="L3206" s="8"/>
      <c r="M3206" s="8"/>
      <c r="N3206" s="8"/>
      <c r="O3206" s="8"/>
      <c r="P3206" s="4"/>
      <c r="Q3206" s="8"/>
      <c r="R3206" s="4"/>
      <c r="S3206" s="4"/>
    </row>
    <row r="3207" customFormat="false" ht="15" hidden="false" customHeight="false" outlineLevel="0" collapsed="false">
      <c r="A3207" s="4"/>
      <c r="B3207" s="8"/>
      <c r="C3207" s="8"/>
      <c r="D3207" s="8"/>
      <c r="E3207" s="8"/>
      <c r="F3207" s="8"/>
      <c r="G3207" s="8"/>
      <c r="H3207" s="8"/>
      <c r="I3207" s="8"/>
      <c r="J3207" s="8"/>
      <c r="K3207" s="8"/>
      <c r="L3207" s="8"/>
      <c r="M3207" s="8"/>
      <c r="N3207" s="8"/>
      <c r="O3207" s="8"/>
      <c r="P3207" s="4"/>
      <c r="Q3207" s="8"/>
      <c r="R3207" s="4"/>
      <c r="S3207" s="4"/>
    </row>
    <row r="3208" customFormat="false" ht="15" hidden="false" customHeight="false" outlineLevel="0" collapsed="false">
      <c r="A3208" s="4"/>
      <c r="B3208" s="8"/>
      <c r="C3208" s="8"/>
      <c r="D3208" s="8"/>
      <c r="E3208" s="8"/>
      <c r="F3208" s="8"/>
      <c r="G3208" s="8"/>
      <c r="H3208" s="8"/>
      <c r="I3208" s="8"/>
      <c r="J3208" s="8"/>
      <c r="K3208" s="8"/>
      <c r="L3208" s="8"/>
      <c r="M3208" s="8"/>
      <c r="N3208" s="8"/>
      <c r="O3208" s="8"/>
      <c r="P3208" s="4"/>
      <c r="Q3208" s="8"/>
      <c r="R3208" s="4"/>
      <c r="S3208" s="4"/>
    </row>
    <row r="3209" customFormat="false" ht="15" hidden="false" customHeight="false" outlineLevel="0" collapsed="false">
      <c r="A3209" s="4"/>
      <c r="B3209" s="8"/>
      <c r="C3209" s="8"/>
      <c r="D3209" s="8"/>
      <c r="E3209" s="8"/>
      <c r="F3209" s="8"/>
      <c r="G3209" s="8"/>
      <c r="H3209" s="8"/>
      <c r="I3209" s="8"/>
      <c r="J3209" s="8"/>
      <c r="K3209" s="8"/>
      <c r="L3209" s="8"/>
      <c r="M3209" s="8"/>
      <c r="N3209" s="8"/>
      <c r="O3209" s="8"/>
      <c r="P3209" s="4"/>
      <c r="Q3209" s="8"/>
      <c r="R3209" s="4"/>
      <c r="S3209" s="4"/>
    </row>
    <row r="3210" customFormat="false" ht="15" hidden="false" customHeight="false" outlineLevel="0" collapsed="false">
      <c r="A3210" s="4"/>
      <c r="B3210" s="8"/>
      <c r="C3210" s="8"/>
      <c r="D3210" s="8"/>
      <c r="E3210" s="8"/>
      <c r="F3210" s="8"/>
      <c r="G3210" s="8"/>
      <c r="H3210" s="8"/>
      <c r="I3210" s="8"/>
      <c r="J3210" s="8"/>
      <c r="K3210" s="8"/>
      <c r="L3210" s="8"/>
      <c r="M3210" s="8"/>
      <c r="N3210" s="8"/>
      <c r="O3210" s="8"/>
      <c r="P3210" s="4"/>
      <c r="Q3210" s="8"/>
      <c r="R3210" s="4"/>
      <c r="S3210" s="4"/>
    </row>
    <row r="3211" customFormat="false" ht="15" hidden="false" customHeight="false" outlineLevel="0" collapsed="false">
      <c r="A3211" s="4"/>
      <c r="B3211" s="8"/>
      <c r="C3211" s="8"/>
      <c r="D3211" s="8"/>
      <c r="E3211" s="8"/>
      <c r="F3211" s="8"/>
      <c r="G3211" s="8"/>
      <c r="H3211" s="8"/>
      <c r="I3211" s="8"/>
      <c r="J3211" s="8"/>
      <c r="K3211" s="8"/>
      <c r="L3211" s="8"/>
      <c r="M3211" s="8"/>
      <c r="N3211" s="8"/>
      <c r="O3211" s="8"/>
      <c r="P3211" s="4"/>
      <c r="Q3211" s="8"/>
      <c r="R3211" s="4"/>
      <c r="S3211" s="4"/>
    </row>
    <row r="3212" customFormat="false" ht="15" hidden="false" customHeight="false" outlineLevel="0" collapsed="false">
      <c r="A3212" s="4"/>
      <c r="B3212" s="8"/>
      <c r="C3212" s="8"/>
      <c r="D3212" s="8"/>
      <c r="E3212" s="8"/>
      <c r="F3212" s="8"/>
      <c r="G3212" s="8"/>
      <c r="H3212" s="8"/>
      <c r="I3212" s="8"/>
      <c r="J3212" s="8"/>
      <c r="K3212" s="8"/>
      <c r="L3212" s="8"/>
      <c r="M3212" s="8"/>
      <c r="N3212" s="8"/>
      <c r="O3212" s="8"/>
      <c r="P3212" s="4"/>
      <c r="Q3212" s="8"/>
      <c r="R3212" s="4"/>
      <c r="S3212" s="4"/>
    </row>
    <row r="3213" customFormat="false" ht="15" hidden="false" customHeight="false" outlineLevel="0" collapsed="false">
      <c r="A3213" s="4"/>
      <c r="B3213" s="8"/>
      <c r="C3213" s="8"/>
      <c r="D3213" s="8"/>
      <c r="E3213" s="8"/>
      <c r="F3213" s="8"/>
      <c r="G3213" s="8"/>
      <c r="H3213" s="8"/>
      <c r="I3213" s="8"/>
      <c r="J3213" s="8"/>
      <c r="K3213" s="8"/>
      <c r="L3213" s="8"/>
      <c r="M3213" s="8"/>
      <c r="N3213" s="8"/>
      <c r="O3213" s="8"/>
      <c r="P3213" s="4"/>
      <c r="Q3213" s="8"/>
      <c r="R3213" s="4"/>
      <c r="S3213" s="4"/>
    </row>
    <row r="3214" customFormat="false" ht="15" hidden="false" customHeight="false" outlineLevel="0" collapsed="false">
      <c r="A3214" s="4"/>
      <c r="B3214" s="8"/>
      <c r="C3214" s="8"/>
      <c r="D3214" s="8"/>
      <c r="E3214" s="8"/>
      <c r="F3214" s="8"/>
      <c r="G3214" s="8"/>
      <c r="H3214" s="8"/>
      <c r="I3214" s="8"/>
      <c r="J3214" s="8"/>
      <c r="K3214" s="8"/>
      <c r="L3214" s="8"/>
      <c r="M3214" s="8"/>
      <c r="N3214" s="8"/>
      <c r="O3214" s="8"/>
      <c r="P3214" s="4"/>
      <c r="Q3214" s="8"/>
      <c r="R3214" s="4"/>
      <c r="S3214" s="4"/>
    </row>
    <row r="3215" customFormat="false" ht="15" hidden="false" customHeight="false" outlineLevel="0" collapsed="false">
      <c r="A3215" s="4"/>
      <c r="B3215" s="8"/>
      <c r="C3215" s="8"/>
      <c r="D3215" s="8"/>
      <c r="E3215" s="8"/>
      <c r="F3215" s="8"/>
      <c r="G3215" s="8"/>
      <c r="H3215" s="8"/>
      <c r="I3215" s="8"/>
      <c r="J3215" s="8"/>
      <c r="K3215" s="8"/>
      <c r="L3215" s="8"/>
      <c r="M3215" s="8"/>
      <c r="N3215" s="8"/>
      <c r="O3215" s="8"/>
      <c r="P3215" s="4"/>
      <c r="Q3215" s="8"/>
      <c r="R3215" s="4"/>
      <c r="S3215" s="4"/>
    </row>
    <row r="3216" customFormat="false" ht="15" hidden="false" customHeight="false" outlineLevel="0" collapsed="false">
      <c r="A3216" s="4"/>
      <c r="B3216" s="8"/>
      <c r="C3216" s="8"/>
      <c r="D3216" s="8"/>
      <c r="E3216" s="8"/>
      <c r="F3216" s="8"/>
      <c r="G3216" s="8"/>
      <c r="H3216" s="8"/>
      <c r="I3216" s="8"/>
      <c r="J3216" s="8"/>
      <c r="K3216" s="8"/>
      <c r="L3216" s="8"/>
      <c r="M3216" s="8"/>
      <c r="N3216" s="8"/>
      <c r="O3216" s="8"/>
      <c r="P3216" s="4"/>
      <c r="Q3216" s="8"/>
      <c r="R3216" s="4"/>
      <c r="S3216" s="4"/>
    </row>
    <row r="3217" customFormat="false" ht="15" hidden="false" customHeight="false" outlineLevel="0" collapsed="false">
      <c r="A3217" s="4"/>
      <c r="B3217" s="8"/>
      <c r="C3217" s="8"/>
      <c r="D3217" s="8"/>
      <c r="E3217" s="8"/>
      <c r="F3217" s="8"/>
      <c r="G3217" s="8"/>
      <c r="H3217" s="8"/>
      <c r="I3217" s="8"/>
      <c r="J3217" s="8"/>
      <c r="K3217" s="8"/>
      <c r="L3217" s="8"/>
      <c r="M3217" s="8"/>
      <c r="N3217" s="8"/>
      <c r="O3217" s="8"/>
      <c r="P3217" s="4"/>
      <c r="Q3217" s="8"/>
      <c r="R3217" s="4"/>
      <c r="S3217" s="4"/>
    </row>
    <row r="3218" customFormat="false" ht="15" hidden="false" customHeight="false" outlineLevel="0" collapsed="false">
      <c r="A3218" s="4"/>
      <c r="B3218" s="8"/>
      <c r="C3218" s="8"/>
      <c r="D3218" s="8"/>
      <c r="E3218" s="8"/>
      <c r="F3218" s="8"/>
      <c r="G3218" s="8"/>
      <c r="H3218" s="8"/>
      <c r="I3218" s="8"/>
      <c r="J3218" s="8"/>
      <c r="K3218" s="8"/>
      <c r="L3218" s="8"/>
      <c r="M3218" s="8"/>
      <c r="N3218" s="8"/>
      <c r="O3218" s="8"/>
      <c r="P3218" s="4"/>
      <c r="Q3218" s="8"/>
      <c r="R3218" s="4"/>
      <c r="S3218" s="4"/>
    </row>
    <row r="3219" customFormat="false" ht="15" hidden="false" customHeight="false" outlineLevel="0" collapsed="false">
      <c r="A3219" s="4"/>
      <c r="B3219" s="8"/>
      <c r="C3219" s="8"/>
      <c r="D3219" s="8"/>
      <c r="E3219" s="8"/>
      <c r="F3219" s="8"/>
      <c r="G3219" s="8"/>
      <c r="H3219" s="8"/>
      <c r="I3219" s="8"/>
      <c r="J3219" s="8"/>
      <c r="K3219" s="8"/>
      <c r="L3219" s="8"/>
      <c r="M3219" s="8"/>
      <c r="N3219" s="8"/>
      <c r="O3219" s="8"/>
      <c r="P3219" s="4"/>
      <c r="Q3219" s="8"/>
      <c r="R3219" s="4"/>
      <c r="S3219" s="4"/>
    </row>
    <row r="3220" customFormat="false" ht="15" hidden="false" customHeight="false" outlineLevel="0" collapsed="false">
      <c r="A3220" s="4"/>
      <c r="B3220" s="8"/>
      <c r="C3220" s="8"/>
      <c r="D3220" s="8"/>
      <c r="E3220" s="8"/>
      <c r="F3220" s="8"/>
      <c r="G3220" s="8"/>
      <c r="H3220" s="8"/>
      <c r="I3220" s="8"/>
      <c r="J3220" s="8"/>
      <c r="K3220" s="8"/>
      <c r="L3220" s="8"/>
      <c r="M3220" s="8"/>
      <c r="N3220" s="8"/>
      <c r="O3220" s="8"/>
      <c r="P3220" s="4"/>
      <c r="Q3220" s="8"/>
      <c r="R3220" s="4"/>
      <c r="S3220" s="4"/>
    </row>
    <row r="3221" customFormat="false" ht="15" hidden="false" customHeight="false" outlineLevel="0" collapsed="false">
      <c r="A3221" s="4"/>
      <c r="B3221" s="8"/>
      <c r="C3221" s="8"/>
      <c r="D3221" s="8"/>
      <c r="E3221" s="8"/>
      <c r="F3221" s="8"/>
      <c r="G3221" s="8"/>
      <c r="H3221" s="8"/>
      <c r="I3221" s="8"/>
      <c r="J3221" s="8"/>
      <c r="K3221" s="8"/>
      <c r="L3221" s="8"/>
      <c r="M3221" s="8"/>
      <c r="N3221" s="8"/>
      <c r="O3221" s="8"/>
      <c r="P3221" s="4"/>
      <c r="Q3221" s="8"/>
      <c r="R3221" s="4"/>
      <c r="S3221" s="4"/>
    </row>
    <row r="3222" customFormat="false" ht="15" hidden="false" customHeight="false" outlineLevel="0" collapsed="false">
      <c r="A3222" s="4"/>
      <c r="B3222" s="8"/>
      <c r="C3222" s="8"/>
      <c r="D3222" s="8"/>
      <c r="E3222" s="8"/>
      <c r="F3222" s="8"/>
      <c r="G3222" s="8"/>
      <c r="H3222" s="8"/>
      <c r="I3222" s="8"/>
      <c r="J3222" s="8"/>
      <c r="K3222" s="8"/>
      <c r="L3222" s="8"/>
      <c r="M3222" s="8"/>
      <c r="N3222" s="8"/>
      <c r="O3222" s="8"/>
      <c r="P3222" s="4"/>
      <c r="Q3222" s="8"/>
      <c r="R3222" s="4"/>
      <c r="S3222" s="4"/>
    </row>
    <row r="3223" customFormat="false" ht="15" hidden="false" customHeight="false" outlineLevel="0" collapsed="false">
      <c r="A3223" s="4"/>
      <c r="B3223" s="8"/>
      <c r="C3223" s="8"/>
      <c r="D3223" s="8"/>
      <c r="E3223" s="8"/>
      <c r="F3223" s="8"/>
      <c r="G3223" s="8"/>
      <c r="H3223" s="8"/>
      <c r="I3223" s="8"/>
      <c r="J3223" s="8"/>
      <c r="K3223" s="8"/>
      <c r="L3223" s="8"/>
      <c r="M3223" s="8"/>
      <c r="N3223" s="8"/>
      <c r="O3223" s="8"/>
      <c r="P3223" s="4"/>
      <c r="Q3223" s="8"/>
      <c r="R3223" s="4"/>
      <c r="S3223" s="4"/>
    </row>
    <row r="3224" customFormat="false" ht="15" hidden="false" customHeight="false" outlineLevel="0" collapsed="false">
      <c r="A3224" s="4"/>
      <c r="B3224" s="8"/>
      <c r="C3224" s="8"/>
      <c r="D3224" s="8"/>
      <c r="E3224" s="8"/>
      <c r="F3224" s="8"/>
      <c r="G3224" s="8"/>
      <c r="H3224" s="8"/>
      <c r="I3224" s="8"/>
      <c r="J3224" s="8"/>
      <c r="K3224" s="8"/>
      <c r="L3224" s="8"/>
      <c r="M3224" s="8"/>
      <c r="N3224" s="8"/>
      <c r="O3224" s="8"/>
      <c r="P3224" s="4"/>
      <c r="Q3224" s="8"/>
      <c r="R3224" s="4"/>
      <c r="S3224" s="4"/>
    </row>
    <row r="3225" customFormat="false" ht="15" hidden="false" customHeight="false" outlineLevel="0" collapsed="false">
      <c r="A3225" s="4"/>
      <c r="B3225" s="8"/>
      <c r="C3225" s="8"/>
      <c r="D3225" s="8"/>
      <c r="E3225" s="8"/>
      <c r="F3225" s="8"/>
      <c r="G3225" s="8"/>
      <c r="H3225" s="8"/>
      <c r="I3225" s="8"/>
      <c r="J3225" s="8"/>
      <c r="K3225" s="8"/>
      <c r="L3225" s="8"/>
      <c r="M3225" s="8"/>
      <c r="N3225" s="8"/>
      <c r="O3225" s="8"/>
      <c r="P3225" s="4"/>
      <c r="Q3225" s="8"/>
      <c r="R3225" s="4"/>
      <c r="S3225" s="4"/>
    </row>
    <row r="3226" customFormat="false" ht="15" hidden="false" customHeight="false" outlineLevel="0" collapsed="false">
      <c r="A3226" s="4"/>
      <c r="B3226" s="8"/>
      <c r="C3226" s="8"/>
      <c r="D3226" s="8"/>
      <c r="E3226" s="8"/>
      <c r="F3226" s="8"/>
      <c r="G3226" s="8"/>
      <c r="H3226" s="8"/>
      <c r="I3226" s="8"/>
      <c r="J3226" s="8"/>
      <c r="K3226" s="8"/>
      <c r="L3226" s="8"/>
      <c r="M3226" s="8"/>
      <c r="N3226" s="8"/>
      <c r="O3226" s="8"/>
      <c r="P3226" s="4"/>
      <c r="Q3226" s="8"/>
      <c r="R3226" s="4"/>
      <c r="S3226" s="4"/>
    </row>
    <row r="3227" customFormat="false" ht="15" hidden="false" customHeight="false" outlineLevel="0" collapsed="false">
      <c r="A3227" s="4"/>
      <c r="B3227" s="8"/>
      <c r="C3227" s="8"/>
      <c r="D3227" s="8"/>
      <c r="E3227" s="8"/>
      <c r="F3227" s="8"/>
      <c r="G3227" s="8"/>
      <c r="H3227" s="8"/>
      <c r="I3227" s="8"/>
      <c r="J3227" s="8"/>
      <c r="K3227" s="8"/>
      <c r="L3227" s="8"/>
      <c r="M3227" s="8"/>
      <c r="N3227" s="8"/>
      <c r="O3227" s="8"/>
      <c r="P3227" s="4"/>
      <c r="Q3227" s="8"/>
      <c r="R3227" s="4"/>
      <c r="S3227" s="4"/>
    </row>
    <row r="3228" customFormat="false" ht="15" hidden="false" customHeight="false" outlineLevel="0" collapsed="false">
      <c r="A3228" s="4"/>
      <c r="B3228" s="8"/>
      <c r="C3228" s="8"/>
      <c r="D3228" s="8"/>
      <c r="E3228" s="8"/>
      <c r="F3228" s="8"/>
      <c r="G3228" s="8"/>
      <c r="H3228" s="8"/>
      <c r="I3228" s="8"/>
      <c r="J3228" s="8"/>
      <c r="K3228" s="8"/>
      <c r="L3228" s="8"/>
      <c r="M3228" s="8"/>
      <c r="N3228" s="8"/>
      <c r="O3228" s="8"/>
      <c r="P3228" s="4"/>
      <c r="Q3228" s="8"/>
      <c r="R3228" s="4"/>
      <c r="S3228" s="4"/>
    </row>
    <row r="3229" customFormat="false" ht="15" hidden="false" customHeight="false" outlineLevel="0" collapsed="false">
      <c r="A3229" s="4"/>
      <c r="B3229" s="8"/>
      <c r="C3229" s="8"/>
      <c r="D3229" s="8"/>
      <c r="E3229" s="8"/>
      <c r="F3229" s="8"/>
      <c r="G3229" s="8"/>
      <c r="H3229" s="8"/>
      <c r="I3229" s="8"/>
      <c r="J3229" s="8"/>
      <c r="K3229" s="8"/>
      <c r="L3229" s="8"/>
      <c r="M3229" s="8"/>
      <c r="N3229" s="8"/>
      <c r="O3229" s="8"/>
      <c r="P3229" s="4"/>
      <c r="Q3229" s="8"/>
      <c r="R3229" s="4"/>
      <c r="S3229" s="4"/>
    </row>
    <row r="3230" customFormat="false" ht="15" hidden="false" customHeight="false" outlineLevel="0" collapsed="false">
      <c r="A3230" s="4"/>
      <c r="B3230" s="8"/>
      <c r="C3230" s="8"/>
      <c r="D3230" s="8"/>
      <c r="E3230" s="8"/>
      <c r="F3230" s="8"/>
      <c r="G3230" s="8"/>
      <c r="H3230" s="8"/>
      <c r="I3230" s="8"/>
      <c r="J3230" s="8"/>
      <c r="K3230" s="8"/>
      <c r="L3230" s="8"/>
      <c r="M3230" s="8"/>
      <c r="N3230" s="8"/>
      <c r="O3230" s="8"/>
      <c r="P3230" s="4"/>
      <c r="Q3230" s="8"/>
      <c r="R3230" s="4"/>
      <c r="S3230" s="4"/>
    </row>
    <row r="3231" customFormat="false" ht="15" hidden="false" customHeight="false" outlineLevel="0" collapsed="false">
      <c r="A3231" s="4"/>
      <c r="B3231" s="8"/>
      <c r="C3231" s="8"/>
      <c r="D3231" s="8"/>
      <c r="E3231" s="8"/>
      <c r="F3231" s="8"/>
      <c r="G3231" s="8"/>
      <c r="H3231" s="8"/>
      <c r="I3231" s="8"/>
      <c r="J3231" s="8"/>
      <c r="K3231" s="8"/>
      <c r="L3231" s="8"/>
      <c r="M3231" s="8"/>
      <c r="N3231" s="8"/>
      <c r="O3231" s="8"/>
      <c r="P3231" s="4"/>
      <c r="Q3231" s="8"/>
      <c r="R3231" s="4"/>
      <c r="S3231" s="4"/>
    </row>
    <row r="3232" customFormat="false" ht="15" hidden="false" customHeight="false" outlineLevel="0" collapsed="false">
      <c r="A3232" s="4"/>
      <c r="B3232" s="8"/>
      <c r="C3232" s="8"/>
      <c r="D3232" s="8"/>
      <c r="E3232" s="8"/>
      <c r="F3232" s="8"/>
      <c r="G3232" s="8"/>
      <c r="H3232" s="8"/>
      <c r="I3232" s="8"/>
      <c r="J3232" s="8"/>
      <c r="K3232" s="8"/>
      <c r="L3232" s="8"/>
      <c r="M3232" s="8"/>
      <c r="N3232" s="8"/>
      <c r="O3232" s="8"/>
      <c r="P3232" s="4"/>
      <c r="Q3232" s="8"/>
      <c r="R3232" s="4"/>
      <c r="S3232" s="4"/>
    </row>
    <row r="3233" customFormat="false" ht="15" hidden="false" customHeight="false" outlineLevel="0" collapsed="false">
      <c r="A3233" s="4"/>
      <c r="B3233" s="8"/>
      <c r="C3233" s="8"/>
      <c r="D3233" s="8"/>
      <c r="E3233" s="8"/>
      <c r="F3233" s="8"/>
      <c r="G3233" s="8"/>
      <c r="H3233" s="8"/>
      <c r="I3233" s="8"/>
      <c r="J3233" s="8"/>
      <c r="K3233" s="8"/>
      <c r="L3233" s="8"/>
      <c r="M3233" s="8"/>
      <c r="N3233" s="8"/>
      <c r="O3233" s="8"/>
      <c r="P3233" s="4"/>
      <c r="Q3233" s="8"/>
      <c r="R3233" s="4"/>
      <c r="S3233" s="4"/>
    </row>
    <row r="3234" customFormat="false" ht="15" hidden="false" customHeight="false" outlineLevel="0" collapsed="false">
      <c r="A3234" s="4"/>
      <c r="B3234" s="8"/>
      <c r="C3234" s="8"/>
      <c r="D3234" s="8"/>
      <c r="E3234" s="8"/>
      <c r="F3234" s="8"/>
      <c r="G3234" s="8"/>
      <c r="H3234" s="8"/>
      <c r="I3234" s="8"/>
      <c r="J3234" s="8"/>
      <c r="K3234" s="8"/>
      <c r="L3234" s="8"/>
      <c r="M3234" s="8"/>
      <c r="N3234" s="8"/>
      <c r="O3234" s="8"/>
      <c r="P3234" s="4"/>
      <c r="Q3234" s="8"/>
      <c r="R3234" s="4"/>
      <c r="S3234" s="4"/>
    </row>
    <row r="3235" customFormat="false" ht="15" hidden="false" customHeight="false" outlineLevel="0" collapsed="false">
      <c r="A3235" s="4"/>
      <c r="B3235" s="8"/>
      <c r="C3235" s="8"/>
      <c r="D3235" s="8"/>
      <c r="E3235" s="8"/>
      <c r="F3235" s="8"/>
      <c r="G3235" s="8"/>
      <c r="H3235" s="8"/>
      <c r="I3235" s="8"/>
      <c r="J3235" s="8"/>
      <c r="K3235" s="8"/>
      <c r="L3235" s="8"/>
      <c r="M3235" s="8"/>
      <c r="N3235" s="8"/>
      <c r="O3235" s="8"/>
      <c r="P3235" s="4"/>
      <c r="Q3235" s="8"/>
      <c r="R3235" s="4"/>
      <c r="S3235" s="4"/>
    </row>
    <row r="3236" customFormat="false" ht="15" hidden="false" customHeight="false" outlineLevel="0" collapsed="false">
      <c r="A3236" s="4"/>
      <c r="B3236" s="8"/>
      <c r="C3236" s="8"/>
      <c r="D3236" s="8"/>
      <c r="E3236" s="8"/>
      <c r="F3236" s="8"/>
      <c r="G3236" s="8"/>
      <c r="H3236" s="8"/>
      <c r="I3236" s="8"/>
      <c r="J3236" s="8"/>
      <c r="K3236" s="8"/>
      <c r="L3236" s="8"/>
      <c r="M3236" s="8"/>
      <c r="N3236" s="8"/>
      <c r="O3236" s="8"/>
      <c r="P3236" s="4"/>
      <c r="Q3236" s="8"/>
      <c r="R3236" s="4"/>
      <c r="S3236" s="4"/>
    </row>
    <row r="3237" customFormat="false" ht="15" hidden="false" customHeight="false" outlineLevel="0" collapsed="false">
      <c r="A3237" s="4"/>
      <c r="B3237" s="8"/>
      <c r="C3237" s="8"/>
      <c r="D3237" s="8"/>
      <c r="E3237" s="8"/>
      <c r="F3237" s="8"/>
      <c r="G3237" s="8"/>
      <c r="H3237" s="8"/>
      <c r="I3237" s="8"/>
      <c r="J3237" s="8"/>
      <c r="K3237" s="8"/>
      <c r="L3237" s="8"/>
      <c r="M3237" s="8"/>
      <c r="N3237" s="8"/>
      <c r="O3237" s="8"/>
      <c r="P3237" s="4"/>
      <c r="Q3237" s="8"/>
      <c r="R3237" s="4"/>
      <c r="S3237" s="4"/>
    </row>
    <row r="3238" customFormat="false" ht="15" hidden="false" customHeight="false" outlineLevel="0" collapsed="false">
      <c r="A3238" s="4"/>
      <c r="B3238" s="8"/>
      <c r="C3238" s="8"/>
      <c r="D3238" s="8"/>
      <c r="E3238" s="8"/>
      <c r="F3238" s="8"/>
      <c r="G3238" s="8"/>
      <c r="H3238" s="8"/>
      <c r="I3238" s="8"/>
      <c r="J3238" s="8"/>
      <c r="K3238" s="8"/>
      <c r="L3238" s="8"/>
      <c r="M3238" s="8"/>
      <c r="N3238" s="8"/>
      <c r="O3238" s="8"/>
      <c r="P3238" s="4"/>
      <c r="Q3238" s="8"/>
      <c r="R3238" s="4"/>
      <c r="S3238" s="4"/>
    </row>
    <row r="3239" customFormat="false" ht="15" hidden="false" customHeight="false" outlineLevel="0" collapsed="false">
      <c r="A3239" s="4"/>
      <c r="B3239" s="8"/>
      <c r="C3239" s="8"/>
      <c r="D3239" s="8"/>
      <c r="E3239" s="8"/>
      <c r="F3239" s="8"/>
      <c r="G3239" s="8"/>
      <c r="H3239" s="8"/>
      <c r="I3239" s="8"/>
      <c r="J3239" s="8"/>
      <c r="K3239" s="8"/>
      <c r="L3239" s="8"/>
      <c r="M3239" s="8"/>
      <c r="N3239" s="8"/>
      <c r="O3239" s="8"/>
      <c r="P3239" s="4"/>
      <c r="Q3239" s="8"/>
      <c r="R3239" s="4"/>
      <c r="S3239" s="4"/>
    </row>
    <row r="3240" customFormat="false" ht="15" hidden="false" customHeight="false" outlineLevel="0" collapsed="false">
      <c r="A3240" s="4"/>
      <c r="B3240" s="8"/>
      <c r="C3240" s="8"/>
      <c r="D3240" s="8"/>
      <c r="E3240" s="8"/>
      <c r="F3240" s="8"/>
      <c r="G3240" s="8"/>
      <c r="H3240" s="8"/>
      <c r="I3240" s="8"/>
      <c r="J3240" s="8"/>
      <c r="K3240" s="8"/>
      <c r="L3240" s="8"/>
      <c r="M3240" s="8"/>
      <c r="N3240" s="8"/>
      <c r="O3240" s="8"/>
      <c r="P3240" s="4"/>
      <c r="Q3240" s="8"/>
      <c r="R3240" s="4"/>
      <c r="S3240" s="4"/>
    </row>
    <row r="3241" customFormat="false" ht="15" hidden="false" customHeight="false" outlineLevel="0" collapsed="false">
      <c r="A3241" s="4"/>
      <c r="B3241" s="8"/>
      <c r="C3241" s="8"/>
      <c r="D3241" s="8"/>
      <c r="E3241" s="8"/>
      <c r="F3241" s="8"/>
      <c r="G3241" s="8"/>
      <c r="H3241" s="8"/>
      <c r="I3241" s="8"/>
      <c r="J3241" s="8"/>
      <c r="K3241" s="8"/>
      <c r="L3241" s="8"/>
      <c r="M3241" s="8"/>
      <c r="N3241" s="8"/>
      <c r="O3241" s="8"/>
      <c r="P3241" s="4"/>
      <c r="Q3241" s="8"/>
      <c r="R3241" s="4"/>
      <c r="S3241" s="4"/>
    </row>
    <row r="3242" customFormat="false" ht="15" hidden="false" customHeight="false" outlineLevel="0" collapsed="false">
      <c r="A3242" s="4"/>
      <c r="B3242" s="8"/>
      <c r="C3242" s="8"/>
      <c r="D3242" s="8"/>
      <c r="E3242" s="8"/>
      <c r="F3242" s="8"/>
      <c r="G3242" s="8"/>
      <c r="H3242" s="8"/>
      <c r="I3242" s="8"/>
      <c r="J3242" s="8"/>
      <c r="K3242" s="8"/>
      <c r="L3242" s="8"/>
      <c r="M3242" s="8"/>
      <c r="N3242" s="8"/>
      <c r="O3242" s="8"/>
      <c r="P3242" s="4"/>
      <c r="Q3242" s="8"/>
      <c r="R3242" s="4"/>
      <c r="S3242" s="4"/>
    </row>
    <row r="3243" customFormat="false" ht="15" hidden="false" customHeight="false" outlineLevel="0" collapsed="false">
      <c r="A3243" s="4"/>
      <c r="B3243" s="8"/>
      <c r="C3243" s="8"/>
      <c r="D3243" s="8"/>
      <c r="E3243" s="8"/>
      <c r="F3243" s="8"/>
      <c r="G3243" s="8"/>
      <c r="H3243" s="8"/>
      <c r="I3243" s="8"/>
      <c r="J3243" s="8"/>
      <c r="K3243" s="8"/>
      <c r="L3243" s="8"/>
      <c r="M3243" s="8"/>
      <c r="N3243" s="8"/>
      <c r="O3243" s="8"/>
      <c r="P3243" s="4"/>
      <c r="Q3243" s="8"/>
      <c r="R3243" s="4"/>
      <c r="S3243" s="4"/>
    </row>
    <row r="3244" customFormat="false" ht="15" hidden="false" customHeight="false" outlineLevel="0" collapsed="false">
      <c r="A3244" s="4"/>
      <c r="B3244" s="8"/>
      <c r="C3244" s="8"/>
      <c r="D3244" s="8"/>
      <c r="E3244" s="8"/>
      <c r="F3244" s="8"/>
      <c r="G3244" s="8"/>
      <c r="H3244" s="8"/>
      <c r="I3244" s="8"/>
      <c r="J3244" s="8"/>
      <c r="K3244" s="8"/>
      <c r="L3244" s="8"/>
      <c r="M3244" s="8"/>
      <c r="N3244" s="8"/>
      <c r="O3244" s="8"/>
      <c r="P3244" s="4"/>
      <c r="Q3244" s="8"/>
      <c r="R3244" s="4"/>
      <c r="S3244" s="4"/>
    </row>
    <row r="3245" customFormat="false" ht="15" hidden="false" customHeight="false" outlineLevel="0" collapsed="false">
      <c r="A3245" s="4"/>
      <c r="B3245" s="8"/>
      <c r="C3245" s="8"/>
      <c r="D3245" s="8"/>
      <c r="E3245" s="8"/>
      <c r="F3245" s="8"/>
      <c r="G3245" s="8"/>
      <c r="H3245" s="8"/>
      <c r="I3245" s="8"/>
      <c r="J3245" s="8"/>
      <c r="K3245" s="8"/>
      <c r="L3245" s="8"/>
      <c r="M3245" s="8"/>
      <c r="N3245" s="8"/>
      <c r="O3245" s="8"/>
      <c r="P3245" s="4"/>
      <c r="Q3245" s="8"/>
      <c r="R3245" s="4"/>
      <c r="S3245" s="4"/>
    </row>
    <row r="3246" customFormat="false" ht="15" hidden="false" customHeight="false" outlineLevel="0" collapsed="false">
      <c r="A3246" s="4"/>
      <c r="B3246" s="8"/>
      <c r="C3246" s="8"/>
      <c r="D3246" s="8"/>
      <c r="E3246" s="8"/>
      <c r="F3246" s="8"/>
      <c r="G3246" s="8"/>
      <c r="H3246" s="8"/>
      <c r="I3246" s="8"/>
      <c r="J3246" s="8"/>
      <c r="K3246" s="8"/>
      <c r="L3246" s="8"/>
      <c r="M3246" s="8"/>
      <c r="N3246" s="8"/>
      <c r="O3246" s="8"/>
      <c r="P3246" s="4"/>
      <c r="Q3246" s="8"/>
      <c r="R3246" s="4"/>
      <c r="S3246" s="4"/>
    </row>
    <row r="3247" customFormat="false" ht="15" hidden="false" customHeight="false" outlineLevel="0" collapsed="false">
      <c r="A3247" s="4"/>
      <c r="B3247" s="8"/>
      <c r="C3247" s="8"/>
      <c r="D3247" s="8"/>
      <c r="E3247" s="8"/>
      <c r="F3247" s="8"/>
      <c r="G3247" s="8"/>
      <c r="H3247" s="8"/>
      <c r="I3247" s="8"/>
      <c r="J3247" s="8"/>
      <c r="K3247" s="8"/>
      <c r="L3247" s="8"/>
      <c r="M3247" s="8"/>
      <c r="N3247" s="8"/>
      <c r="O3247" s="8"/>
      <c r="P3247" s="4"/>
      <c r="Q3247" s="8"/>
      <c r="R3247" s="4"/>
      <c r="S3247" s="4"/>
    </row>
    <row r="3248" customFormat="false" ht="15" hidden="false" customHeight="false" outlineLevel="0" collapsed="false">
      <c r="A3248" s="4"/>
      <c r="B3248" s="8"/>
      <c r="C3248" s="8"/>
      <c r="D3248" s="8"/>
      <c r="E3248" s="8"/>
      <c r="F3248" s="8"/>
      <c r="G3248" s="8"/>
      <c r="H3248" s="8"/>
      <c r="I3248" s="8"/>
      <c r="J3248" s="8"/>
      <c r="K3248" s="8"/>
      <c r="L3248" s="8"/>
      <c r="M3248" s="8"/>
      <c r="N3248" s="8"/>
      <c r="O3248" s="8"/>
      <c r="P3248" s="4"/>
      <c r="Q3248" s="8"/>
      <c r="R3248" s="4"/>
      <c r="S3248" s="4"/>
    </row>
  </sheetData>
  <autoFilter ref="A1:S4000"/>
  <dataValidations count="7">
    <dataValidation allowBlank="true" error="Choose a value from the Gender list (Lists sheet), or leave blank." errorStyle="stop" errorTitle="Not on the list" operator="between" showDropDown="false" showErrorMessage="true" showInputMessage="false" sqref="C2:C3248" type="list">
      <formula1>Lists!$A$2:$A$3</formula1>
      <formula2>0</formula2>
    </dataValidation>
    <dataValidation allowBlank="true" error="Choose a value from the Number list (Lists sheet), or leave blank." errorStyle="stop" errorTitle="Not on the list" operator="between" showDropDown="false" showErrorMessage="true" showInputMessage="false" sqref="D2:D3248" type="list">
      <formula1>Lists!$B$2:$B$3</formula1>
      <formula2>0</formula2>
    </dataValidation>
    <dataValidation allowBlank="true" error="Choose a value from the Type list (Lists sheet), or leave blank." errorStyle="stop" errorTitle="Not on the list" operator="between" showDropDown="false" showErrorMessage="true" showInputMessage="false" sqref="E2:E3248" type="list">
      <formula1>Lists!$C$2:$C$13</formula1>
      <formula2>0</formula2>
    </dataValidation>
    <dataValidation allowBlank="true" error="Choose a value from the Context list (Lists sheet), or leave blank." errorStyle="stop" errorTitle="Not on the list" operator="between" showDropDown="false" showErrorMessage="true" showInputMessage="false" sqref="J2:J3248" type="list">
      <formula1>Lists!$G$2:$G$5</formula1>
      <formula2>0</formula2>
    </dataValidation>
    <dataValidation allowBlank="true" error="Choose a value from the Tier list (Lists sheet), or leave blank." errorStyle="stop" errorTitle="Not on the list" operator="between" showDropDown="false" showErrorMessage="true" showInputMessage="false" sqref="M2:M3248" type="list">
      <formula1>Lists!$D$2:$D$3</formula1>
      <formula2>0</formula2>
    </dataValidation>
    <dataValidation allowBlank="true" error="Choose a value from the Status list (Lists sheet), or leave blank." errorStyle="stop" errorTitle="Not on the list" operator="between" showDropDown="false" showErrorMessage="true" showInputMessage="false" sqref="N2:N3248" type="list">
      <formula1>Lists!$E$2:$E$6</formula1>
      <formula2>0</formula2>
    </dataValidation>
    <dataValidation allowBlank="true" error="Choose a value from the Origin list (Lists sheet), or leave blank." errorStyle="stop" errorTitle="Not on the list" operator="between" showDropDown="false" showErrorMessage="true" showInputMessage="false" sqref="O2:O3248" type="list">
      <formula1>Lists!$F$2:$F$3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52"/>
    <col collapsed="false" customWidth="true" hidden="false" outlineLevel="0" max="3" min="3" style="0" width="40"/>
    <col collapsed="false" customWidth="true" hidden="false" outlineLevel="0" max="4" min="4" style="0" width="30"/>
    <col collapsed="false" customWidth="true" hidden="false" outlineLevel="0" max="5" min="5" style="0" width="36"/>
    <col collapsed="false" customWidth="true" hidden="false" outlineLevel="0" max="6" min="6" style="0" width="6"/>
    <col collapsed="false" customWidth="true" hidden="false" outlineLevel="0" max="8" min="7" style="0" width="50"/>
    <col collapsed="false" customWidth="true" hidden="false" outlineLevel="0" max="9" min="9" style="0" width="10"/>
    <col collapsed="false" customWidth="true" hidden="false" outlineLevel="0" max="10" min="10" style="0" width="12"/>
    <col collapsed="false" customWidth="true" hidden="false" outlineLevel="0" max="11" min="11" style="0" width="8"/>
    <col collapsed="false" customWidth="true" hidden="false" outlineLevel="0" max="12" min="12" style="0" width="30"/>
  </cols>
  <sheetData>
    <row r="1" customFormat="false" ht="31.5" hidden="false" customHeight="true" outlineLevel="0" collapsed="false">
      <c r="A1" s="7" t="s">
        <v>88</v>
      </c>
      <c r="B1" s="7" t="s">
        <v>7515</v>
      </c>
      <c r="C1" s="7" t="s">
        <v>7516</v>
      </c>
      <c r="D1" s="7" t="s">
        <v>56</v>
      </c>
      <c r="E1" s="7" t="s">
        <v>94</v>
      </c>
      <c r="F1" s="7" t="s">
        <v>54</v>
      </c>
      <c r="G1" s="7" t="s">
        <v>7517</v>
      </c>
      <c r="H1" s="7" t="s">
        <v>7518</v>
      </c>
      <c r="I1" s="7" t="s">
        <v>5</v>
      </c>
      <c r="J1" s="7" t="s">
        <v>55</v>
      </c>
      <c r="K1" s="7" t="s">
        <v>96</v>
      </c>
      <c r="L1" s="7" t="s">
        <v>97</v>
      </c>
    </row>
    <row r="2" customFormat="false" ht="15" hidden="false" customHeight="false" outlineLevel="0" collapsed="false">
      <c r="A2" s="4" t="s">
        <v>7519</v>
      </c>
      <c r="B2" s="8" t="s">
        <v>7520</v>
      </c>
      <c r="C2" s="8"/>
      <c r="D2" s="8" t="s">
        <v>64</v>
      </c>
      <c r="E2" s="8" t="s">
        <v>101</v>
      </c>
      <c r="F2" s="8"/>
      <c r="G2" s="8"/>
      <c r="H2" s="8"/>
      <c r="I2" s="8" t="s">
        <v>62</v>
      </c>
      <c r="J2" s="8" t="s">
        <v>63</v>
      </c>
      <c r="K2" s="4" t="n">
        <v>6</v>
      </c>
      <c r="L2" s="8"/>
    </row>
    <row r="3" customFormat="false" ht="15" hidden="false" customHeight="false" outlineLevel="0" collapsed="false">
      <c r="A3" s="4" t="s">
        <v>7521</v>
      </c>
      <c r="B3" s="8" t="s">
        <v>7522</v>
      </c>
      <c r="C3" s="8"/>
      <c r="D3" s="8" t="s">
        <v>64</v>
      </c>
      <c r="E3" s="8" t="s">
        <v>101</v>
      </c>
      <c r="F3" s="8"/>
      <c r="G3" s="8"/>
      <c r="H3" s="8"/>
      <c r="I3" s="8" t="s">
        <v>62</v>
      </c>
      <c r="J3" s="8" t="s">
        <v>63</v>
      </c>
      <c r="K3" s="4" t="n">
        <v>6</v>
      </c>
      <c r="L3" s="8"/>
    </row>
    <row r="4" customFormat="false" ht="15" hidden="false" customHeight="false" outlineLevel="0" collapsed="false">
      <c r="A4" s="4" t="s">
        <v>7523</v>
      </c>
      <c r="B4" s="8" t="s">
        <v>7524</v>
      </c>
      <c r="C4" s="8"/>
      <c r="D4" s="8" t="s">
        <v>64</v>
      </c>
      <c r="E4" s="8" t="s">
        <v>101</v>
      </c>
      <c r="F4" s="8"/>
      <c r="G4" s="8"/>
      <c r="H4" s="8"/>
      <c r="I4" s="8" t="s">
        <v>62</v>
      </c>
      <c r="J4" s="8" t="s">
        <v>63</v>
      </c>
      <c r="K4" s="4" t="n">
        <v>6</v>
      </c>
      <c r="L4" s="8"/>
    </row>
    <row r="5" customFormat="false" ht="15" hidden="false" customHeight="false" outlineLevel="0" collapsed="false">
      <c r="A5" s="4" t="s">
        <v>7525</v>
      </c>
      <c r="B5" s="8" t="s">
        <v>7526</v>
      </c>
      <c r="C5" s="8"/>
      <c r="D5" s="8" t="s">
        <v>64</v>
      </c>
      <c r="E5" s="8" t="s">
        <v>101</v>
      </c>
      <c r="F5" s="8"/>
      <c r="G5" s="8"/>
      <c r="H5" s="8"/>
      <c r="I5" s="8" t="s">
        <v>62</v>
      </c>
      <c r="J5" s="8" t="s">
        <v>63</v>
      </c>
      <c r="K5" s="4" t="n">
        <v>6</v>
      </c>
      <c r="L5" s="8"/>
    </row>
    <row r="6" customFormat="false" ht="15" hidden="false" customHeight="false" outlineLevel="0" collapsed="false">
      <c r="A6" s="4" t="s">
        <v>7527</v>
      </c>
      <c r="B6" s="8" t="s">
        <v>7528</v>
      </c>
      <c r="C6" s="8"/>
      <c r="D6" s="8" t="s">
        <v>64</v>
      </c>
      <c r="E6" s="8" t="s">
        <v>101</v>
      </c>
      <c r="F6" s="8"/>
      <c r="G6" s="8"/>
      <c r="H6" s="8"/>
      <c r="I6" s="8" t="s">
        <v>62</v>
      </c>
      <c r="J6" s="8" t="s">
        <v>63</v>
      </c>
      <c r="K6" s="4" t="n">
        <v>6</v>
      </c>
      <c r="L6" s="8"/>
    </row>
    <row r="7" customFormat="false" ht="15" hidden="false" customHeight="false" outlineLevel="0" collapsed="false">
      <c r="A7" s="4" t="s">
        <v>7529</v>
      </c>
      <c r="B7" s="8" t="s">
        <v>7530</v>
      </c>
      <c r="C7" s="8"/>
      <c r="D7" s="8" t="s">
        <v>64</v>
      </c>
      <c r="E7" s="8" t="s">
        <v>101</v>
      </c>
      <c r="F7" s="8"/>
      <c r="G7" s="8"/>
      <c r="H7" s="8"/>
      <c r="I7" s="8" t="s">
        <v>62</v>
      </c>
      <c r="J7" s="8" t="s">
        <v>63</v>
      </c>
      <c r="K7" s="4" t="n">
        <v>6</v>
      </c>
      <c r="L7" s="8"/>
    </row>
    <row r="8" customFormat="false" ht="15" hidden="false" customHeight="false" outlineLevel="0" collapsed="false">
      <c r="A8" s="4" t="s">
        <v>7531</v>
      </c>
      <c r="B8" s="8" t="s">
        <v>7532</v>
      </c>
      <c r="C8" s="8"/>
      <c r="D8" s="8" t="s">
        <v>64</v>
      </c>
      <c r="E8" s="8" t="s">
        <v>101</v>
      </c>
      <c r="F8" s="8"/>
      <c r="G8" s="8"/>
      <c r="H8" s="8"/>
      <c r="I8" s="8" t="s">
        <v>62</v>
      </c>
      <c r="J8" s="8" t="s">
        <v>63</v>
      </c>
      <c r="K8" s="4" t="n">
        <v>6</v>
      </c>
      <c r="L8" s="8"/>
    </row>
    <row r="9" customFormat="false" ht="15" hidden="false" customHeight="false" outlineLevel="0" collapsed="false">
      <c r="A9" s="4" t="s">
        <v>7533</v>
      </c>
      <c r="B9" s="8" t="s">
        <v>7534</v>
      </c>
      <c r="C9" s="8"/>
      <c r="D9" s="8" t="s">
        <v>64</v>
      </c>
      <c r="E9" s="8" t="s">
        <v>101</v>
      </c>
      <c r="F9" s="8"/>
      <c r="G9" s="8"/>
      <c r="H9" s="8"/>
      <c r="I9" s="8" t="s">
        <v>62</v>
      </c>
      <c r="J9" s="8" t="s">
        <v>63</v>
      </c>
      <c r="K9" s="4" t="n">
        <v>6</v>
      </c>
      <c r="L9" s="8"/>
    </row>
    <row r="10" customFormat="false" ht="15" hidden="false" customHeight="false" outlineLevel="0" collapsed="false">
      <c r="A10" s="4" t="s">
        <v>7535</v>
      </c>
      <c r="B10" s="8" t="s">
        <v>7536</v>
      </c>
      <c r="C10" s="8"/>
      <c r="D10" s="8" t="s">
        <v>64</v>
      </c>
      <c r="E10" s="8" t="s">
        <v>101</v>
      </c>
      <c r="F10" s="8"/>
      <c r="G10" s="8"/>
      <c r="H10" s="8"/>
      <c r="I10" s="8" t="s">
        <v>62</v>
      </c>
      <c r="J10" s="8" t="s">
        <v>63</v>
      </c>
      <c r="K10" s="4" t="n">
        <v>6</v>
      </c>
      <c r="L10" s="8"/>
    </row>
    <row r="11" customFormat="false" ht="15" hidden="false" customHeight="false" outlineLevel="0" collapsed="false">
      <c r="A11" s="4" t="s">
        <v>7537</v>
      </c>
      <c r="B11" s="8" t="s">
        <v>7538</v>
      </c>
      <c r="C11" s="8"/>
      <c r="D11" s="8" t="s">
        <v>64</v>
      </c>
      <c r="E11" s="8" t="s">
        <v>101</v>
      </c>
      <c r="F11" s="8"/>
      <c r="G11" s="8"/>
      <c r="H11" s="8"/>
      <c r="I11" s="8" t="s">
        <v>62</v>
      </c>
      <c r="J11" s="8" t="s">
        <v>63</v>
      </c>
      <c r="K11" s="4" t="n">
        <v>6</v>
      </c>
      <c r="L11" s="8"/>
    </row>
    <row r="12" customFormat="false" ht="15" hidden="false" customHeight="false" outlineLevel="0" collapsed="false">
      <c r="A12" s="4" t="s">
        <v>7539</v>
      </c>
      <c r="B12" s="8" t="s">
        <v>7540</v>
      </c>
      <c r="C12" s="8"/>
      <c r="D12" s="8" t="s">
        <v>64</v>
      </c>
      <c r="E12" s="8" t="s">
        <v>101</v>
      </c>
      <c r="F12" s="8"/>
      <c r="G12" s="8"/>
      <c r="H12" s="8"/>
      <c r="I12" s="8" t="s">
        <v>62</v>
      </c>
      <c r="J12" s="8" t="s">
        <v>63</v>
      </c>
      <c r="K12" s="4" t="n">
        <v>6</v>
      </c>
      <c r="L12" s="8"/>
    </row>
    <row r="13" customFormat="false" ht="15" hidden="false" customHeight="false" outlineLevel="0" collapsed="false">
      <c r="A13" s="4" t="s">
        <v>7541</v>
      </c>
      <c r="B13" s="8" t="s">
        <v>7542</v>
      </c>
      <c r="C13" s="8"/>
      <c r="D13" s="8" t="s">
        <v>64</v>
      </c>
      <c r="E13" s="8" t="s">
        <v>101</v>
      </c>
      <c r="F13" s="8"/>
      <c r="G13" s="8"/>
      <c r="H13" s="8"/>
      <c r="I13" s="8" t="s">
        <v>62</v>
      </c>
      <c r="J13" s="8" t="s">
        <v>63</v>
      </c>
      <c r="K13" s="4" t="n">
        <v>6</v>
      </c>
      <c r="L13" s="8"/>
    </row>
    <row r="14" customFormat="false" ht="15" hidden="false" customHeight="false" outlineLevel="0" collapsed="false">
      <c r="A14" s="4" t="s">
        <v>7543</v>
      </c>
      <c r="B14" s="8" t="s">
        <v>7544</v>
      </c>
      <c r="C14" s="8"/>
      <c r="D14" s="8" t="s">
        <v>64</v>
      </c>
      <c r="E14" s="8" t="s">
        <v>101</v>
      </c>
      <c r="F14" s="8"/>
      <c r="G14" s="8"/>
      <c r="H14" s="8"/>
      <c r="I14" s="8" t="s">
        <v>62</v>
      </c>
      <c r="J14" s="8" t="s">
        <v>63</v>
      </c>
      <c r="K14" s="4" t="n">
        <v>6</v>
      </c>
      <c r="L14" s="8"/>
    </row>
    <row r="15" customFormat="false" ht="15" hidden="false" customHeight="false" outlineLevel="0" collapsed="false">
      <c r="A15" s="4" t="s">
        <v>7545</v>
      </c>
      <c r="B15" s="8" t="s">
        <v>7546</v>
      </c>
      <c r="C15" s="8"/>
      <c r="D15" s="8" t="s">
        <v>64</v>
      </c>
      <c r="E15" s="8" t="s">
        <v>101</v>
      </c>
      <c r="F15" s="8"/>
      <c r="G15" s="8"/>
      <c r="H15" s="8"/>
      <c r="I15" s="8" t="s">
        <v>62</v>
      </c>
      <c r="J15" s="8" t="s">
        <v>63</v>
      </c>
      <c r="K15" s="4" t="n">
        <v>6</v>
      </c>
      <c r="L15" s="8"/>
    </row>
    <row r="16" customFormat="false" ht="15" hidden="false" customHeight="false" outlineLevel="0" collapsed="false">
      <c r="A16" s="4" t="s">
        <v>7547</v>
      </c>
      <c r="B16" s="8" t="s">
        <v>7548</v>
      </c>
      <c r="C16" s="8"/>
      <c r="D16" s="8" t="s">
        <v>64</v>
      </c>
      <c r="E16" s="8" t="s">
        <v>101</v>
      </c>
      <c r="F16" s="8"/>
      <c r="G16" s="8"/>
      <c r="H16" s="8"/>
      <c r="I16" s="8" t="s">
        <v>62</v>
      </c>
      <c r="J16" s="8" t="s">
        <v>63</v>
      </c>
      <c r="K16" s="4" t="n">
        <v>6</v>
      </c>
      <c r="L16" s="8"/>
    </row>
    <row r="17" customFormat="false" ht="15" hidden="false" customHeight="false" outlineLevel="0" collapsed="false">
      <c r="A17" s="4" t="s">
        <v>7549</v>
      </c>
      <c r="B17" s="8" t="s">
        <v>7550</v>
      </c>
      <c r="C17" s="8"/>
      <c r="D17" s="8" t="s">
        <v>64</v>
      </c>
      <c r="E17" s="8" t="s">
        <v>101</v>
      </c>
      <c r="F17" s="8"/>
      <c r="G17" s="8"/>
      <c r="H17" s="8"/>
      <c r="I17" s="8" t="s">
        <v>62</v>
      </c>
      <c r="J17" s="8" t="s">
        <v>63</v>
      </c>
      <c r="K17" s="4" t="n">
        <v>6</v>
      </c>
      <c r="L17" s="8"/>
    </row>
    <row r="18" customFormat="false" ht="15" hidden="false" customHeight="false" outlineLevel="0" collapsed="false">
      <c r="A18" s="4" t="s">
        <v>7551</v>
      </c>
      <c r="B18" s="8" t="s">
        <v>7552</v>
      </c>
      <c r="C18" s="8"/>
      <c r="D18" s="8" t="s">
        <v>64</v>
      </c>
      <c r="E18" s="8" t="s">
        <v>101</v>
      </c>
      <c r="F18" s="8"/>
      <c r="G18" s="8"/>
      <c r="H18" s="8"/>
      <c r="I18" s="8" t="s">
        <v>62</v>
      </c>
      <c r="J18" s="8" t="s">
        <v>63</v>
      </c>
      <c r="K18" s="4" t="n">
        <v>6</v>
      </c>
      <c r="L18" s="8"/>
    </row>
    <row r="19" customFormat="false" ht="15" hidden="false" customHeight="false" outlineLevel="0" collapsed="false">
      <c r="A19" s="4" t="s">
        <v>7553</v>
      </c>
      <c r="B19" s="8" t="s">
        <v>7554</v>
      </c>
      <c r="C19" s="8"/>
      <c r="D19" s="8" t="s">
        <v>64</v>
      </c>
      <c r="E19" s="8" t="s">
        <v>101</v>
      </c>
      <c r="F19" s="8"/>
      <c r="G19" s="8"/>
      <c r="H19" s="8"/>
      <c r="I19" s="8" t="s">
        <v>62</v>
      </c>
      <c r="J19" s="8" t="s">
        <v>63</v>
      </c>
      <c r="K19" s="4" t="n">
        <v>6</v>
      </c>
      <c r="L19" s="8"/>
    </row>
    <row r="20" customFormat="false" ht="15" hidden="false" customHeight="false" outlineLevel="0" collapsed="false">
      <c r="A20" s="4" t="s">
        <v>7555</v>
      </c>
      <c r="B20" s="8" t="s">
        <v>7556</v>
      </c>
      <c r="C20" s="8"/>
      <c r="D20" s="8" t="s">
        <v>64</v>
      </c>
      <c r="E20" s="8" t="s">
        <v>101</v>
      </c>
      <c r="F20" s="8"/>
      <c r="G20" s="8"/>
      <c r="H20" s="8"/>
      <c r="I20" s="8" t="s">
        <v>62</v>
      </c>
      <c r="J20" s="8" t="s">
        <v>63</v>
      </c>
      <c r="K20" s="4" t="n">
        <v>6</v>
      </c>
      <c r="L20" s="8"/>
    </row>
    <row r="21" customFormat="false" ht="15" hidden="false" customHeight="false" outlineLevel="0" collapsed="false">
      <c r="A21" s="4" t="s">
        <v>7557</v>
      </c>
      <c r="B21" s="8" t="s">
        <v>7558</v>
      </c>
      <c r="C21" s="8"/>
      <c r="D21" s="8" t="s">
        <v>64</v>
      </c>
      <c r="E21" s="8" t="s">
        <v>101</v>
      </c>
      <c r="F21" s="8"/>
      <c r="G21" s="8"/>
      <c r="H21" s="8"/>
      <c r="I21" s="8" t="s">
        <v>62</v>
      </c>
      <c r="J21" s="8" t="s">
        <v>63</v>
      </c>
      <c r="K21" s="4" t="n">
        <v>6</v>
      </c>
      <c r="L21" s="8"/>
    </row>
    <row r="22" customFormat="false" ht="15" hidden="false" customHeight="false" outlineLevel="0" collapsed="false">
      <c r="A22" s="4" t="s">
        <v>7559</v>
      </c>
      <c r="B22" s="8" t="s">
        <v>7560</v>
      </c>
      <c r="C22" s="8"/>
      <c r="D22" s="8" t="s">
        <v>64</v>
      </c>
      <c r="E22" s="8" t="s">
        <v>101</v>
      </c>
      <c r="F22" s="8"/>
      <c r="G22" s="8"/>
      <c r="H22" s="8"/>
      <c r="I22" s="8" t="s">
        <v>62</v>
      </c>
      <c r="J22" s="8" t="s">
        <v>63</v>
      </c>
      <c r="K22" s="4" t="n">
        <v>6</v>
      </c>
      <c r="L22" s="8"/>
    </row>
    <row r="23" customFormat="false" ht="15" hidden="false" customHeight="false" outlineLevel="0" collapsed="false">
      <c r="A23" s="4" t="s">
        <v>7561</v>
      </c>
      <c r="B23" s="8" t="s">
        <v>7562</v>
      </c>
      <c r="C23" s="8"/>
      <c r="D23" s="8" t="s">
        <v>64</v>
      </c>
      <c r="E23" s="8" t="s">
        <v>7563</v>
      </c>
      <c r="F23" s="8"/>
      <c r="G23" s="8"/>
      <c r="H23" s="8"/>
      <c r="I23" s="8" t="s">
        <v>62</v>
      </c>
      <c r="J23" s="8" t="s">
        <v>63</v>
      </c>
      <c r="K23" s="4" t="n">
        <v>6</v>
      </c>
      <c r="L23" s="8"/>
    </row>
    <row r="24" customFormat="false" ht="15" hidden="false" customHeight="false" outlineLevel="0" collapsed="false">
      <c r="A24" s="4" t="s">
        <v>7564</v>
      </c>
      <c r="B24" s="8" t="s">
        <v>7565</v>
      </c>
      <c r="C24" s="8"/>
      <c r="D24" s="8" t="s">
        <v>64</v>
      </c>
      <c r="E24" s="8" t="s">
        <v>7563</v>
      </c>
      <c r="F24" s="8"/>
      <c r="G24" s="8"/>
      <c r="H24" s="8"/>
      <c r="I24" s="8" t="s">
        <v>62</v>
      </c>
      <c r="J24" s="8" t="s">
        <v>63</v>
      </c>
      <c r="K24" s="4" t="n">
        <v>6</v>
      </c>
      <c r="L24" s="8"/>
    </row>
    <row r="25" customFormat="false" ht="15" hidden="false" customHeight="false" outlineLevel="0" collapsed="false">
      <c r="A25" s="4" t="s">
        <v>7566</v>
      </c>
      <c r="B25" s="8" t="s">
        <v>7567</v>
      </c>
      <c r="C25" s="8"/>
      <c r="D25" s="8" t="s">
        <v>64</v>
      </c>
      <c r="E25" s="8" t="s">
        <v>7563</v>
      </c>
      <c r="F25" s="8"/>
      <c r="G25" s="8"/>
      <c r="H25" s="8"/>
      <c r="I25" s="8" t="s">
        <v>62</v>
      </c>
      <c r="J25" s="8" t="s">
        <v>63</v>
      </c>
      <c r="K25" s="4" t="n">
        <v>6</v>
      </c>
      <c r="L25" s="8"/>
    </row>
    <row r="26" customFormat="false" ht="15" hidden="false" customHeight="false" outlineLevel="0" collapsed="false">
      <c r="A26" s="4" t="s">
        <v>7568</v>
      </c>
      <c r="B26" s="8" t="s">
        <v>7569</v>
      </c>
      <c r="C26" s="8"/>
      <c r="D26" s="8" t="s">
        <v>64</v>
      </c>
      <c r="E26" s="8" t="s">
        <v>7563</v>
      </c>
      <c r="F26" s="8"/>
      <c r="G26" s="8"/>
      <c r="H26" s="8"/>
      <c r="I26" s="8" t="s">
        <v>62</v>
      </c>
      <c r="J26" s="8" t="s">
        <v>63</v>
      </c>
      <c r="K26" s="4" t="n">
        <v>6</v>
      </c>
      <c r="L26" s="8"/>
    </row>
    <row r="27" customFormat="false" ht="15" hidden="false" customHeight="false" outlineLevel="0" collapsed="false">
      <c r="A27" s="4" t="s">
        <v>7570</v>
      </c>
      <c r="B27" s="8" t="s">
        <v>7571</v>
      </c>
      <c r="C27" s="8"/>
      <c r="D27" s="8" t="s">
        <v>64</v>
      </c>
      <c r="E27" s="8" t="s">
        <v>7563</v>
      </c>
      <c r="F27" s="8"/>
      <c r="G27" s="8"/>
      <c r="H27" s="8"/>
      <c r="I27" s="8" t="s">
        <v>62</v>
      </c>
      <c r="J27" s="8" t="s">
        <v>63</v>
      </c>
      <c r="K27" s="4" t="n">
        <v>6</v>
      </c>
      <c r="L27" s="8"/>
    </row>
    <row r="28" customFormat="false" ht="15" hidden="false" customHeight="false" outlineLevel="0" collapsed="false">
      <c r="A28" s="4" t="s">
        <v>7572</v>
      </c>
      <c r="B28" s="8" t="s">
        <v>7573</v>
      </c>
      <c r="C28" s="8"/>
      <c r="D28" s="8" t="s">
        <v>64</v>
      </c>
      <c r="E28" s="8" t="s">
        <v>7563</v>
      </c>
      <c r="F28" s="8"/>
      <c r="G28" s="8"/>
      <c r="H28" s="8"/>
      <c r="I28" s="8" t="s">
        <v>62</v>
      </c>
      <c r="J28" s="8" t="s">
        <v>63</v>
      </c>
      <c r="K28" s="4" t="n">
        <v>6</v>
      </c>
      <c r="L28" s="8"/>
    </row>
    <row r="29" customFormat="false" ht="15" hidden="false" customHeight="false" outlineLevel="0" collapsed="false">
      <c r="A29" s="4" t="s">
        <v>7574</v>
      </c>
      <c r="B29" s="8" t="s">
        <v>7575</v>
      </c>
      <c r="C29" s="8"/>
      <c r="D29" s="8" t="s">
        <v>64</v>
      </c>
      <c r="E29" s="8" t="s">
        <v>7563</v>
      </c>
      <c r="F29" s="8"/>
      <c r="G29" s="8"/>
      <c r="H29" s="8"/>
      <c r="I29" s="8" t="s">
        <v>62</v>
      </c>
      <c r="J29" s="8" t="s">
        <v>63</v>
      </c>
      <c r="K29" s="4" t="n">
        <v>6</v>
      </c>
      <c r="L29" s="8"/>
    </row>
    <row r="30" customFormat="false" ht="15" hidden="false" customHeight="false" outlineLevel="0" collapsed="false">
      <c r="A30" s="4" t="s">
        <v>7576</v>
      </c>
      <c r="B30" s="8" t="s">
        <v>7577</v>
      </c>
      <c r="C30" s="8"/>
      <c r="D30" s="8" t="s">
        <v>64</v>
      </c>
      <c r="E30" s="8" t="s">
        <v>7563</v>
      </c>
      <c r="F30" s="8"/>
      <c r="G30" s="8"/>
      <c r="H30" s="8"/>
      <c r="I30" s="8" t="s">
        <v>62</v>
      </c>
      <c r="J30" s="8" t="s">
        <v>63</v>
      </c>
      <c r="K30" s="4" t="n">
        <v>6</v>
      </c>
      <c r="L30" s="8"/>
    </row>
    <row r="31" customFormat="false" ht="15" hidden="false" customHeight="false" outlineLevel="0" collapsed="false">
      <c r="A31" s="4" t="s">
        <v>7578</v>
      </c>
      <c r="B31" s="8" t="s">
        <v>7579</v>
      </c>
      <c r="C31" s="8"/>
      <c r="D31" s="8" t="s">
        <v>64</v>
      </c>
      <c r="E31" s="8" t="s">
        <v>7563</v>
      </c>
      <c r="F31" s="8"/>
      <c r="G31" s="8"/>
      <c r="H31" s="8"/>
      <c r="I31" s="8" t="s">
        <v>62</v>
      </c>
      <c r="J31" s="8" t="s">
        <v>63</v>
      </c>
      <c r="K31" s="4" t="n">
        <v>6</v>
      </c>
      <c r="L31" s="8"/>
    </row>
    <row r="32" customFormat="false" ht="26.85" hidden="false" customHeight="false" outlineLevel="0" collapsed="false">
      <c r="A32" s="4" t="s">
        <v>7580</v>
      </c>
      <c r="B32" s="8" t="s">
        <v>7581</v>
      </c>
      <c r="C32" s="8"/>
      <c r="D32" s="8" t="s">
        <v>64</v>
      </c>
      <c r="E32" s="8" t="s">
        <v>7563</v>
      </c>
      <c r="F32" s="8"/>
      <c r="G32" s="8"/>
      <c r="H32" s="8"/>
      <c r="I32" s="8" t="s">
        <v>62</v>
      </c>
      <c r="J32" s="8" t="s">
        <v>63</v>
      </c>
      <c r="K32" s="4" t="n">
        <v>6</v>
      </c>
      <c r="L32" s="8"/>
    </row>
    <row r="33" customFormat="false" ht="15" hidden="false" customHeight="false" outlineLevel="0" collapsed="false">
      <c r="A33" s="4" t="s">
        <v>7582</v>
      </c>
      <c r="B33" s="8" t="s">
        <v>7583</v>
      </c>
      <c r="C33" s="8"/>
      <c r="D33" s="8" t="s">
        <v>64</v>
      </c>
      <c r="E33" s="8" t="s">
        <v>7563</v>
      </c>
      <c r="F33" s="8"/>
      <c r="G33" s="8"/>
      <c r="H33" s="8"/>
      <c r="I33" s="8" t="s">
        <v>62</v>
      </c>
      <c r="J33" s="8" t="s">
        <v>63</v>
      </c>
      <c r="K33" s="4" t="n">
        <v>6</v>
      </c>
      <c r="L33" s="8"/>
    </row>
    <row r="34" customFormat="false" ht="15" hidden="false" customHeight="false" outlineLevel="0" collapsed="false">
      <c r="A34" s="4" t="s">
        <v>7584</v>
      </c>
      <c r="B34" s="8" t="s">
        <v>7585</v>
      </c>
      <c r="C34" s="8"/>
      <c r="D34" s="8" t="s">
        <v>64</v>
      </c>
      <c r="E34" s="8" t="s">
        <v>7563</v>
      </c>
      <c r="F34" s="8"/>
      <c r="G34" s="8"/>
      <c r="H34" s="8"/>
      <c r="I34" s="8" t="s">
        <v>62</v>
      </c>
      <c r="J34" s="8" t="s">
        <v>63</v>
      </c>
      <c r="K34" s="4" t="n">
        <v>6</v>
      </c>
      <c r="L34" s="8"/>
    </row>
    <row r="35" customFormat="false" ht="15" hidden="false" customHeight="false" outlineLevel="0" collapsed="false">
      <c r="A35" s="4" t="s">
        <v>7586</v>
      </c>
      <c r="B35" s="8" t="s">
        <v>7587</v>
      </c>
      <c r="C35" s="8"/>
      <c r="D35" s="8" t="s">
        <v>64</v>
      </c>
      <c r="E35" s="8" t="s">
        <v>7563</v>
      </c>
      <c r="F35" s="8"/>
      <c r="G35" s="8"/>
      <c r="H35" s="8"/>
      <c r="I35" s="8" t="s">
        <v>62</v>
      </c>
      <c r="J35" s="8" t="s">
        <v>63</v>
      </c>
      <c r="K35" s="4" t="n">
        <v>6</v>
      </c>
      <c r="L35" s="8"/>
    </row>
    <row r="36" customFormat="false" ht="15" hidden="false" customHeight="false" outlineLevel="0" collapsed="false">
      <c r="A36" s="4" t="s">
        <v>7588</v>
      </c>
      <c r="B36" s="8" t="s">
        <v>7589</v>
      </c>
      <c r="C36" s="8"/>
      <c r="D36" s="8" t="s">
        <v>64</v>
      </c>
      <c r="E36" s="8" t="s">
        <v>7563</v>
      </c>
      <c r="F36" s="8"/>
      <c r="G36" s="8"/>
      <c r="H36" s="8"/>
      <c r="I36" s="8" t="s">
        <v>62</v>
      </c>
      <c r="J36" s="8" t="s">
        <v>63</v>
      </c>
      <c r="K36" s="4" t="n">
        <v>6</v>
      </c>
      <c r="L36" s="8"/>
    </row>
    <row r="37" customFormat="false" ht="15" hidden="false" customHeight="false" outlineLevel="0" collapsed="false">
      <c r="A37" s="4" t="s">
        <v>7590</v>
      </c>
      <c r="B37" s="8" t="s">
        <v>7591</v>
      </c>
      <c r="C37" s="8"/>
      <c r="D37" s="8" t="s">
        <v>64</v>
      </c>
      <c r="E37" s="8" t="s">
        <v>7563</v>
      </c>
      <c r="F37" s="8"/>
      <c r="G37" s="8"/>
      <c r="H37" s="8"/>
      <c r="I37" s="8" t="s">
        <v>62</v>
      </c>
      <c r="J37" s="8" t="s">
        <v>63</v>
      </c>
      <c r="K37" s="4" t="n">
        <v>7</v>
      </c>
      <c r="L37" s="8"/>
    </row>
    <row r="38" customFormat="false" ht="26.85" hidden="false" customHeight="false" outlineLevel="0" collapsed="false">
      <c r="A38" s="4" t="s">
        <v>7592</v>
      </c>
      <c r="B38" s="8" t="s">
        <v>7593</v>
      </c>
      <c r="C38" s="8"/>
      <c r="D38" s="8" t="s">
        <v>64</v>
      </c>
      <c r="E38" s="8" t="s">
        <v>7563</v>
      </c>
      <c r="F38" s="8"/>
      <c r="G38" s="8"/>
      <c r="H38" s="8"/>
      <c r="I38" s="8" t="s">
        <v>62</v>
      </c>
      <c r="J38" s="8" t="s">
        <v>63</v>
      </c>
      <c r="K38" s="4" t="n">
        <v>7</v>
      </c>
      <c r="L38" s="8"/>
    </row>
    <row r="39" customFormat="false" ht="15" hidden="false" customHeight="false" outlineLevel="0" collapsed="false">
      <c r="A39" s="4" t="s">
        <v>7594</v>
      </c>
      <c r="B39" s="8" t="s">
        <v>7595</v>
      </c>
      <c r="C39" s="8"/>
      <c r="D39" s="8" t="s">
        <v>64</v>
      </c>
      <c r="E39" s="8" t="s">
        <v>7563</v>
      </c>
      <c r="F39" s="8"/>
      <c r="G39" s="8"/>
      <c r="H39" s="8"/>
      <c r="I39" s="8" t="s">
        <v>62</v>
      </c>
      <c r="J39" s="8" t="s">
        <v>63</v>
      </c>
      <c r="K39" s="4" t="n">
        <v>7</v>
      </c>
      <c r="L39" s="8"/>
    </row>
    <row r="40" customFormat="false" ht="15" hidden="false" customHeight="false" outlineLevel="0" collapsed="false">
      <c r="A40" s="4" t="s">
        <v>7596</v>
      </c>
      <c r="B40" s="8" t="s">
        <v>7597</v>
      </c>
      <c r="C40" s="8"/>
      <c r="D40" s="8" t="s">
        <v>64</v>
      </c>
      <c r="E40" s="8" t="s">
        <v>7598</v>
      </c>
      <c r="F40" s="8"/>
      <c r="G40" s="8"/>
      <c r="H40" s="8"/>
      <c r="I40" s="8" t="s">
        <v>62</v>
      </c>
      <c r="J40" s="8" t="s">
        <v>63</v>
      </c>
      <c r="K40" s="4" t="n">
        <v>7</v>
      </c>
      <c r="L40" s="8"/>
    </row>
    <row r="41" customFormat="false" ht="15" hidden="false" customHeight="false" outlineLevel="0" collapsed="false">
      <c r="A41" s="4" t="s">
        <v>7599</v>
      </c>
      <c r="B41" s="8" t="s">
        <v>7600</v>
      </c>
      <c r="C41" s="8"/>
      <c r="D41" s="8" t="s">
        <v>64</v>
      </c>
      <c r="E41" s="8" t="s">
        <v>7598</v>
      </c>
      <c r="F41" s="8"/>
      <c r="G41" s="8"/>
      <c r="H41" s="8"/>
      <c r="I41" s="8" t="s">
        <v>62</v>
      </c>
      <c r="J41" s="8" t="s">
        <v>63</v>
      </c>
      <c r="K41" s="4" t="n">
        <v>7</v>
      </c>
      <c r="L41" s="8"/>
    </row>
    <row r="42" customFormat="false" ht="15" hidden="false" customHeight="false" outlineLevel="0" collapsed="false">
      <c r="A42" s="4" t="s">
        <v>7601</v>
      </c>
      <c r="B42" s="8" t="s">
        <v>7602</v>
      </c>
      <c r="C42" s="8"/>
      <c r="D42" s="8" t="s">
        <v>64</v>
      </c>
      <c r="E42" s="8" t="s">
        <v>7598</v>
      </c>
      <c r="F42" s="8"/>
      <c r="G42" s="8"/>
      <c r="H42" s="8"/>
      <c r="I42" s="8" t="s">
        <v>62</v>
      </c>
      <c r="J42" s="8" t="s">
        <v>63</v>
      </c>
      <c r="K42" s="4" t="n">
        <v>7</v>
      </c>
      <c r="L42" s="8"/>
    </row>
    <row r="43" customFormat="false" ht="15" hidden="false" customHeight="false" outlineLevel="0" collapsed="false">
      <c r="A43" s="4" t="s">
        <v>7603</v>
      </c>
      <c r="B43" s="8" t="s">
        <v>7604</v>
      </c>
      <c r="C43" s="8"/>
      <c r="D43" s="8" t="s">
        <v>64</v>
      </c>
      <c r="E43" s="8" t="s">
        <v>7598</v>
      </c>
      <c r="F43" s="8"/>
      <c r="G43" s="8"/>
      <c r="H43" s="8"/>
      <c r="I43" s="8" t="s">
        <v>62</v>
      </c>
      <c r="J43" s="8" t="s">
        <v>63</v>
      </c>
      <c r="K43" s="4" t="n">
        <v>7</v>
      </c>
      <c r="L43" s="8"/>
    </row>
    <row r="44" customFormat="false" ht="15" hidden="false" customHeight="false" outlineLevel="0" collapsed="false">
      <c r="A44" s="4" t="s">
        <v>7605</v>
      </c>
      <c r="B44" s="8" t="s">
        <v>7606</v>
      </c>
      <c r="C44" s="8"/>
      <c r="D44" s="8" t="s">
        <v>64</v>
      </c>
      <c r="E44" s="8" t="s">
        <v>7598</v>
      </c>
      <c r="F44" s="8"/>
      <c r="G44" s="8"/>
      <c r="H44" s="8"/>
      <c r="I44" s="8" t="s">
        <v>62</v>
      </c>
      <c r="J44" s="8" t="s">
        <v>63</v>
      </c>
      <c r="K44" s="4" t="n">
        <v>7</v>
      </c>
      <c r="L44" s="8"/>
    </row>
    <row r="45" customFormat="false" ht="15" hidden="false" customHeight="false" outlineLevel="0" collapsed="false">
      <c r="A45" s="4" t="s">
        <v>7607</v>
      </c>
      <c r="B45" s="8" t="s">
        <v>7608</v>
      </c>
      <c r="C45" s="8"/>
      <c r="D45" s="8" t="s">
        <v>64</v>
      </c>
      <c r="E45" s="8" t="s">
        <v>7598</v>
      </c>
      <c r="F45" s="8"/>
      <c r="G45" s="8"/>
      <c r="H45" s="8"/>
      <c r="I45" s="8" t="s">
        <v>62</v>
      </c>
      <c r="J45" s="8" t="s">
        <v>63</v>
      </c>
      <c r="K45" s="4" t="n">
        <v>7</v>
      </c>
      <c r="L45" s="8"/>
    </row>
    <row r="46" customFormat="false" ht="15" hidden="false" customHeight="false" outlineLevel="0" collapsed="false">
      <c r="A46" s="4" t="s">
        <v>7609</v>
      </c>
      <c r="B46" s="8" t="s">
        <v>7610</v>
      </c>
      <c r="C46" s="8"/>
      <c r="D46" s="8" t="s">
        <v>64</v>
      </c>
      <c r="E46" s="8" t="s">
        <v>7598</v>
      </c>
      <c r="F46" s="8"/>
      <c r="G46" s="8"/>
      <c r="H46" s="8"/>
      <c r="I46" s="8" t="s">
        <v>62</v>
      </c>
      <c r="J46" s="8" t="s">
        <v>63</v>
      </c>
      <c r="K46" s="4" t="n">
        <v>7</v>
      </c>
      <c r="L46" s="8"/>
    </row>
    <row r="47" customFormat="false" ht="15" hidden="false" customHeight="false" outlineLevel="0" collapsed="false">
      <c r="A47" s="4" t="s">
        <v>7611</v>
      </c>
      <c r="B47" s="8" t="s">
        <v>7612</v>
      </c>
      <c r="C47" s="8"/>
      <c r="D47" s="8" t="s">
        <v>64</v>
      </c>
      <c r="E47" s="8" t="s">
        <v>7598</v>
      </c>
      <c r="F47" s="8"/>
      <c r="G47" s="8"/>
      <c r="H47" s="8"/>
      <c r="I47" s="8" t="s">
        <v>62</v>
      </c>
      <c r="J47" s="8" t="s">
        <v>63</v>
      </c>
      <c r="K47" s="4" t="n">
        <v>7</v>
      </c>
      <c r="L47" s="8"/>
    </row>
    <row r="48" customFormat="false" ht="15" hidden="false" customHeight="false" outlineLevel="0" collapsed="false">
      <c r="A48" s="4" t="s">
        <v>7613</v>
      </c>
      <c r="B48" s="8" t="s">
        <v>7614</v>
      </c>
      <c r="C48" s="8"/>
      <c r="D48" s="8" t="s">
        <v>64</v>
      </c>
      <c r="E48" s="8" t="s">
        <v>7598</v>
      </c>
      <c r="F48" s="8"/>
      <c r="G48" s="8"/>
      <c r="H48" s="8"/>
      <c r="I48" s="8" t="s">
        <v>62</v>
      </c>
      <c r="J48" s="8" t="s">
        <v>63</v>
      </c>
      <c r="K48" s="4" t="n">
        <v>7</v>
      </c>
      <c r="L48" s="8"/>
    </row>
    <row r="49" customFormat="false" ht="15" hidden="false" customHeight="false" outlineLevel="0" collapsed="false">
      <c r="A49" s="4" t="s">
        <v>7615</v>
      </c>
      <c r="B49" s="8" t="s">
        <v>7616</v>
      </c>
      <c r="C49" s="8"/>
      <c r="D49" s="8" t="s">
        <v>64</v>
      </c>
      <c r="E49" s="8" t="s">
        <v>7598</v>
      </c>
      <c r="F49" s="8"/>
      <c r="G49" s="8"/>
      <c r="H49" s="8"/>
      <c r="I49" s="8" t="s">
        <v>62</v>
      </c>
      <c r="J49" s="8" t="s">
        <v>63</v>
      </c>
      <c r="K49" s="4" t="n">
        <v>7</v>
      </c>
      <c r="L49" s="8"/>
    </row>
    <row r="50" customFormat="false" ht="15" hidden="false" customHeight="false" outlineLevel="0" collapsed="false">
      <c r="A50" s="4" t="s">
        <v>7617</v>
      </c>
      <c r="B50" s="8" t="s">
        <v>7618</v>
      </c>
      <c r="C50" s="8"/>
      <c r="D50" s="8" t="s">
        <v>64</v>
      </c>
      <c r="E50" s="8" t="s">
        <v>7598</v>
      </c>
      <c r="F50" s="8"/>
      <c r="G50" s="8"/>
      <c r="H50" s="8"/>
      <c r="I50" s="8" t="s">
        <v>62</v>
      </c>
      <c r="J50" s="8" t="s">
        <v>63</v>
      </c>
      <c r="K50" s="4" t="n">
        <v>7</v>
      </c>
      <c r="L50" s="8"/>
    </row>
    <row r="51" customFormat="false" ht="15" hidden="false" customHeight="false" outlineLevel="0" collapsed="false">
      <c r="A51" s="4" t="s">
        <v>7619</v>
      </c>
      <c r="B51" s="8" t="s">
        <v>7620</v>
      </c>
      <c r="C51" s="8"/>
      <c r="D51" s="8" t="s">
        <v>64</v>
      </c>
      <c r="E51" s="8" t="s">
        <v>7598</v>
      </c>
      <c r="F51" s="8"/>
      <c r="G51" s="8"/>
      <c r="H51" s="8"/>
      <c r="I51" s="8" t="s">
        <v>62</v>
      </c>
      <c r="J51" s="8" t="s">
        <v>63</v>
      </c>
      <c r="K51" s="4" t="n">
        <v>7</v>
      </c>
      <c r="L51" s="8"/>
    </row>
    <row r="52" customFormat="false" ht="15" hidden="false" customHeight="false" outlineLevel="0" collapsed="false">
      <c r="A52" s="4" t="s">
        <v>7621</v>
      </c>
      <c r="B52" s="8" t="s">
        <v>7622</v>
      </c>
      <c r="C52" s="8"/>
      <c r="D52" s="8" t="s">
        <v>64</v>
      </c>
      <c r="E52" s="8" t="s">
        <v>7598</v>
      </c>
      <c r="F52" s="8"/>
      <c r="G52" s="8"/>
      <c r="H52" s="8"/>
      <c r="I52" s="8" t="s">
        <v>62</v>
      </c>
      <c r="J52" s="8" t="s">
        <v>63</v>
      </c>
      <c r="K52" s="4" t="n">
        <v>7</v>
      </c>
      <c r="L52" s="8"/>
    </row>
    <row r="53" customFormat="false" ht="15" hidden="false" customHeight="false" outlineLevel="0" collapsed="false">
      <c r="A53" s="4" t="s">
        <v>7623</v>
      </c>
      <c r="B53" s="8" t="s">
        <v>7624</v>
      </c>
      <c r="C53" s="8"/>
      <c r="D53" s="8" t="s">
        <v>64</v>
      </c>
      <c r="E53" s="8" t="s">
        <v>7598</v>
      </c>
      <c r="F53" s="8"/>
      <c r="G53" s="8"/>
      <c r="H53" s="8"/>
      <c r="I53" s="8" t="s">
        <v>62</v>
      </c>
      <c r="J53" s="8" t="s">
        <v>63</v>
      </c>
      <c r="K53" s="4" t="n">
        <v>7</v>
      </c>
      <c r="L53" s="8"/>
    </row>
    <row r="54" customFormat="false" ht="15" hidden="false" customHeight="false" outlineLevel="0" collapsed="false">
      <c r="A54" s="4" t="s">
        <v>7625</v>
      </c>
      <c r="B54" s="8" t="s">
        <v>7626</v>
      </c>
      <c r="C54" s="8"/>
      <c r="D54" s="8" t="s">
        <v>64</v>
      </c>
      <c r="E54" s="8" t="s">
        <v>7598</v>
      </c>
      <c r="F54" s="8"/>
      <c r="G54" s="8"/>
      <c r="H54" s="8"/>
      <c r="I54" s="8" t="s">
        <v>62</v>
      </c>
      <c r="J54" s="8" t="s">
        <v>63</v>
      </c>
      <c r="K54" s="4" t="n">
        <v>7</v>
      </c>
      <c r="L54" s="8"/>
    </row>
    <row r="55" customFormat="false" ht="15" hidden="false" customHeight="false" outlineLevel="0" collapsed="false">
      <c r="A55" s="4" t="s">
        <v>7627</v>
      </c>
      <c r="B55" s="8" t="s">
        <v>7628</v>
      </c>
      <c r="C55" s="8"/>
      <c r="D55" s="8" t="s">
        <v>64</v>
      </c>
      <c r="E55" s="8" t="s">
        <v>7598</v>
      </c>
      <c r="F55" s="8"/>
      <c r="G55" s="8"/>
      <c r="H55" s="8"/>
      <c r="I55" s="8" t="s">
        <v>62</v>
      </c>
      <c r="J55" s="8" t="s">
        <v>63</v>
      </c>
      <c r="K55" s="4" t="n">
        <v>7</v>
      </c>
      <c r="L55" s="8"/>
    </row>
    <row r="56" customFormat="false" ht="26.85" hidden="false" customHeight="false" outlineLevel="0" collapsed="false">
      <c r="A56" s="4" t="s">
        <v>7629</v>
      </c>
      <c r="B56" s="8" t="s">
        <v>7630</v>
      </c>
      <c r="C56" s="8"/>
      <c r="D56" s="8" t="s">
        <v>64</v>
      </c>
      <c r="E56" s="8" t="s">
        <v>7598</v>
      </c>
      <c r="F56" s="8"/>
      <c r="G56" s="8"/>
      <c r="H56" s="8"/>
      <c r="I56" s="8" t="s">
        <v>62</v>
      </c>
      <c r="J56" s="8" t="s">
        <v>63</v>
      </c>
      <c r="K56" s="4" t="n">
        <v>7</v>
      </c>
      <c r="L56" s="8"/>
    </row>
    <row r="57" customFormat="false" ht="26.85" hidden="false" customHeight="false" outlineLevel="0" collapsed="false">
      <c r="A57" s="4" t="s">
        <v>7631</v>
      </c>
      <c r="B57" s="8" t="s">
        <v>7632</v>
      </c>
      <c r="C57" s="8"/>
      <c r="D57" s="8" t="s">
        <v>64</v>
      </c>
      <c r="E57" s="8" t="s">
        <v>7598</v>
      </c>
      <c r="F57" s="8"/>
      <c r="G57" s="8"/>
      <c r="H57" s="8"/>
      <c r="I57" s="8" t="s">
        <v>62</v>
      </c>
      <c r="J57" s="8" t="s">
        <v>63</v>
      </c>
      <c r="K57" s="4" t="n">
        <v>7</v>
      </c>
      <c r="L57" s="8"/>
    </row>
    <row r="58" customFormat="false" ht="15" hidden="false" customHeight="false" outlineLevel="0" collapsed="false">
      <c r="A58" s="4" t="s">
        <v>7633</v>
      </c>
      <c r="B58" s="8" t="s">
        <v>7634</v>
      </c>
      <c r="C58" s="8"/>
      <c r="D58" s="8" t="s">
        <v>64</v>
      </c>
      <c r="E58" s="8" t="s">
        <v>7598</v>
      </c>
      <c r="F58" s="8"/>
      <c r="G58" s="8"/>
      <c r="H58" s="8"/>
      <c r="I58" s="8" t="s">
        <v>62</v>
      </c>
      <c r="J58" s="8" t="s">
        <v>63</v>
      </c>
      <c r="K58" s="4" t="n">
        <v>7</v>
      </c>
      <c r="L58" s="8"/>
    </row>
    <row r="59" customFormat="false" ht="15" hidden="false" customHeight="false" outlineLevel="0" collapsed="false">
      <c r="A59" s="4" t="s">
        <v>7635</v>
      </c>
      <c r="B59" s="8" t="s">
        <v>7636</v>
      </c>
      <c r="C59" s="8"/>
      <c r="D59" s="8" t="s">
        <v>64</v>
      </c>
      <c r="E59" s="8" t="s">
        <v>7598</v>
      </c>
      <c r="F59" s="8"/>
      <c r="G59" s="8"/>
      <c r="H59" s="8"/>
      <c r="I59" s="8" t="s">
        <v>62</v>
      </c>
      <c r="J59" s="8" t="s">
        <v>63</v>
      </c>
      <c r="K59" s="4" t="n">
        <v>7</v>
      </c>
      <c r="L59" s="8"/>
    </row>
    <row r="60" customFormat="false" ht="15" hidden="false" customHeight="false" outlineLevel="0" collapsed="false">
      <c r="A60" s="4" t="s">
        <v>7637</v>
      </c>
      <c r="B60" s="8" t="s">
        <v>7638</v>
      </c>
      <c r="C60" s="8"/>
      <c r="D60" s="8" t="s">
        <v>64</v>
      </c>
      <c r="E60" s="8" t="s">
        <v>7598</v>
      </c>
      <c r="F60" s="8"/>
      <c r="G60" s="8"/>
      <c r="H60" s="8"/>
      <c r="I60" s="8" t="s">
        <v>62</v>
      </c>
      <c r="J60" s="8" t="s">
        <v>63</v>
      </c>
      <c r="K60" s="4" t="n">
        <v>7</v>
      </c>
      <c r="L60" s="8"/>
    </row>
    <row r="61" customFormat="false" ht="15" hidden="false" customHeight="false" outlineLevel="0" collapsed="false">
      <c r="A61" s="4" t="s">
        <v>7639</v>
      </c>
      <c r="B61" s="8" t="s">
        <v>7640</v>
      </c>
      <c r="C61" s="8"/>
      <c r="D61" s="8" t="s">
        <v>64</v>
      </c>
      <c r="E61" s="8" t="s">
        <v>7598</v>
      </c>
      <c r="F61" s="8"/>
      <c r="G61" s="8"/>
      <c r="H61" s="8"/>
      <c r="I61" s="8" t="s">
        <v>62</v>
      </c>
      <c r="J61" s="8" t="s">
        <v>63</v>
      </c>
      <c r="K61" s="4" t="n">
        <v>7</v>
      </c>
      <c r="L61" s="8"/>
    </row>
    <row r="62" customFormat="false" ht="15" hidden="false" customHeight="false" outlineLevel="0" collapsed="false">
      <c r="A62" s="4" t="s">
        <v>7641</v>
      </c>
      <c r="B62" s="8" t="s">
        <v>7642</v>
      </c>
      <c r="C62" s="8"/>
      <c r="D62" s="8" t="s">
        <v>64</v>
      </c>
      <c r="E62" s="8" t="s">
        <v>7598</v>
      </c>
      <c r="F62" s="8"/>
      <c r="G62" s="8"/>
      <c r="H62" s="8"/>
      <c r="I62" s="8" t="s">
        <v>62</v>
      </c>
      <c r="J62" s="8" t="s">
        <v>63</v>
      </c>
      <c r="K62" s="4" t="n">
        <v>7</v>
      </c>
      <c r="L62" s="8"/>
    </row>
    <row r="63" customFormat="false" ht="26.85" hidden="false" customHeight="false" outlineLevel="0" collapsed="false">
      <c r="A63" s="4" t="s">
        <v>7643</v>
      </c>
      <c r="B63" s="8" t="s">
        <v>7644</v>
      </c>
      <c r="C63" s="8"/>
      <c r="D63" s="8" t="s">
        <v>64</v>
      </c>
      <c r="E63" s="8" t="s">
        <v>7598</v>
      </c>
      <c r="F63" s="8"/>
      <c r="G63" s="8"/>
      <c r="H63" s="8"/>
      <c r="I63" s="8" t="s">
        <v>62</v>
      </c>
      <c r="J63" s="8" t="s">
        <v>63</v>
      </c>
      <c r="K63" s="4" t="n">
        <v>7</v>
      </c>
      <c r="L63" s="8"/>
    </row>
    <row r="64" customFormat="false" ht="26.85" hidden="false" customHeight="false" outlineLevel="0" collapsed="false">
      <c r="A64" s="4" t="s">
        <v>7645</v>
      </c>
      <c r="B64" s="8" t="s">
        <v>7646</v>
      </c>
      <c r="C64" s="8"/>
      <c r="D64" s="8" t="s">
        <v>64</v>
      </c>
      <c r="E64" s="8" t="s">
        <v>7598</v>
      </c>
      <c r="F64" s="8"/>
      <c r="G64" s="8"/>
      <c r="H64" s="8"/>
      <c r="I64" s="8" t="s">
        <v>62</v>
      </c>
      <c r="J64" s="8" t="s">
        <v>63</v>
      </c>
      <c r="K64" s="4" t="n">
        <v>7</v>
      </c>
      <c r="L64" s="8"/>
    </row>
    <row r="65" customFormat="false" ht="15" hidden="false" customHeight="false" outlineLevel="0" collapsed="false">
      <c r="A65" s="4" t="s">
        <v>7647</v>
      </c>
      <c r="B65" s="8" t="s">
        <v>7648</v>
      </c>
      <c r="C65" s="8"/>
      <c r="D65" s="8" t="s">
        <v>64</v>
      </c>
      <c r="E65" s="8" t="s">
        <v>7598</v>
      </c>
      <c r="F65" s="8"/>
      <c r="G65" s="8"/>
      <c r="H65" s="8"/>
      <c r="I65" s="8" t="s">
        <v>62</v>
      </c>
      <c r="J65" s="8" t="s">
        <v>63</v>
      </c>
      <c r="K65" s="4" t="n">
        <v>7</v>
      </c>
      <c r="L65" s="8"/>
    </row>
    <row r="66" customFormat="false" ht="15" hidden="false" customHeight="false" outlineLevel="0" collapsed="false">
      <c r="A66" s="4" t="s">
        <v>7649</v>
      </c>
      <c r="B66" s="8" t="s">
        <v>7650</v>
      </c>
      <c r="C66" s="8"/>
      <c r="D66" s="8" t="s">
        <v>64</v>
      </c>
      <c r="E66" s="8" t="s">
        <v>7598</v>
      </c>
      <c r="F66" s="8"/>
      <c r="G66" s="8"/>
      <c r="H66" s="8"/>
      <c r="I66" s="8" t="s">
        <v>62</v>
      </c>
      <c r="J66" s="8" t="s">
        <v>63</v>
      </c>
      <c r="K66" s="4" t="n">
        <v>7</v>
      </c>
      <c r="L66" s="8"/>
    </row>
    <row r="67" customFormat="false" ht="15" hidden="false" customHeight="false" outlineLevel="0" collapsed="false">
      <c r="A67" s="4" t="s">
        <v>7651</v>
      </c>
      <c r="B67" s="8" t="s">
        <v>7652</v>
      </c>
      <c r="C67" s="8"/>
      <c r="D67" s="8" t="s">
        <v>64</v>
      </c>
      <c r="E67" s="8" t="s">
        <v>7598</v>
      </c>
      <c r="F67" s="8"/>
      <c r="G67" s="8"/>
      <c r="H67" s="8"/>
      <c r="I67" s="8" t="s">
        <v>62</v>
      </c>
      <c r="J67" s="8" t="s">
        <v>63</v>
      </c>
      <c r="K67" s="4" t="n">
        <v>7</v>
      </c>
      <c r="L67" s="8"/>
    </row>
    <row r="68" customFormat="false" ht="15" hidden="false" customHeight="false" outlineLevel="0" collapsed="false">
      <c r="A68" s="4" t="s">
        <v>7653</v>
      </c>
      <c r="B68" s="8" t="s">
        <v>7654</v>
      </c>
      <c r="C68" s="8"/>
      <c r="D68" s="8" t="s">
        <v>64</v>
      </c>
      <c r="E68" s="8" t="s">
        <v>7598</v>
      </c>
      <c r="F68" s="8"/>
      <c r="G68" s="8"/>
      <c r="H68" s="8"/>
      <c r="I68" s="8" t="s">
        <v>62</v>
      </c>
      <c r="J68" s="8" t="s">
        <v>63</v>
      </c>
      <c r="K68" s="4" t="n">
        <v>7</v>
      </c>
      <c r="L68" s="8"/>
    </row>
    <row r="69" customFormat="false" ht="15" hidden="false" customHeight="false" outlineLevel="0" collapsed="false">
      <c r="A69" s="4" t="s">
        <v>7655</v>
      </c>
      <c r="B69" s="8" t="s">
        <v>7656</v>
      </c>
      <c r="C69" s="8"/>
      <c r="D69" s="8" t="s">
        <v>64</v>
      </c>
      <c r="E69" s="8" t="s">
        <v>7598</v>
      </c>
      <c r="F69" s="8"/>
      <c r="G69" s="8"/>
      <c r="H69" s="8"/>
      <c r="I69" s="8" t="s">
        <v>62</v>
      </c>
      <c r="J69" s="8" t="s">
        <v>63</v>
      </c>
      <c r="K69" s="4" t="n">
        <v>7</v>
      </c>
      <c r="L69" s="8"/>
    </row>
    <row r="70" customFormat="false" ht="15" hidden="false" customHeight="false" outlineLevel="0" collapsed="false">
      <c r="A70" s="4" t="s">
        <v>7657</v>
      </c>
      <c r="B70" s="8" t="s">
        <v>7658</v>
      </c>
      <c r="C70" s="8"/>
      <c r="D70" s="8" t="s">
        <v>64</v>
      </c>
      <c r="E70" s="8" t="s">
        <v>7598</v>
      </c>
      <c r="F70" s="8"/>
      <c r="G70" s="8"/>
      <c r="H70" s="8"/>
      <c r="I70" s="8" t="s">
        <v>62</v>
      </c>
      <c r="J70" s="8" t="s">
        <v>63</v>
      </c>
      <c r="K70" s="4" t="n">
        <v>7</v>
      </c>
      <c r="L70" s="8"/>
    </row>
    <row r="71" customFormat="false" ht="15" hidden="false" customHeight="false" outlineLevel="0" collapsed="false">
      <c r="A71" s="4" t="s">
        <v>7659</v>
      </c>
      <c r="B71" s="8" t="s">
        <v>7660</v>
      </c>
      <c r="C71" s="8"/>
      <c r="D71" s="8" t="s">
        <v>64</v>
      </c>
      <c r="E71" s="8" t="s">
        <v>7598</v>
      </c>
      <c r="F71" s="8"/>
      <c r="G71" s="8"/>
      <c r="H71" s="8"/>
      <c r="I71" s="8" t="s">
        <v>62</v>
      </c>
      <c r="J71" s="8" t="s">
        <v>63</v>
      </c>
      <c r="K71" s="4" t="n">
        <v>7</v>
      </c>
      <c r="L71" s="8"/>
    </row>
    <row r="72" customFormat="false" ht="15" hidden="false" customHeight="false" outlineLevel="0" collapsed="false">
      <c r="A72" s="4" t="s">
        <v>7661</v>
      </c>
      <c r="B72" s="8" t="s">
        <v>7662</v>
      </c>
      <c r="C72" s="8"/>
      <c r="D72" s="8" t="s">
        <v>64</v>
      </c>
      <c r="E72" s="8" t="s">
        <v>7598</v>
      </c>
      <c r="F72" s="8"/>
      <c r="G72" s="8"/>
      <c r="H72" s="8"/>
      <c r="I72" s="8" t="s">
        <v>62</v>
      </c>
      <c r="J72" s="8" t="s">
        <v>63</v>
      </c>
      <c r="K72" s="4" t="n">
        <v>7</v>
      </c>
      <c r="L72" s="8"/>
    </row>
    <row r="73" customFormat="false" ht="15" hidden="false" customHeight="false" outlineLevel="0" collapsed="false">
      <c r="A73" s="4" t="s">
        <v>7663</v>
      </c>
      <c r="B73" s="8" t="s">
        <v>7664</v>
      </c>
      <c r="C73" s="8"/>
      <c r="D73" s="8" t="s">
        <v>64</v>
      </c>
      <c r="E73" s="8" t="s">
        <v>7598</v>
      </c>
      <c r="F73" s="8"/>
      <c r="G73" s="8"/>
      <c r="H73" s="8"/>
      <c r="I73" s="8" t="s">
        <v>62</v>
      </c>
      <c r="J73" s="8" t="s">
        <v>63</v>
      </c>
      <c r="K73" s="4" t="n">
        <v>7</v>
      </c>
      <c r="L73" s="8"/>
    </row>
    <row r="74" customFormat="false" ht="15" hidden="false" customHeight="false" outlineLevel="0" collapsed="false">
      <c r="A74" s="4" t="s">
        <v>7665</v>
      </c>
      <c r="B74" s="8" t="s">
        <v>7666</v>
      </c>
      <c r="C74" s="8"/>
      <c r="D74" s="8" t="s">
        <v>64</v>
      </c>
      <c r="E74" s="8" t="s">
        <v>7598</v>
      </c>
      <c r="F74" s="8"/>
      <c r="G74" s="8"/>
      <c r="H74" s="8"/>
      <c r="I74" s="8" t="s">
        <v>62</v>
      </c>
      <c r="J74" s="8" t="s">
        <v>63</v>
      </c>
      <c r="K74" s="4" t="n">
        <v>7</v>
      </c>
      <c r="L74" s="8"/>
    </row>
    <row r="75" customFormat="false" ht="15" hidden="false" customHeight="false" outlineLevel="0" collapsed="false">
      <c r="A75" s="4" t="s">
        <v>7667</v>
      </c>
      <c r="B75" s="8" t="s">
        <v>7668</v>
      </c>
      <c r="C75" s="8"/>
      <c r="D75" s="8" t="s">
        <v>64</v>
      </c>
      <c r="E75" s="8" t="s">
        <v>7598</v>
      </c>
      <c r="F75" s="8"/>
      <c r="G75" s="8"/>
      <c r="H75" s="8"/>
      <c r="I75" s="8" t="s">
        <v>62</v>
      </c>
      <c r="J75" s="8" t="s">
        <v>63</v>
      </c>
      <c r="K75" s="4" t="n">
        <v>7</v>
      </c>
      <c r="L75" s="8"/>
    </row>
    <row r="76" customFormat="false" ht="15" hidden="false" customHeight="false" outlineLevel="0" collapsed="false">
      <c r="A76" s="4" t="s">
        <v>7669</v>
      </c>
      <c r="B76" s="8" t="s">
        <v>7670</v>
      </c>
      <c r="C76" s="8"/>
      <c r="D76" s="8" t="s">
        <v>64</v>
      </c>
      <c r="E76" s="8" t="s">
        <v>7598</v>
      </c>
      <c r="F76" s="8"/>
      <c r="G76" s="8"/>
      <c r="H76" s="8"/>
      <c r="I76" s="8" t="s">
        <v>62</v>
      </c>
      <c r="J76" s="8" t="s">
        <v>63</v>
      </c>
      <c r="K76" s="4" t="n">
        <v>7</v>
      </c>
      <c r="L76" s="8"/>
    </row>
    <row r="77" customFormat="false" ht="15" hidden="false" customHeight="false" outlineLevel="0" collapsed="false">
      <c r="A77" s="4" t="s">
        <v>7671</v>
      </c>
      <c r="B77" s="8" t="s">
        <v>7672</v>
      </c>
      <c r="C77" s="8"/>
      <c r="D77" s="8" t="s">
        <v>64</v>
      </c>
      <c r="E77" s="8" t="s">
        <v>7598</v>
      </c>
      <c r="F77" s="8"/>
      <c r="G77" s="8"/>
      <c r="H77" s="8"/>
      <c r="I77" s="8" t="s">
        <v>62</v>
      </c>
      <c r="J77" s="8" t="s">
        <v>63</v>
      </c>
      <c r="K77" s="4" t="n">
        <v>7</v>
      </c>
      <c r="L77" s="8"/>
    </row>
    <row r="78" customFormat="false" ht="26.85" hidden="false" customHeight="false" outlineLevel="0" collapsed="false">
      <c r="A78" s="4" t="s">
        <v>7673</v>
      </c>
      <c r="B78" s="8" t="s">
        <v>7674</v>
      </c>
      <c r="C78" s="8"/>
      <c r="D78" s="8" t="s">
        <v>64</v>
      </c>
      <c r="E78" s="8" t="s">
        <v>7598</v>
      </c>
      <c r="F78" s="8"/>
      <c r="G78" s="8"/>
      <c r="H78" s="8"/>
      <c r="I78" s="8" t="s">
        <v>62</v>
      </c>
      <c r="J78" s="8" t="s">
        <v>63</v>
      </c>
      <c r="K78" s="4" t="n">
        <v>7</v>
      </c>
      <c r="L78" s="8"/>
    </row>
    <row r="79" customFormat="false" ht="26.85" hidden="false" customHeight="false" outlineLevel="0" collapsed="false">
      <c r="A79" s="4" t="s">
        <v>7675</v>
      </c>
      <c r="B79" s="8" t="s">
        <v>7676</v>
      </c>
      <c r="C79" s="8"/>
      <c r="D79" s="8" t="s">
        <v>64</v>
      </c>
      <c r="E79" s="8" t="s">
        <v>7677</v>
      </c>
      <c r="F79" s="8"/>
      <c r="G79" s="8"/>
      <c r="H79" s="8"/>
      <c r="I79" s="8" t="s">
        <v>62</v>
      </c>
      <c r="J79" s="8" t="s">
        <v>63</v>
      </c>
      <c r="K79" s="4" t="n">
        <v>8</v>
      </c>
      <c r="L79" s="8"/>
    </row>
    <row r="80" customFormat="false" ht="15" hidden="false" customHeight="false" outlineLevel="0" collapsed="false">
      <c r="A80" s="4" t="s">
        <v>7678</v>
      </c>
      <c r="B80" s="8" t="s">
        <v>7679</v>
      </c>
      <c r="C80" s="8"/>
      <c r="D80" s="8" t="s">
        <v>64</v>
      </c>
      <c r="E80" s="8" t="s">
        <v>7677</v>
      </c>
      <c r="F80" s="8"/>
      <c r="G80" s="8"/>
      <c r="H80" s="8"/>
      <c r="I80" s="8" t="s">
        <v>62</v>
      </c>
      <c r="J80" s="8" t="s">
        <v>63</v>
      </c>
      <c r="K80" s="4" t="n">
        <v>8</v>
      </c>
      <c r="L80" s="8"/>
    </row>
    <row r="81" customFormat="false" ht="15" hidden="false" customHeight="false" outlineLevel="0" collapsed="false">
      <c r="A81" s="4" t="s">
        <v>7680</v>
      </c>
      <c r="B81" s="8" t="s">
        <v>7681</v>
      </c>
      <c r="C81" s="8"/>
      <c r="D81" s="8" t="s">
        <v>64</v>
      </c>
      <c r="E81" s="8" t="s">
        <v>7677</v>
      </c>
      <c r="F81" s="8"/>
      <c r="G81" s="8"/>
      <c r="H81" s="8"/>
      <c r="I81" s="8" t="s">
        <v>62</v>
      </c>
      <c r="J81" s="8" t="s">
        <v>63</v>
      </c>
      <c r="K81" s="4" t="n">
        <v>8</v>
      </c>
      <c r="L81" s="8"/>
    </row>
    <row r="82" customFormat="false" ht="15" hidden="false" customHeight="false" outlineLevel="0" collapsed="false">
      <c r="A82" s="4" t="s">
        <v>7682</v>
      </c>
      <c r="B82" s="8" t="s">
        <v>7683</v>
      </c>
      <c r="C82" s="8"/>
      <c r="D82" s="8" t="s">
        <v>64</v>
      </c>
      <c r="E82" s="8" t="s">
        <v>7677</v>
      </c>
      <c r="F82" s="8"/>
      <c r="G82" s="8"/>
      <c r="H82" s="8"/>
      <c r="I82" s="8" t="s">
        <v>62</v>
      </c>
      <c r="J82" s="8" t="s">
        <v>63</v>
      </c>
      <c r="K82" s="4" t="n">
        <v>8</v>
      </c>
      <c r="L82" s="8"/>
    </row>
    <row r="83" customFormat="false" ht="26.85" hidden="false" customHeight="false" outlineLevel="0" collapsed="false">
      <c r="A83" s="4" t="s">
        <v>7684</v>
      </c>
      <c r="B83" s="8" t="s">
        <v>7685</v>
      </c>
      <c r="C83" s="8"/>
      <c r="D83" s="8" t="s">
        <v>64</v>
      </c>
      <c r="E83" s="8" t="s">
        <v>7677</v>
      </c>
      <c r="F83" s="8"/>
      <c r="G83" s="8"/>
      <c r="H83" s="8"/>
      <c r="I83" s="8" t="s">
        <v>62</v>
      </c>
      <c r="J83" s="8" t="s">
        <v>63</v>
      </c>
      <c r="K83" s="4" t="n">
        <v>8</v>
      </c>
      <c r="L83" s="8"/>
    </row>
    <row r="84" customFormat="false" ht="15" hidden="false" customHeight="false" outlineLevel="0" collapsed="false">
      <c r="A84" s="4" t="s">
        <v>7686</v>
      </c>
      <c r="B84" s="8" t="s">
        <v>7687</v>
      </c>
      <c r="C84" s="8"/>
      <c r="D84" s="8" t="s">
        <v>64</v>
      </c>
      <c r="E84" s="8" t="s">
        <v>7677</v>
      </c>
      <c r="F84" s="8"/>
      <c r="G84" s="8"/>
      <c r="H84" s="8"/>
      <c r="I84" s="8" t="s">
        <v>62</v>
      </c>
      <c r="J84" s="8" t="s">
        <v>63</v>
      </c>
      <c r="K84" s="4" t="n">
        <v>8</v>
      </c>
      <c r="L84" s="8"/>
    </row>
    <row r="85" customFormat="false" ht="15" hidden="false" customHeight="false" outlineLevel="0" collapsed="false">
      <c r="A85" s="4" t="s">
        <v>7688</v>
      </c>
      <c r="B85" s="8" t="s">
        <v>7689</v>
      </c>
      <c r="C85" s="8"/>
      <c r="D85" s="8" t="s">
        <v>64</v>
      </c>
      <c r="E85" s="8" t="s">
        <v>7677</v>
      </c>
      <c r="F85" s="8"/>
      <c r="G85" s="8"/>
      <c r="H85" s="8"/>
      <c r="I85" s="8" t="s">
        <v>62</v>
      </c>
      <c r="J85" s="8" t="s">
        <v>63</v>
      </c>
      <c r="K85" s="4" t="n">
        <v>8</v>
      </c>
      <c r="L85" s="8"/>
    </row>
    <row r="86" customFormat="false" ht="15" hidden="false" customHeight="false" outlineLevel="0" collapsed="false">
      <c r="A86" s="4" t="s">
        <v>7690</v>
      </c>
      <c r="B86" s="8" t="s">
        <v>7691</v>
      </c>
      <c r="C86" s="8"/>
      <c r="D86" s="8" t="s">
        <v>64</v>
      </c>
      <c r="E86" s="8" t="s">
        <v>7677</v>
      </c>
      <c r="F86" s="8"/>
      <c r="G86" s="8"/>
      <c r="H86" s="8"/>
      <c r="I86" s="8" t="s">
        <v>62</v>
      </c>
      <c r="J86" s="8" t="s">
        <v>63</v>
      </c>
      <c r="K86" s="4" t="n">
        <v>8</v>
      </c>
      <c r="L86" s="8"/>
    </row>
    <row r="87" customFormat="false" ht="15" hidden="false" customHeight="false" outlineLevel="0" collapsed="false">
      <c r="A87" s="4" t="s">
        <v>7692</v>
      </c>
      <c r="B87" s="8" t="s">
        <v>7693</v>
      </c>
      <c r="C87" s="8"/>
      <c r="D87" s="8" t="s">
        <v>64</v>
      </c>
      <c r="E87" s="8" t="s">
        <v>7677</v>
      </c>
      <c r="F87" s="8"/>
      <c r="G87" s="8"/>
      <c r="H87" s="8"/>
      <c r="I87" s="8" t="s">
        <v>62</v>
      </c>
      <c r="J87" s="8" t="s">
        <v>63</v>
      </c>
      <c r="K87" s="4" t="n">
        <v>8</v>
      </c>
      <c r="L87" s="8"/>
    </row>
    <row r="88" customFormat="false" ht="26.85" hidden="false" customHeight="false" outlineLevel="0" collapsed="false">
      <c r="A88" s="4" t="s">
        <v>7694</v>
      </c>
      <c r="B88" s="8" t="s">
        <v>7522</v>
      </c>
      <c r="C88" s="8"/>
      <c r="D88" s="8" t="s">
        <v>72</v>
      </c>
      <c r="E88" s="8" t="s">
        <v>7695</v>
      </c>
      <c r="F88" s="8"/>
      <c r="G88" s="8"/>
      <c r="H88" s="8"/>
      <c r="I88" s="8" t="s">
        <v>62</v>
      </c>
      <c r="J88" s="8" t="s">
        <v>63</v>
      </c>
      <c r="K88" s="4" t="n">
        <v>9</v>
      </c>
      <c r="L88" s="8"/>
    </row>
    <row r="89" customFormat="false" ht="26.85" hidden="false" customHeight="false" outlineLevel="0" collapsed="false">
      <c r="A89" s="4" t="s">
        <v>7696</v>
      </c>
      <c r="B89" s="8" t="s">
        <v>7697</v>
      </c>
      <c r="C89" s="8"/>
      <c r="D89" s="8" t="s">
        <v>72</v>
      </c>
      <c r="E89" s="8" t="s">
        <v>7695</v>
      </c>
      <c r="F89" s="8"/>
      <c r="G89" s="8"/>
      <c r="H89" s="8"/>
      <c r="I89" s="8" t="s">
        <v>62</v>
      </c>
      <c r="J89" s="8" t="s">
        <v>63</v>
      </c>
      <c r="K89" s="4" t="n">
        <v>9</v>
      </c>
      <c r="L89" s="8"/>
    </row>
    <row r="90" customFormat="false" ht="26.85" hidden="false" customHeight="false" outlineLevel="0" collapsed="false">
      <c r="A90" s="4" t="s">
        <v>7698</v>
      </c>
      <c r="B90" s="8" t="s">
        <v>7699</v>
      </c>
      <c r="C90" s="8"/>
      <c r="D90" s="8" t="s">
        <v>72</v>
      </c>
      <c r="E90" s="8" t="s">
        <v>7695</v>
      </c>
      <c r="F90" s="8"/>
      <c r="G90" s="8"/>
      <c r="H90" s="8"/>
      <c r="I90" s="8" t="s">
        <v>62</v>
      </c>
      <c r="J90" s="8" t="s">
        <v>63</v>
      </c>
      <c r="K90" s="4" t="n">
        <v>9</v>
      </c>
      <c r="L90" s="8"/>
    </row>
    <row r="91" customFormat="false" ht="26.85" hidden="false" customHeight="false" outlineLevel="0" collapsed="false">
      <c r="A91" s="4" t="s">
        <v>7700</v>
      </c>
      <c r="B91" s="8" t="s">
        <v>7701</v>
      </c>
      <c r="C91" s="8"/>
      <c r="D91" s="8" t="s">
        <v>72</v>
      </c>
      <c r="E91" s="8" t="s">
        <v>7695</v>
      </c>
      <c r="F91" s="8"/>
      <c r="G91" s="8"/>
      <c r="H91" s="8"/>
      <c r="I91" s="8" t="s">
        <v>62</v>
      </c>
      <c r="J91" s="8" t="s">
        <v>63</v>
      </c>
      <c r="K91" s="4" t="n">
        <v>9</v>
      </c>
      <c r="L91" s="8"/>
    </row>
    <row r="92" customFormat="false" ht="26.85" hidden="false" customHeight="false" outlineLevel="0" collapsed="false">
      <c r="A92" s="4" t="s">
        <v>7702</v>
      </c>
      <c r="B92" s="8" t="s">
        <v>7703</v>
      </c>
      <c r="C92" s="8"/>
      <c r="D92" s="8" t="s">
        <v>72</v>
      </c>
      <c r="E92" s="8" t="s">
        <v>7695</v>
      </c>
      <c r="F92" s="8"/>
      <c r="G92" s="8"/>
      <c r="H92" s="8"/>
      <c r="I92" s="8" t="s">
        <v>62</v>
      </c>
      <c r="J92" s="8" t="s">
        <v>63</v>
      </c>
      <c r="K92" s="4" t="n">
        <v>9</v>
      </c>
      <c r="L92" s="8"/>
    </row>
    <row r="93" customFormat="false" ht="26.85" hidden="false" customHeight="false" outlineLevel="0" collapsed="false">
      <c r="A93" s="4" t="s">
        <v>7704</v>
      </c>
      <c r="B93" s="8" t="s">
        <v>7705</v>
      </c>
      <c r="C93" s="8"/>
      <c r="D93" s="8" t="s">
        <v>72</v>
      </c>
      <c r="E93" s="8" t="s">
        <v>7695</v>
      </c>
      <c r="F93" s="8"/>
      <c r="G93" s="8"/>
      <c r="H93" s="8"/>
      <c r="I93" s="8" t="s">
        <v>62</v>
      </c>
      <c r="J93" s="8" t="s">
        <v>63</v>
      </c>
      <c r="K93" s="4" t="n">
        <v>9</v>
      </c>
      <c r="L93" s="8"/>
    </row>
    <row r="94" customFormat="false" ht="26.85" hidden="false" customHeight="false" outlineLevel="0" collapsed="false">
      <c r="A94" s="4" t="s">
        <v>7706</v>
      </c>
      <c r="B94" s="8" t="s">
        <v>7707</v>
      </c>
      <c r="C94" s="8"/>
      <c r="D94" s="8" t="s">
        <v>72</v>
      </c>
      <c r="E94" s="8" t="s">
        <v>7695</v>
      </c>
      <c r="F94" s="8"/>
      <c r="G94" s="8"/>
      <c r="H94" s="8"/>
      <c r="I94" s="8" t="s">
        <v>62</v>
      </c>
      <c r="J94" s="8" t="s">
        <v>63</v>
      </c>
      <c r="K94" s="4" t="n">
        <v>9</v>
      </c>
      <c r="L94" s="8"/>
    </row>
    <row r="95" customFormat="false" ht="26.85" hidden="false" customHeight="false" outlineLevel="0" collapsed="false">
      <c r="A95" s="4" t="s">
        <v>7708</v>
      </c>
      <c r="B95" s="8" t="s">
        <v>7709</v>
      </c>
      <c r="C95" s="8"/>
      <c r="D95" s="8" t="s">
        <v>72</v>
      </c>
      <c r="E95" s="8" t="s">
        <v>7695</v>
      </c>
      <c r="F95" s="8"/>
      <c r="G95" s="8"/>
      <c r="H95" s="8"/>
      <c r="I95" s="8" t="s">
        <v>62</v>
      </c>
      <c r="J95" s="8" t="s">
        <v>63</v>
      </c>
      <c r="K95" s="4" t="n">
        <v>9</v>
      </c>
      <c r="L95" s="8"/>
    </row>
    <row r="96" customFormat="false" ht="26.85" hidden="false" customHeight="false" outlineLevel="0" collapsed="false">
      <c r="A96" s="4" t="s">
        <v>7710</v>
      </c>
      <c r="B96" s="8" t="s">
        <v>7711</v>
      </c>
      <c r="C96" s="8"/>
      <c r="D96" s="8" t="s">
        <v>72</v>
      </c>
      <c r="E96" s="8" t="s">
        <v>7695</v>
      </c>
      <c r="F96" s="8"/>
      <c r="G96" s="8"/>
      <c r="H96" s="8"/>
      <c r="I96" s="8" t="s">
        <v>62</v>
      </c>
      <c r="J96" s="8" t="s">
        <v>63</v>
      </c>
      <c r="K96" s="4" t="n">
        <v>9</v>
      </c>
      <c r="L96" s="8"/>
    </row>
    <row r="97" customFormat="false" ht="26.85" hidden="false" customHeight="false" outlineLevel="0" collapsed="false">
      <c r="A97" s="4" t="s">
        <v>7712</v>
      </c>
      <c r="B97" s="8" t="s">
        <v>7713</v>
      </c>
      <c r="C97" s="8"/>
      <c r="D97" s="8" t="s">
        <v>72</v>
      </c>
      <c r="E97" s="8" t="s">
        <v>7695</v>
      </c>
      <c r="F97" s="8"/>
      <c r="G97" s="8"/>
      <c r="H97" s="8"/>
      <c r="I97" s="8" t="s">
        <v>62</v>
      </c>
      <c r="J97" s="8" t="s">
        <v>63</v>
      </c>
      <c r="K97" s="4" t="n">
        <v>9</v>
      </c>
      <c r="L97" s="8"/>
    </row>
    <row r="98" customFormat="false" ht="26.85" hidden="false" customHeight="false" outlineLevel="0" collapsed="false">
      <c r="A98" s="4" t="s">
        <v>7714</v>
      </c>
      <c r="B98" s="8" t="s">
        <v>7715</v>
      </c>
      <c r="C98" s="8"/>
      <c r="D98" s="8" t="s">
        <v>72</v>
      </c>
      <c r="E98" s="8" t="s">
        <v>7695</v>
      </c>
      <c r="F98" s="8"/>
      <c r="G98" s="8"/>
      <c r="H98" s="8"/>
      <c r="I98" s="8" t="s">
        <v>62</v>
      </c>
      <c r="J98" s="8" t="s">
        <v>63</v>
      </c>
      <c r="K98" s="4" t="n">
        <v>9</v>
      </c>
      <c r="L98" s="8"/>
    </row>
    <row r="99" customFormat="false" ht="26.85" hidden="false" customHeight="false" outlineLevel="0" collapsed="false">
      <c r="A99" s="4" t="s">
        <v>7716</v>
      </c>
      <c r="B99" s="8" t="s">
        <v>7717</v>
      </c>
      <c r="C99" s="8"/>
      <c r="D99" s="8" t="s">
        <v>72</v>
      </c>
      <c r="E99" s="8" t="s">
        <v>7695</v>
      </c>
      <c r="F99" s="8"/>
      <c r="G99" s="8"/>
      <c r="H99" s="8"/>
      <c r="I99" s="8" t="s">
        <v>62</v>
      </c>
      <c r="J99" s="8" t="s">
        <v>63</v>
      </c>
      <c r="K99" s="4" t="n">
        <v>9</v>
      </c>
      <c r="L99" s="8"/>
    </row>
    <row r="100" customFormat="false" ht="26.85" hidden="false" customHeight="false" outlineLevel="0" collapsed="false">
      <c r="A100" s="4" t="s">
        <v>7718</v>
      </c>
      <c r="B100" s="8" t="s">
        <v>7719</v>
      </c>
      <c r="C100" s="8"/>
      <c r="D100" s="8" t="s">
        <v>72</v>
      </c>
      <c r="E100" s="8" t="s">
        <v>7695</v>
      </c>
      <c r="F100" s="8"/>
      <c r="G100" s="8"/>
      <c r="H100" s="8"/>
      <c r="I100" s="8" t="s">
        <v>62</v>
      </c>
      <c r="J100" s="8" t="s">
        <v>63</v>
      </c>
      <c r="K100" s="4" t="n">
        <v>9</v>
      </c>
      <c r="L100" s="8"/>
    </row>
    <row r="101" customFormat="false" ht="26.85" hidden="false" customHeight="false" outlineLevel="0" collapsed="false">
      <c r="A101" s="4" t="s">
        <v>7720</v>
      </c>
      <c r="B101" s="8" t="s">
        <v>7721</v>
      </c>
      <c r="C101" s="8"/>
      <c r="D101" s="8" t="s">
        <v>72</v>
      </c>
      <c r="E101" s="8" t="s">
        <v>7695</v>
      </c>
      <c r="F101" s="8"/>
      <c r="G101" s="8"/>
      <c r="H101" s="8"/>
      <c r="I101" s="8" t="s">
        <v>62</v>
      </c>
      <c r="J101" s="8" t="s">
        <v>63</v>
      </c>
      <c r="K101" s="4" t="n">
        <v>9</v>
      </c>
      <c r="L101" s="8"/>
    </row>
    <row r="102" customFormat="false" ht="26.85" hidden="false" customHeight="false" outlineLevel="0" collapsed="false">
      <c r="A102" s="4" t="s">
        <v>7722</v>
      </c>
      <c r="B102" s="8" t="s">
        <v>7723</v>
      </c>
      <c r="C102" s="8"/>
      <c r="D102" s="8" t="s">
        <v>72</v>
      </c>
      <c r="E102" s="8" t="s">
        <v>7695</v>
      </c>
      <c r="F102" s="8"/>
      <c r="G102" s="8"/>
      <c r="H102" s="8"/>
      <c r="I102" s="8" t="s">
        <v>62</v>
      </c>
      <c r="J102" s="8" t="s">
        <v>63</v>
      </c>
      <c r="K102" s="4" t="n">
        <v>9</v>
      </c>
      <c r="L102" s="8"/>
    </row>
    <row r="103" customFormat="false" ht="26.85" hidden="false" customHeight="false" outlineLevel="0" collapsed="false">
      <c r="A103" s="4" t="s">
        <v>7724</v>
      </c>
      <c r="B103" s="8" t="s">
        <v>7725</v>
      </c>
      <c r="C103" s="8"/>
      <c r="D103" s="8" t="s">
        <v>72</v>
      </c>
      <c r="E103" s="8" t="s">
        <v>7695</v>
      </c>
      <c r="F103" s="8"/>
      <c r="G103" s="8"/>
      <c r="H103" s="8"/>
      <c r="I103" s="8" t="s">
        <v>62</v>
      </c>
      <c r="J103" s="8" t="s">
        <v>63</v>
      </c>
      <c r="K103" s="4" t="n">
        <v>9</v>
      </c>
      <c r="L103" s="8"/>
    </row>
    <row r="104" customFormat="false" ht="26.85" hidden="false" customHeight="false" outlineLevel="0" collapsed="false">
      <c r="A104" s="4" t="s">
        <v>7726</v>
      </c>
      <c r="B104" s="8" t="s">
        <v>7727</v>
      </c>
      <c r="C104" s="8"/>
      <c r="D104" s="8" t="s">
        <v>72</v>
      </c>
      <c r="E104" s="8" t="s">
        <v>7695</v>
      </c>
      <c r="F104" s="8"/>
      <c r="G104" s="8"/>
      <c r="H104" s="8"/>
      <c r="I104" s="8" t="s">
        <v>62</v>
      </c>
      <c r="J104" s="8" t="s">
        <v>63</v>
      </c>
      <c r="K104" s="4" t="n">
        <v>9</v>
      </c>
      <c r="L104" s="8"/>
    </row>
    <row r="105" customFormat="false" ht="26.85" hidden="false" customHeight="false" outlineLevel="0" collapsed="false">
      <c r="A105" s="4" t="s">
        <v>7728</v>
      </c>
      <c r="B105" s="8" t="s">
        <v>7729</v>
      </c>
      <c r="C105" s="8"/>
      <c r="D105" s="8" t="s">
        <v>72</v>
      </c>
      <c r="E105" s="8" t="s">
        <v>7695</v>
      </c>
      <c r="F105" s="8"/>
      <c r="G105" s="8"/>
      <c r="H105" s="8"/>
      <c r="I105" s="8" t="s">
        <v>62</v>
      </c>
      <c r="J105" s="8" t="s">
        <v>63</v>
      </c>
      <c r="K105" s="4" t="n">
        <v>9</v>
      </c>
      <c r="L105" s="8"/>
    </row>
    <row r="106" customFormat="false" ht="26.85" hidden="false" customHeight="false" outlineLevel="0" collapsed="false">
      <c r="A106" s="4" t="s">
        <v>7730</v>
      </c>
      <c r="B106" s="8" t="s">
        <v>7731</v>
      </c>
      <c r="C106" s="8"/>
      <c r="D106" s="8" t="s">
        <v>72</v>
      </c>
      <c r="E106" s="8" t="s">
        <v>7695</v>
      </c>
      <c r="F106" s="8"/>
      <c r="G106" s="8"/>
      <c r="H106" s="8"/>
      <c r="I106" s="8" t="s">
        <v>62</v>
      </c>
      <c r="J106" s="8" t="s">
        <v>63</v>
      </c>
      <c r="K106" s="4" t="n">
        <v>9</v>
      </c>
      <c r="L106" s="8"/>
    </row>
    <row r="107" customFormat="false" ht="26.85" hidden="false" customHeight="false" outlineLevel="0" collapsed="false">
      <c r="A107" s="4" t="s">
        <v>7732</v>
      </c>
      <c r="B107" s="8" t="s">
        <v>7733</v>
      </c>
      <c r="C107" s="8"/>
      <c r="D107" s="8" t="s">
        <v>72</v>
      </c>
      <c r="E107" s="8" t="s">
        <v>7695</v>
      </c>
      <c r="F107" s="8"/>
      <c r="G107" s="8"/>
      <c r="H107" s="8"/>
      <c r="I107" s="8" t="s">
        <v>62</v>
      </c>
      <c r="J107" s="8" t="s">
        <v>63</v>
      </c>
      <c r="K107" s="4" t="n">
        <v>9</v>
      </c>
      <c r="L107" s="8"/>
    </row>
    <row r="108" customFormat="false" ht="26.85" hidden="false" customHeight="false" outlineLevel="0" collapsed="false">
      <c r="A108" s="4" t="s">
        <v>7734</v>
      </c>
      <c r="B108" s="8" t="s">
        <v>7735</v>
      </c>
      <c r="C108" s="8"/>
      <c r="D108" s="8" t="s">
        <v>72</v>
      </c>
      <c r="E108" s="8" t="s">
        <v>7695</v>
      </c>
      <c r="F108" s="8"/>
      <c r="G108" s="8"/>
      <c r="H108" s="8"/>
      <c r="I108" s="8" t="s">
        <v>62</v>
      </c>
      <c r="J108" s="8" t="s">
        <v>63</v>
      </c>
      <c r="K108" s="4" t="n">
        <v>9</v>
      </c>
      <c r="L108" s="8"/>
    </row>
    <row r="109" customFormat="false" ht="26.85" hidden="false" customHeight="false" outlineLevel="0" collapsed="false">
      <c r="A109" s="4" t="s">
        <v>7736</v>
      </c>
      <c r="B109" s="8" t="s">
        <v>7737</v>
      </c>
      <c r="C109" s="8"/>
      <c r="D109" s="8" t="s">
        <v>72</v>
      </c>
      <c r="E109" s="8" t="s">
        <v>7695</v>
      </c>
      <c r="F109" s="8"/>
      <c r="G109" s="8"/>
      <c r="H109" s="8"/>
      <c r="I109" s="8" t="s">
        <v>62</v>
      </c>
      <c r="J109" s="8" t="s">
        <v>63</v>
      </c>
      <c r="K109" s="4" t="n">
        <v>9</v>
      </c>
      <c r="L109" s="8"/>
    </row>
    <row r="110" customFormat="false" ht="26.85" hidden="false" customHeight="false" outlineLevel="0" collapsed="false">
      <c r="A110" s="4" t="s">
        <v>7738</v>
      </c>
      <c r="B110" s="8" t="s">
        <v>7739</v>
      </c>
      <c r="C110" s="8"/>
      <c r="D110" s="8" t="s">
        <v>72</v>
      </c>
      <c r="E110" s="8" t="s">
        <v>7695</v>
      </c>
      <c r="F110" s="8"/>
      <c r="G110" s="8"/>
      <c r="H110" s="8"/>
      <c r="I110" s="8" t="s">
        <v>62</v>
      </c>
      <c r="J110" s="8" t="s">
        <v>63</v>
      </c>
      <c r="K110" s="4" t="n">
        <v>9</v>
      </c>
      <c r="L110" s="8"/>
    </row>
    <row r="111" customFormat="false" ht="26.85" hidden="false" customHeight="false" outlineLevel="0" collapsed="false">
      <c r="A111" s="4" t="s">
        <v>7740</v>
      </c>
      <c r="B111" s="8" t="s">
        <v>7741</v>
      </c>
      <c r="C111" s="8"/>
      <c r="D111" s="8" t="s">
        <v>72</v>
      </c>
      <c r="E111" s="8" t="s">
        <v>7695</v>
      </c>
      <c r="F111" s="8"/>
      <c r="G111" s="8"/>
      <c r="H111" s="8"/>
      <c r="I111" s="8" t="s">
        <v>62</v>
      </c>
      <c r="J111" s="8" t="s">
        <v>63</v>
      </c>
      <c r="K111" s="4" t="n">
        <v>9</v>
      </c>
      <c r="L111" s="8"/>
    </row>
    <row r="112" customFormat="false" ht="26.85" hidden="false" customHeight="false" outlineLevel="0" collapsed="false">
      <c r="A112" s="4" t="s">
        <v>7742</v>
      </c>
      <c r="B112" s="8" t="s">
        <v>7743</v>
      </c>
      <c r="C112" s="8"/>
      <c r="D112" s="8" t="s">
        <v>72</v>
      </c>
      <c r="E112" s="8" t="s">
        <v>7695</v>
      </c>
      <c r="F112" s="8"/>
      <c r="G112" s="8"/>
      <c r="H112" s="8"/>
      <c r="I112" s="8" t="s">
        <v>62</v>
      </c>
      <c r="J112" s="8" t="s">
        <v>63</v>
      </c>
      <c r="K112" s="4" t="n">
        <v>9</v>
      </c>
      <c r="L112" s="8"/>
    </row>
    <row r="113" customFormat="false" ht="26.85" hidden="false" customHeight="false" outlineLevel="0" collapsed="false">
      <c r="A113" s="4" t="s">
        <v>7744</v>
      </c>
      <c r="B113" s="8" t="s">
        <v>7745</v>
      </c>
      <c r="C113" s="8"/>
      <c r="D113" s="8" t="s">
        <v>72</v>
      </c>
      <c r="E113" s="8" t="s">
        <v>7695</v>
      </c>
      <c r="F113" s="8"/>
      <c r="G113" s="8"/>
      <c r="H113" s="8"/>
      <c r="I113" s="8" t="s">
        <v>62</v>
      </c>
      <c r="J113" s="8" t="s">
        <v>63</v>
      </c>
      <c r="K113" s="4" t="n">
        <v>9</v>
      </c>
      <c r="L113" s="8"/>
    </row>
    <row r="114" customFormat="false" ht="26.85" hidden="false" customHeight="false" outlineLevel="0" collapsed="false">
      <c r="A114" s="4" t="s">
        <v>7746</v>
      </c>
      <c r="B114" s="8" t="s">
        <v>7747</v>
      </c>
      <c r="C114" s="8"/>
      <c r="D114" s="8" t="s">
        <v>72</v>
      </c>
      <c r="E114" s="8" t="s">
        <v>7695</v>
      </c>
      <c r="F114" s="8"/>
      <c r="G114" s="8"/>
      <c r="H114" s="8"/>
      <c r="I114" s="8" t="s">
        <v>62</v>
      </c>
      <c r="J114" s="8" t="s">
        <v>63</v>
      </c>
      <c r="K114" s="4" t="n">
        <v>9</v>
      </c>
      <c r="L114" s="8"/>
    </row>
    <row r="115" customFormat="false" ht="26.85" hidden="false" customHeight="false" outlineLevel="0" collapsed="false">
      <c r="A115" s="4" t="s">
        <v>7748</v>
      </c>
      <c r="B115" s="8" t="s">
        <v>7749</v>
      </c>
      <c r="C115" s="8"/>
      <c r="D115" s="8" t="s">
        <v>72</v>
      </c>
      <c r="E115" s="8" t="s">
        <v>7695</v>
      </c>
      <c r="F115" s="8"/>
      <c r="G115" s="8"/>
      <c r="H115" s="8"/>
      <c r="I115" s="8" t="s">
        <v>62</v>
      </c>
      <c r="J115" s="8" t="s">
        <v>63</v>
      </c>
      <c r="K115" s="4" t="n">
        <v>9</v>
      </c>
      <c r="L115" s="8"/>
    </row>
    <row r="116" customFormat="false" ht="26.85" hidden="false" customHeight="false" outlineLevel="0" collapsed="false">
      <c r="A116" s="4" t="s">
        <v>7750</v>
      </c>
      <c r="B116" s="8" t="s">
        <v>7751</v>
      </c>
      <c r="C116" s="8"/>
      <c r="D116" s="8" t="s">
        <v>72</v>
      </c>
      <c r="E116" s="8" t="s">
        <v>7695</v>
      </c>
      <c r="F116" s="8"/>
      <c r="G116" s="8"/>
      <c r="H116" s="8"/>
      <c r="I116" s="8" t="s">
        <v>62</v>
      </c>
      <c r="J116" s="8" t="s">
        <v>63</v>
      </c>
      <c r="K116" s="4" t="n">
        <v>9</v>
      </c>
      <c r="L116" s="8"/>
    </row>
    <row r="117" customFormat="false" ht="26.85" hidden="false" customHeight="false" outlineLevel="0" collapsed="false">
      <c r="A117" s="4" t="s">
        <v>7752</v>
      </c>
      <c r="B117" s="8" t="s">
        <v>7753</v>
      </c>
      <c r="C117" s="8"/>
      <c r="D117" s="8" t="s">
        <v>72</v>
      </c>
      <c r="E117" s="8" t="s">
        <v>7695</v>
      </c>
      <c r="F117" s="8"/>
      <c r="G117" s="8"/>
      <c r="H117" s="8"/>
      <c r="I117" s="8" t="s">
        <v>62</v>
      </c>
      <c r="J117" s="8" t="s">
        <v>63</v>
      </c>
      <c r="K117" s="4" t="n">
        <v>9</v>
      </c>
      <c r="L117" s="8"/>
    </row>
    <row r="118" customFormat="false" ht="26.85" hidden="false" customHeight="false" outlineLevel="0" collapsed="false">
      <c r="A118" s="4" t="s">
        <v>7754</v>
      </c>
      <c r="B118" s="8" t="s">
        <v>7755</v>
      </c>
      <c r="C118" s="8"/>
      <c r="D118" s="8" t="s">
        <v>72</v>
      </c>
      <c r="E118" s="8" t="s">
        <v>7695</v>
      </c>
      <c r="F118" s="8"/>
      <c r="G118" s="8"/>
      <c r="H118" s="8"/>
      <c r="I118" s="8" t="s">
        <v>62</v>
      </c>
      <c r="J118" s="8" t="s">
        <v>63</v>
      </c>
      <c r="K118" s="4" t="n">
        <v>9</v>
      </c>
      <c r="L118" s="8"/>
    </row>
    <row r="119" customFormat="false" ht="26.85" hidden="false" customHeight="false" outlineLevel="0" collapsed="false">
      <c r="A119" s="4" t="s">
        <v>7756</v>
      </c>
      <c r="B119" s="8" t="s">
        <v>7757</v>
      </c>
      <c r="C119" s="8"/>
      <c r="D119" s="8" t="s">
        <v>72</v>
      </c>
      <c r="E119" s="8" t="s">
        <v>7695</v>
      </c>
      <c r="F119" s="8"/>
      <c r="G119" s="8"/>
      <c r="H119" s="8"/>
      <c r="I119" s="8" t="s">
        <v>62</v>
      </c>
      <c r="J119" s="8" t="s">
        <v>63</v>
      </c>
      <c r="K119" s="4" t="n">
        <v>9</v>
      </c>
      <c r="L119" s="8"/>
    </row>
    <row r="120" customFormat="false" ht="26.85" hidden="false" customHeight="false" outlineLevel="0" collapsed="false">
      <c r="A120" s="4" t="s">
        <v>7758</v>
      </c>
      <c r="B120" s="8" t="s">
        <v>7759</v>
      </c>
      <c r="C120" s="8"/>
      <c r="D120" s="8" t="s">
        <v>72</v>
      </c>
      <c r="E120" s="8" t="s">
        <v>7695</v>
      </c>
      <c r="F120" s="8"/>
      <c r="G120" s="8"/>
      <c r="H120" s="8"/>
      <c r="I120" s="8" t="s">
        <v>62</v>
      </c>
      <c r="J120" s="8" t="s">
        <v>63</v>
      </c>
      <c r="K120" s="4" t="n">
        <v>9</v>
      </c>
      <c r="L120" s="8"/>
    </row>
    <row r="121" customFormat="false" ht="26.85" hidden="false" customHeight="false" outlineLevel="0" collapsed="false">
      <c r="A121" s="4" t="s">
        <v>7760</v>
      </c>
      <c r="B121" s="8" t="s">
        <v>7761</v>
      </c>
      <c r="C121" s="8"/>
      <c r="D121" s="8" t="s">
        <v>72</v>
      </c>
      <c r="E121" s="8" t="s">
        <v>7695</v>
      </c>
      <c r="F121" s="8"/>
      <c r="G121" s="8"/>
      <c r="H121" s="8"/>
      <c r="I121" s="8" t="s">
        <v>62</v>
      </c>
      <c r="J121" s="8" t="s">
        <v>63</v>
      </c>
      <c r="K121" s="4" t="n">
        <v>9</v>
      </c>
      <c r="L121" s="8"/>
    </row>
    <row r="122" customFormat="false" ht="26.85" hidden="false" customHeight="false" outlineLevel="0" collapsed="false">
      <c r="A122" s="4" t="s">
        <v>7762</v>
      </c>
      <c r="B122" s="8" t="s">
        <v>7763</v>
      </c>
      <c r="C122" s="8"/>
      <c r="D122" s="8" t="s">
        <v>72</v>
      </c>
      <c r="E122" s="8" t="s">
        <v>7695</v>
      </c>
      <c r="F122" s="8"/>
      <c r="G122" s="8"/>
      <c r="H122" s="8"/>
      <c r="I122" s="8" t="s">
        <v>62</v>
      </c>
      <c r="J122" s="8" t="s">
        <v>63</v>
      </c>
      <c r="K122" s="4" t="n">
        <v>9</v>
      </c>
      <c r="L122" s="8"/>
    </row>
    <row r="123" customFormat="false" ht="26.85" hidden="false" customHeight="false" outlineLevel="0" collapsed="false">
      <c r="A123" s="4" t="s">
        <v>7764</v>
      </c>
      <c r="B123" s="8" t="s">
        <v>7765</v>
      </c>
      <c r="C123" s="8"/>
      <c r="D123" s="8" t="s">
        <v>72</v>
      </c>
      <c r="E123" s="8" t="s">
        <v>7695</v>
      </c>
      <c r="F123" s="8"/>
      <c r="G123" s="8"/>
      <c r="H123" s="8"/>
      <c r="I123" s="8" t="s">
        <v>62</v>
      </c>
      <c r="J123" s="8" t="s">
        <v>63</v>
      </c>
      <c r="K123" s="4" t="n">
        <v>9</v>
      </c>
      <c r="L123" s="8"/>
    </row>
    <row r="124" customFormat="false" ht="26.85" hidden="false" customHeight="false" outlineLevel="0" collapsed="false">
      <c r="A124" s="4" t="s">
        <v>7766</v>
      </c>
      <c r="B124" s="8" t="s">
        <v>7767</v>
      </c>
      <c r="C124" s="8"/>
      <c r="D124" s="8" t="s">
        <v>72</v>
      </c>
      <c r="E124" s="8" t="s">
        <v>4025</v>
      </c>
      <c r="F124" s="8"/>
      <c r="G124" s="8"/>
      <c r="H124" s="8"/>
      <c r="I124" s="8" t="s">
        <v>62</v>
      </c>
      <c r="J124" s="8" t="s">
        <v>63</v>
      </c>
      <c r="K124" s="4" t="n">
        <v>10</v>
      </c>
      <c r="L124" s="8"/>
    </row>
    <row r="125" customFormat="false" ht="26.85" hidden="false" customHeight="false" outlineLevel="0" collapsed="false">
      <c r="A125" s="4" t="s">
        <v>7768</v>
      </c>
      <c r="B125" s="8" t="s">
        <v>7769</v>
      </c>
      <c r="C125" s="8"/>
      <c r="D125" s="8" t="s">
        <v>72</v>
      </c>
      <c r="E125" s="8" t="s">
        <v>4025</v>
      </c>
      <c r="F125" s="8"/>
      <c r="G125" s="8"/>
      <c r="H125" s="8"/>
      <c r="I125" s="8" t="s">
        <v>62</v>
      </c>
      <c r="J125" s="8" t="s">
        <v>63</v>
      </c>
      <c r="K125" s="4" t="n">
        <v>10</v>
      </c>
      <c r="L125" s="8"/>
    </row>
    <row r="126" customFormat="false" ht="26.85" hidden="false" customHeight="false" outlineLevel="0" collapsed="false">
      <c r="A126" s="4" t="s">
        <v>7770</v>
      </c>
      <c r="B126" s="8" t="s">
        <v>7771</v>
      </c>
      <c r="C126" s="8"/>
      <c r="D126" s="8" t="s">
        <v>72</v>
      </c>
      <c r="E126" s="8" t="s">
        <v>4025</v>
      </c>
      <c r="F126" s="8"/>
      <c r="G126" s="8"/>
      <c r="H126" s="8"/>
      <c r="I126" s="8" t="s">
        <v>62</v>
      </c>
      <c r="J126" s="8" t="s">
        <v>63</v>
      </c>
      <c r="K126" s="4" t="n">
        <v>10</v>
      </c>
      <c r="L126" s="8"/>
    </row>
    <row r="127" customFormat="false" ht="26.85" hidden="false" customHeight="false" outlineLevel="0" collapsed="false">
      <c r="A127" s="4" t="s">
        <v>7772</v>
      </c>
      <c r="B127" s="8" t="s">
        <v>7773</v>
      </c>
      <c r="C127" s="8"/>
      <c r="D127" s="8" t="s">
        <v>72</v>
      </c>
      <c r="E127" s="8" t="s">
        <v>4025</v>
      </c>
      <c r="F127" s="8"/>
      <c r="G127" s="8"/>
      <c r="H127" s="8"/>
      <c r="I127" s="8" t="s">
        <v>62</v>
      </c>
      <c r="J127" s="8" t="s">
        <v>63</v>
      </c>
      <c r="K127" s="4" t="n">
        <v>10</v>
      </c>
      <c r="L127" s="8"/>
    </row>
    <row r="128" customFormat="false" ht="26.85" hidden="false" customHeight="false" outlineLevel="0" collapsed="false">
      <c r="A128" s="4" t="s">
        <v>7774</v>
      </c>
      <c r="B128" s="8" t="s">
        <v>7775</v>
      </c>
      <c r="C128" s="8"/>
      <c r="D128" s="8" t="s">
        <v>72</v>
      </c>
      <c r="E128" s="8" t="s">
        <v>4025</v>
      </c>
      <c r="F128" s="8"/>
      <c r="G128" s="8"/>
      <c r="H128" s="8"/>
      <c r="I128" s="8" t="s">
        <v>62</v>
      </c>
      <c r="J128" s="8" t="s">
        <v>63</v>
      </c>
      <c r="K128" s="4" t="n">
        <v>10</v>
      </c>
      <c r="L128" s="8"/>
    </row>
    <row r="129" customFormat="false" ht="26.85" hidden="false" customHeight="false" outlineLevel="0" collapsed="false">
      <c r="A129" s="4" t="s">
        <v>7776</v>
      </c>
      <c r="B129" s="8" t="s">
        <v>7777</v>
      </c>
      <c r="C129" s="8"/>
      <c r="D129" s="8" t="s">
        <v>72</v>
      </c>
      <c r="E129" s="8" t="s">
        <v>4025</v>
      </c>
      <c r="F129" s="8"/>
      <c r="G129" s="8"/>
      <c r="H129" s="8"/>
      <c r="I129" s="8" t="s">
        <v>62</v>
      </c>
      <c r="J129" s="8" t="s">
        <v>63</v>
      </c>
      <c r="K129" s="4" t="n">
        <v>10</v>
      </c>
      <c r="L129" s="8"/>
    </row>
    <row r="130" customFormat="false" ht="26.85" hidden="false" customHeight="false" outlineLevel="0" collapsed="false">
      <c r="A130" s="4" t="s">
        <v>7778</v>
      </c>
      <c r="B130" s="8" t="s">
        <v>7779</v>
      </c>
      <c r="C130" s="8"/>
      <c r="D130" s="8" t="s">
        <v>72</v>
      </c>
      <c r="E130" s="8" t="s">
        <v>4025</v>
      </c>
      <c r="F130" s="8"/>
      <c r="G130" s="8"/>
      <c r="H130" s="8"/>
      <c r="I130" s="8" t="s">
        <v>62</v>
      </c>
      <c r="J130" s="8" t="s">
        <v>63</v>
      </c>
      <c r="K130" s="4" t="n">
        <v>10</v>
      </c>
      <c r="L130" s="8"/>
    </row>
    <row r="131" customFormat="false" ht="26.85" hidden="false" customHeight="false" outlineLevel="0" collapsed="false">
      <c r="A131" s="4" t="s">
        <v>7780</v>
      </c>
      <c r="B131" s="8" t="s">
        <v>7781</v>
      </c>
      <c r="C131" s="8"/>
      <c r="D131" s="8" t="s">
        <v>72</v>
      </c>
      <c r="E131" s="8" t="s">
        <v>4025</v>
      </c>
      <c r="F131" s="8"/>
      <c r="G131" s="8"/>
      <c r="H131" s="8"/>
      <c r="I131" s="8" t="s">
        <v>62</v>
      </c>
      <c r="J131" s="8" t="s">
        <v>63</v>
      </c>
      <c r="K131" s="4" t="n">
        <v>10</v>
      </c>
      <c r="L131" s="8"/>
    </row>
    <row r="132" customFormat="false" ht="26.85" hidden="false" customHeight="false" outlineLevel="0" collapsed="false">
      <c r="A132" s="4" t="s">
        <v>7782</v>
      </c>
      <c r="B132" s="8" t="s">
        <v>7783</v>
      </c>
      <c r="C132" s="8"/>
      <c r="D132" s="8" t="s">
        <v>72</v>
      </c>
      <c r="E132" s="8" t="s">
        <v>4025</v>
      </c>
      <c r="F132" s="8"/>
      <c r="G132" s="8"/>
      <c r="H132" s="8"/>
      <c r="I132" s="8" t="s">
        <v>62</v>
      </c>
      <c r="J132" s="8" t="s">
        <v>63</v>
      </c>
      <c r="K132" s="4" t="n">
        <v>10</v>
      </c>
      <c r="L132" s="8"/>
    </row>
    <row r="133" customFormat="false" ht="26.85" hidden="false" customHeight="false" outlineLevel="0" collapsed="false">
      <c r="A133" s="4" t="s">
        <v>7784</v>
      </c>
      <c r="B133" s="8" t="s">
        <v>7785</v>
      </c>
      <c r="C133" s="8"/>
      <c r="D133" s="8" t="s">
        <v>72</v>
      </c>
      <c r="E133" s="8" t="s">
        <v>4025</v>
      </c>
      <c r="F133" s="8"/>
      <c r="G133" s="8"/>
      <c r="H133" s="8"/>
      <c r="I133" s="8" t="s">
        <v>62</v>
      </c>
      <c r="J133" s="8" t="s">
        <v>63</v>
      </c>
      <c r="K133" s="4" t="n">
        <v>10</v>
      </c>
      <c r="L133" s="8"/>
    </row>
    <row r="134" customFormat="false" ht="26.85" hidden="false" customHeight="false" outlineLevel="0" collapsed="false">
      <c r="A134" s="4" t="s">
        <v>7786</v>
      </c>
      <c r="B134" s="8" t="s">
        <v>7787</v>
      </c>
      <c r="C134" s="8"/>
      <c r="D134" s="8" t="s">
        <v>72</v>
      </c>
      <c r="E134" s="8" t="s">
        <v>4025</v>
      </c>
      <c r="F134" s="8"/>
      <c r="G134" s="8"/>
      <c r="H134" s="8"/>
      <c r="I134" s="8" t="s">
        <v>62</v>
      </c>
      <c r="J134" s="8" t="s">
        <v>63</v>
      </c>
      <c r="K134" s="4" t="n">
        <v>10</v>
      </c>
      <c r="L134" s="8"/>
    </row>
    <row r="135" customFormat="false" ht="26.85" hidden="false" customHeight="false" outlineLevel="0" collapsed="false">
      <c r="A135" s="4" t="s">
        <v>7788</v>
      </c>
      <c r="B135" s="8" t="s">
        <v>7789</v>
      </c>
      <c r="C135" s="8"/>
      <c r="D135" s="8" t="s">
        <v>72</v>
      </c>
      <c r="E135" s="8" t="s">
        <v>4025</v>
      </c>
      <c r="F135" s="8"/>
      <c r="G135" s="8"/>
      <c r="H135" s="8"/>
      <c r="I135" s="8" t="s">
        <v>62</v>
      </c>
      <c r="J135" s="8" t="s">
        <v>63</v>
      </c>
      <c r="K135" s="4" t="n">
        <v>10</v>
      </c>
      <c r="L135" s="8"/>
    </row>
    <row r="136" customFormat="false" ht="26.85" hidden="false" customHeight="false" outlineLevel="0" collapsed="false">
      <c r="A136" s="4" t="s">
        <v>7790</v>
      </c>
      <c r="B136" s="8" t="s">
        <v>7791</v>
      </c>
      <c r="C136" s="8"/>
      <c r="D136" s="8" t="s">
        <v>72</v>
      </c>
      <c r="E136" s="8" t="s">
        <v>7792</v>
      </c>
      <c r="F136" s="8"/>
      <c r="G136" s="8"/>
      <c r="H136" s="8"/>
      <c r="I136" s="8" t="s">
        <v>62</v>
      </c>
      <c r="J136" s="8" t="s">
        <v>63</v>
      </c>
      <c r="K136" s="4" t="n">
        <v>10</v>
      </c>
      <c r="L136" s="8"/>
    </row>
    <row r="137" customFormat="false" ht="26.85" hidden="false" customHeight="false" outlineLevel="0" collapsed="false">
      <c r="A137" s="4" t="s">
        <v>7793</v>
      </c>
      <c r="B137" s="8" t="s">
        <v>7794</v>
      </c>
      <c r="C137" s="8"/>
      <c r="D137" s="8" t="s">
        <v>72</v>
      </c>
      <c r="E137" s="8" t="s">
        <v>7792</v>
      </c>
      <c r="F137" s="8"/>
      <c r="G137" s="8"/>
      <c r="H137" s="8"/>
      <c r="I137" s="8" t="s">
        <v>62</v>
      </c>
      <c r="J137" s="8" t="s">
        <v>63</v>
      </c>
      <c r="K137" s="4" t="n">
        <v>10</v>
      </c>
      <c r="L137" s="8"/>
    </row>
    <row r="138" customFormat="false" ht="26.85" hidden="false" customHeight="false" outlineLevel="0" collapsed="false">
      <c r="A138" s="4" t="s">
        <v>7795</v>
      </c>
      <c r="B138" s="8" t="s">
        <v>7796</v>
      </c>
      <c r="C138" s="8"/>
      <c r="D138" s="8" t="s">
        <v>72</v>
      </c>
      <c r="E138" s="8" t="s">
        <v>7792</v>
      </c>
      <c r="F138" s="8"/>
      <c r="G138" s="8"/>
      <c r="H138" s="8"/>
      <c r="I138" s="8" t="s">
        <v>62</v>
      </c>
      <c r="J138" s="8" t="s">
        <v>63</v>
      </c>
      <c r="K138" s="4" t="n">
        <v>10</v>
      </c>
      <c r="L138" s="8"/>
    </row>
    <row r="139" customFormat="false" ht="26.85" hidden="false" customHeight="false" outlineLevel="0" collapsed="false">
      <c r="A139" s="4" t="s">
        <v>7797</v>
      </c>
      <c r="B139" s="8" t="s">
        <v>7798</v>
      </c>
      <c r="C139" s="8"/>
      <c r="D139" s="8" t="s">
        <v>72</v>
      </c>
      <c r="E139" s="8" t="s">
        <v>7792</v>
      </c>
      <c r="F139" s="8"/>
      <c r="G139" s="8"/>
      <c r="H139" s="8"/>
      <c r="I139" s="8" t="s">
        <v>62</v>
      </c>
      <c r="J139" s="8" t="s">
        <v>63</v>
      </c>
      <c r="K139" s="4" t="n">
        <v>10</v>
      </c>
      <c r="L139" s="8"/>
    </row>
    <row r="140" customFormat="false" ht="26.85" hidden="false" customHeight="false" outlineLevel="0" collapsed="false">
      <c r="A140" s="4" t="s">
        <v>7799</v>
      </c>
      <c r="B140" s="8" t="s">
        <v>7800</v>
      </c>
      <c r="C140" s="8"/>
      <c r="D140" s="8" t="s">
        <v>72</v>
      </c>
      <c r="E140" s="8" t="s">
        <v>7792</v>
      </c>
      <c r="F140" s="8"/>
      <c r="G140" s="8"/>
      <c r="H140" s="8"/>
      <c r="I140" s="8" t="s">
        <v>62</v>
      </c>
      <c r="J140" s="8" t="s">
        <v>63</v>
      </c>
      <c r="K140" s="4" t="n">
        <v>10</v>
      </c>
      <c r="L140" s="8"/>
    </row>
    <row r="141" customFormat="false" ht="26.85" hidden="false" customHeight="false" outlineLevel="0" collapsed="false">
      <c r="A141" s="4" t="s">
        <v>7801</v>
      </c>
      <c r="B141" s="8" t="s">
        <v>7802</v>
      </c>
      <c r="C141" s="8"/>
      <c r="D141" s="8" t="s">
        <v>72</v>
      </c>
      <c r="E141" s="8" t="s">
        <v>7792</v>
      </c>
      <c r="F141" s="8"/>
      <c r="G141" s="8"/>
      <c r="H141" s="8"/>
      <c r="I141" s="8" t="s">
        <v>62</v>
      </c>
      <c r="J141" s="8" t="s">
        <v>63</v>
      </c>
      <c r="K141" s="4" t="n">
        <v>10</v>
      </c>
      <c r="L141" s="8"/>
    </row>
    <row r="142" customFormat="false" ht="26.85" hidden="false" customHeight="false" outlineLevel="0" collapsed="false">
      <c r="A142" s="4" t="s">
        <v>7803</v>
      </c>
      <c r="B142" s="8" t="s">
        <v>7804</v>
      </c>
      <c r="C142" s="8"/>
      <c r="D142" s="8" t="s">
        <v>72</v>
      </c>
      <c r="E142" s="8" t="s">
        <v>7792</v>
      </c>
      <c r="F142" s="8"/>
      <c r="G142" s="8"/>
      <c r="H142" s="8"/>
      <c r="I142" s="8" t="s">
        <v>62</v>
      </c>
      <c r="J142" s="8" t="s">
        <v>63</v>
      </c>
      <c r="K142" s="4" t="n">
        <v>10</v>
      </c>
      <c r="L142" s="8"/>
    </row>
    <row r="143" customFormat="false" ht="26.85" hidden="false" customHeight="false" outlineLevel="0" collapsed="false">
      <c r="A143" s="4" t="s">
        <v>7805</v>
      </c>
      <c r="B143" s="8" t="s">
        <v>7806</v>
      </c>
      <c r="C143" s="8"/>
      <c r="D143" s="8" t="s">
        <v>72</v>
      </c>
      <c r="E143" s="8" t="s">
        <v>7792</v>
      </c>
      <c r="F143" s="8"/>
      <c r="G143" s="8"/>
      <c r="H143" s="8"/>
      <c r="I143" s="8" t="s">
        <v>62</v>
      </c>
      <c r="J143" s="8" t="s">
        <v>63</v>
      </c>
      <c r="K143" s="4" t="n">
        <v>10</v>
      </c>
      <c r="L143" s="8"/>
    </row>
    <row r="144" customFormat="false" ht="26.85" hidden="false" customHeight="false" outlineLevel="0" collapsed="false">
      <c r="A144" s="4" t="s">
        <v>7807</v>
      </c>
      <c r="B144" s="8" t="s">
        <v>7808</v>
      </c>
      <c r="C144" s="8"/>
      <c r="D144" s="8" t="s">
        <v>72</v>
      </c>
      <c r="E144" s="8" t="s">
        <v>7792</v>
      </c>
      <c r="F144" s="8"/>
      <c r="G144" s="8"/>
      <c r="H144" s="8"/>
      <c r="I144" s="8" t="s">
        <v>62</v>
      </c>
      <c r="J144" s="8" t="s">
        <v>63</v>
      </c>
      <c r="K144" s="4" t="n">
        <v>10</v>
      </c>
      <c r="L144" s="8"/>
    </row>
    <row r="145" customFormat="false" ht="26.85" hidden="false" customHeight="false" outlineLevel="0" collapsed="false">
      <c r="A145" s="4" t="s">
        <v>7809</v>
      </c>
      <c r="B145" s="8" t="s">
        <v>7810</v>
      </c>
      <c r="C145" s="8"/>
      <c r="D145" s="8" t="s">
        <v>72</v>
      </c>
      <c r="E145" s="8" t="s">
        <v>7792</v>
      </c>
      <c r="F145" s="8"/>
      <c r="G145" s="8"/>
      <c r="H145" s="8"/>
      <c r="I145" s="8" t="s">
        <v>62</v>
      </c>
      <c r="J145" s="8" t="s">
        <v>63</v>
      </c>
      <c r="K145" s="4" t="n">
        <v>10</v>
      </c>
      <c r="L145" s="8"/>
    </row>
    <row r="146" customFormat="false" ht="26.85" hidden="false" customHeight="false" outlineLevel="0" collapsed="false">
      <c r="A146" s="4" t="s">
        <v>7811</v>
      </c>
      <c r="B146" s="8" t="s">
        <v>7812</v>
      </c>
      <c r="C146" s="8"/>
      <c r="D146" s="8" t="s">
        <v>72</v>
      </c>
      <c r="E146" s="8" t="s">
        <v>7792</v>
      </c>
      <c r="F146" s="8"/>
      <c r="G146" s="8"/>
      <c r="H146" s="8"/>
      <c r="I146" s="8" t="s">
        <v>62</v>
      </c>
      <c r="J146" s="8" t="s">
        <v>63</v>
      </c>
      <c r="K146" s="4" t="n">
        <v>10</v>
      </c>
      <c r="L146" s="8"/>
    </row>
    <row r="147" customFormat="false" ht="26.85" hidden="false" customHeight="false" outlineLevel="0" collapsed="false">
      <c r="A147" s="4" t="s">
        <v>7813</v>
      </c>
      <c r="B147" s="8" t="s">
        <v>7814</v>
      </c>
      <c r="C147" s="8"/>
      <c r="D147" s="8" t="s">
        <v>72</v>
      </c>
      <c r="E147" s="8" t="s">
        <v>7792</v>
      </c>
      <c r="F147" s="8"/>
      <c r="G147" s="8"/>
      <c r="H147" s="8"/>
      <c r="I147" s="8" t="s">
        <v>62</v>
      </c>
      <c r="J147" s="8" t="s">
        <v>63</v>
      </c>
      <c r="K147" s="4" t="n">
        <v>10</v>
      </c>
      <c r="L147" s="8"/>
    </row>
    <row r="148" customFormat="false" ht="26.85" hidden="false" customHeight="false" outlineLevel="0" collapsed="false">
      <c r="A148" s="4" t="s">
        <v>7815</v>
      </c>
      <c r="B148" s="8" t="s">
        <v>7816</v>
      </c>
      <c r="C148" s="8"/>
      <c r="D148" s="8" t="s">
        <v>72</v>
      </c>
      <c r="E148" s="8" t="s">
        <v>7792</v>
      </c>
      <c r="F148" s="8"/>
      <c r="G148" s="8"/>
      <c r="H148" s="8"/>
      <c r="I148" s="8" t="s">
        <v>62</v>
      </c>
      <c r="J148" s="8" t="s">
        <v>63</v>
      </c>
      <c r="K148" s="4" t="n">
        <v>10</v>
      </c>
      <c r="L148" s="8"/>
    </row>
    <row r="149" customFormat="false" ht="26.85" hidden="false" customHeight="false" outlineLevel="0" collapsed="false">
      <c r="A149" s="4" t="s">
        <v>7817</v>
      </c>
      <c r="B149" s="8" t="s">
        <v>7818</v>
      </c>
      <c r="C149" s="8"/>
      <c r="D149" s="8" t="s">
        <v>72</v>
      </c>
      <c r="E149" s="8" t="s">
        <v>7792</v>
      </c>
      <c r="F149" s="8"/>
      <c r="G149" s="8"/>
      <c r="H149" s="8"/>
      <c r="I149" s="8" t="s">
        <v>62</v>
      </c>
      <c r="J149" s="8" t="s">
        <v>63</v>
      </c>
      <c r="K149" s="4" t="n">
        <v>10</v>
      </c>
      <c r="L149" s="8"/>
    </row>
    <row r="150" customFormat="false" ht="26.85" hidden="false" customHeight="false" outlineLevel="0" collapsed="false">
      <c r="A150" s="4" t="s">
        <v>7819</v>
      </c>
      <c r="B150" s="8" t="s">
        <v>7820</v>
      </c>
      <c r="C150" s="8"/>
      <c r="D150" s="8" t="s">
        <v>72</v>
      </c>
      <c r="E150" s="8" t="s">
        <v>7792</v>
      </c>
      <c r="F150" s="8"/>
      <c r="G150" s="8"/>
      <c r="H150" s="8"/>
      <c r="I150" s="8" t="s">
        <v>62</v>
      </c>
      <c r="J150" s="8" t="s">
        <v>63</v>
      </c>
      <c r="K150" s="4" t="n">
        <v>10</v>
      </c>
      <c r="L150" s="8"/>
    </row>
    <row r="151" customFormat="false" ht="26.85" hidden="false" customHeight="false" outlineLevel="0" collapsed="false">
      <c r="A151" s="4" t="s">
        <v>7821</v>
      </c>
      <c r="B151" s="8" t="s">
        <v>7822</v>
      </c>
      <c r="C151" s="8"/>
      <c r="D151" s="8" t="s">
        <v>72</v>
      </c>
      <c r="E151" s="8" t="s">
        <v>7792</v>
      </c>
      <c r="F151" s="8"/>
      <c r="G151" s="8"/>
      <c r="H151" s="8"/>
      <c r="I151" s="8" t="s">
        <v>62</v>
      </c>
      <c r="J151" s="8" t="s">
        <v>63</v>
      </c>
      <c r="K151" s="4" t="n">
        <v>10</v>
      </c>
      <c r="L151" s="8"/>
    </row>
    <row r="152" customFormat="false" ht="26.85" hidden="false" customHeight="false" outlineLevel="0" collapsed="false">
      <c r="A152" s="4" t="s">
        <v>7823</v>
      </c>
      <c r="B152" s="8" t="s">
        <v>7824</v>
      </c>
      <c r="C152" s="8"/>
      <c r="D152" s="8" t="s">
        <v>72</v>
      </c>
      <c r="E152" s="8" t="s">
        <v>7792</v>
      </c>
      <c r="F152" s="8"/>
      <c r="G152" s="8"/>
      <c r="H152" s="8"/>
      <c r="I152" s="8" t="s">
        <v>62</v>
      </c>
      <c r="J152" s="8" t="s">
        <v>63</v>
      </c>
      <c r="K152" s="4" t="n">
        <v>10</v>
      </c>
      <c r="L152" s="8"/>
    </row>
    <row r="153" customFormat="false" ht="26.85" hidden="false" customHeight="false" outlineLevel="0" collapsed="false">
      <c r="A153" s="4" t="s">
        <v>7825</v>
      </c>
      <c r="B153" s="8" t="s">
        <v>7826</v>
      </c>
      <c r="C153" s="8"/>
      <c r="D153" s="8" t="s">
        <v>72</v>
      </c>
      <c r="E153" s="8" t="s">
        <v>7792</v>
      </c>
      <c r="F153" s="8"/>
      <c r="G153" s="8"/>
      <c r="H153" s="8"/>
      <c r="I153" s="8" t="s">
        <v>62</v>
      </c>
      <c r="J153" s="8" t="s">
        <v>63</v>
      </c>
      <c r="K153" s="4" t="n">
        <v>10</v>
      </c>
      <c r="L153" s="8"/>
    </row>
    <row r="154" customFormat="false" ht="26.85" hidden="false" customHeight="false" outlineLevel="0" collapsed="false">
      <c r="A154" s="4" t="s">
        <v>7827</v>
      </c>
      <c r="B154" s="8" t="s">
        <v>7828</v>
      </c>
      <c r="C154" s="8"/>
      <c r="D154" s="8" t="s">
        <v>72</v>
      </c>
      <c r="E154" s="8" t="s">
        <v>7792</v>
      </c>
      <c r="F154" s="8"/>
      <c r="G154" s="8"/>
      <c r="H154" s="8"/>
      <c r="I154" s="8" t="s">
        <v>62</v>
      </c>
      <c r="J154" s="8" t="s">
        <v>63</v>
      </c>
      <c r="K154" s="4" t="n">
        <v>10</v>
      </c>
      <c r="L154" s="8"/>
    </row>
    <row r="155" customFormat="false" ht="26.85" hidden="false" customHeight="false" outlineLevel="0" collapsed="false">
      <c r="A155" s="4" t="s">
        <v>7829</v>
      </c>
      <c r="B155" s="8" t="s">
        <v>7830</v>
      </c>
      <c r="C155" s="8"/>
      <c r="D155" s="8" t="s">
        <v>72</v>
      </c>
      <c r="E155" s="8" t="s">
        <v>7792</v>
      </c>
      <c r="F155" s="8"/>
      <c r="G155" s="8"/>
      <c r="H155" s="8"/>
      <c r="I155" s="8" t="s">
        <v>62</v>
      </c>
      <c r="J155" s="8" t="s">
        <v>63</v>
      </c>
      <c r="K155" s="4" t="n">
        <v>10</v>
      </c>
      <c r="L155" s="8"/>
    </row>
    <row r="156" customFormat="false" ht="26.85" hidden="false" customHeight="false" outlineLevel="0" collapsed="false">
      <c r="A156" s="4" t="s">
        <v>7831</v>
      </c>
      <c r="B156" s="8" t="s">
        <v>7832</v>
      </c>
      <c r="C156" s="8"/>
      <c r="D156" s="8" t="s">
        <v>72</v>
      </c>
      <c r="E156" s="8" t="s">
        <v>7792</v>
      </c>
      <c r="F156" s="8"/>
      <c r="G156" s="8"/>
      <c r="H156" s="8"/>
      <c r="I156" s="8" t="s">
        <v>62</v>
      </c>
      <c r="J156" s="8" t="s">
        <v>63</v>
      </c>
      <c r="K156" s="4" t="n">
        <v>10</v>
      </c>
      <c r="L156" s="8"/>
    </row>
    <row r="157" customFormat="false" ht="39.55" hidden="false" customHeight="false" outlineLevel="0" collapsed="false">
      <c r="A157" s="4" t="s">
        <v>7833</v>
      </c>
      <c r="B157" s="8" t="s">
        <v>7834</v>
      </c>
      <c r="C157" s="8"/>
      <c r="D157" s="8" t="s">
        <v>72</v>
      </c>
      <c r="E157" s="8" t="s">
        <v>7792</v>
      </c>
      <c r="F157" s="8"/>
      <c r="G157" s="8"/>
      <c r="H157" s="8"/>
      <c r="I157" s="8" t="s">
        <v>62</v>
      </c>
      <c r="J157" s="8" t="s">
        <v>63</v>
      </c>
      <c r="K157" s="4" t="n">
        <v>10</v>
      </c>
      <c r="L157" s="8"/>
    </row>
    <row r="158" customFormat="false" ht="26.85" hidden="false" customHeight="false" outlineLevel="0" collapsed="false">
      <c r="A158" s="4" t="s">
        <v>7835</v>
      </c>
      <c r="B158" s="8" t="s">
        <v>7836</v>
      </c>
      <c r="C158" s="8"/>
      <c r="D158" s="8" t="s">
        <v>72</v>
      </c>
      <c r="E158" s="8" t="s">
        <v>7792</v>
      </c>
      <c r="F158" s="8"/>
      <c r="G158" s="8"/>
      <c r="H158" s="8"/>
      <c r="I158" s="8" t="s">
        <v>62</v>
      </c>
      <c r="J158" s="8" t="s">
        <v>63</v>
      </c>
      <c r="K158" s="4" t="n">
        <v>10</v>
      </c>
      <c r="L158" s="8"/>
    </row>
    <row r="159" customFormat="false" ht="26.85" hidden="false" customHeight="false" outlineLevel="0" collapsed="false">
      <c r="A159" s="4" t="s">
        <v>7837</v>
      </c>
      <c r="B159" s="8" t="s">
        <v>7838</v>
      </c>
      <c r="C159" s="8"/>
      <c r="D159" s="8" t="s">
        <v>72</v>
      </c>
      <c r="E159" s="8" t="s">
        <v>4982</v>
      </c>
      <c r="F159" s="8"/>
      <c r="G159" s="8"/>
      <c r="H159" s="8"/>
      <c r="I159" s="8" t="s">
        <v>62</v>
      </c>
      <c r="J159" s="8" t="s">
        <v>63</v>
      </c>
      <c r="K159" s="4" t="n">
        <v>11</v>
      </c>
      <c r="L159" s="8"/>
    </row>
    <row r="160" customFormat="false" ht="26.85" hidden="false" customHeight="false" outlineLevel="0" collapsed="false">
      <c r="A160" s="4" t="s">
        <v>7839</v>
      </c>
      <c r="B160" s="8" t="s">
        <v>7840</v>
      </c>
      <c r="C160" s="8"/>
      <c r="D160" s="8" t="s">
        <v>72</v>
      </c>
      <c r="E160" s="8" t="s">
        <v>4982</v>
      </c>
      <c r="F160" s="8"/>
      <c r="G160" s="8"/>
      <c r="H160" s="8"/>
      <c r="I160" s="8" t="s">
        <v>62</v>
      </c>
      <c r="J160" s="8" t="s">
        <v>63</v>
      </c>
      <c r="K160" s="4" t="n">
        <v>11</v>
      </c>
      <c r="L160" s="8"/>
    </row>
    <row r="161" customFormat="false" ht="26.85" hidden="false" customHeight="false" outlineLevel="0" collapsed="false">
      <c r="A161" s="4" t="s">
        <v>7841</v>
      </c>
      <c r="B161" s="8" t="s">
        <v>7842</v>
      </c>
      <c r="C161" s="8"/>
      <c r="D161" s="8" t="s">
        <v>72</v>
      </c>
      <c r="E161" s="8" t="s">
        <v>4982</v>
      </c>
      <c r="F161" s="8"/>
      <c r="G161" s="8"/>
      <c r="H161" s="8"/>
      <c r="I161" s="8" t="s">
        <v>62</v>
      </c>
      <c r="J161" s="8" t="s">
        <v>63</v>
      </c>
      <c r="K161" s="4" t="n">
        <v>11</v>
      </c>
      <c r="L161" s="8"/>
    </row>
    <row r="162" customFormat="false" ht="26.85" hidden="false" customHeight="false" outlineLevel="0" collapsed="false">
      <c r="A162" s="4" t="s">
        <v>7843</v>
      </c>
      <c r="B162" s="8" t="s">
        <v>7844</v>
      </c>
      <c r="C162" s="8"/>
      <c r="D162" s="8" t="s">
        <v>72</v>
      </c>
      <c r="E162" s="8" t="s">
        <v>4982</v>
      </c>
      <c r="F162" s="8"/>
      <c r="G162" s="8"/>
      <c r="H162" s="8"/>
      <c r="I162" s="8" t="s">
        <v>62</v>
      </c>
      <c r="J162" s="8" t="s">
        <v>63</v>
      </c>
      <c r="K162" s="4" t="n">
        <v>11</v>
      </c>
      <c r="L162" s="8"/>
    </row>
    <row r="163" customFormat="false" ht="26.85" hidden="false" customHeight="false" outlineLevel="0" collapsed="false">
      <c r="A163" s="4" t="s">
        <v>7845</v>
      </c>
      <c r="B163" s="8" t="s">
        <v>7846</v>
      </c>
      <c r="C163" s="8"/>
      <c r="D163" s="8" t="s">
        <v>72</v>
      </c>
      <c r="E163" s="8" t="s">
        <v>4982</v>
      </c>
      <c r="F163" s="8"/>
      <c r="G163" s="8"/>
      <c r="H163" s="8"/>
      <c r="I163" s="8" t="s">
        <v>62</v>
      </c>
      <c r="J163" s="8" t="s">
        <v>63</v>
      </c>
      <c r="K163" s="4" t="n">
        <v>11</v>
      </c>
      <c r="L163" s="8"/>
    </row>
    <row r="164" customFormat="false" ht="26.85" hidden="false" customHeight="false" outlineLevel="0" collapsed="false">
      <c r="A164" s="4" t="s">
        <v>7847</v>
      </c>
      <c r="B164" s="8" t="s">
        <v>7848</v>
      </c>
      <c r="C164" s="8"/>
      <c r="D164" s="8" t="s">
        <v>72</v>
      </c>
      <c r="E164" s="8" t="s">
        <v>4982</v>
      </c>
      <c r="F164" s="8"/>
      <c r="G164" s="8"/>
      <c r="H164" s="8"/>
      <c r="I164" s="8" t="s">
        <v>62</v>
      </c>
      <c r="J164" s="8" t="s">
        <v>63</v>
      </c>
      <c r="K164" s="4" t="n">
        <v>11</v>
      </c>
      <c r="L164" s="8"/>
    </row>
    <row r="165" customFormat="false" ht="26.85" hidden="false" customHeight="false" outlineLevel="0" collapsed="false">
      <c r="A165" s="4" t="s">
        <v>7849</v>
      </c>
      <c r="B165" s="8" t="s">
        <v>7850</v>
      </c>
      <c r="C165" s="8"/>
      <c r="D165" s="8" t="s">
        <v>72</v>
      </c>
      <c r="E165" s="8" t="s">
        <v>4982</v>
      </c>
      <c r="F165" s="8"/>
      <c r="G165" s="8"/>
      <c r="H165" s="8"/>
      <c r="I165" s="8" t="s">
        <v>62</v>
      </c>
      <c r="J165" s="8" t="s">
        <v>63</v>
      </c>
      <c r="K165" s="4" t="n">
        <v>11</v>
      </c>
      <c r="L165" s="8"/>
    </row>
    <row r="166" customFormat="false" ht="26.85" hidden="false" customHeight="false" outlineLevel="0" collapsed="false">
      <c r="A166" s="4" t="s">
        <v>7851</v>
      </c>
      <c r="B166" s="8" t="s">
        <v>7852</v>
      </c>
      <c r="C166" s="8"/>
      <c r="D166" s="8" t="s">
        <v>72</v>
      </c>
      <c r="E166" s="8" t="s">
        <v>4982</v>
      </c>
      <c r="F166" s="8"/>
      <c r="G166" s="8"/>
      <c r="H166" s="8"/>
      <c r="I166" s="8" t="s">
        <v>62</v>
      </c>
      <c r="J166" s="8" t="s">
        <v>63</v>
      </c>
      <c r="K166" s="4" t="n">
        <v>11</v>
      </c>
      <c r="L166" s="8"/>
    </row>
    <row r="167" customFormat="false" ht="26.85" hidden="false" customHeight="false" outlineLevel="0" collapsed="false">
      <c r="A167" s="4" t="s">
        <v>7853</v>
      </c>
      <c r="B167" s="8" t="s">
        <v>7854</v>
      </c>
      <c r="C167" s="8"/>
      <c r="D167" s="8" t="s">
        <v>72</v>
      </c>
      <c r="E167" s="8" t="s">
        <v>4982</v>
      </c>
      <c r="F167" s="8"/>
      <c r="G167" s="8"/>
      <c r="H167" s="8"/>
      <c r="I167" s="8" t="s">
        <v>62</v>
      </c>
      <c r="J167" s="8" t="s">
        <v>63</v>
      </c>
      <c r="K167" s="4" t="n">
        <v>11</v>
      </c>
      <c r="L167" s="8"/>
    </row>
    <row r="168" customFormat="false" ht="26.85" hidden="false" customHeight="false" outlineLevel="0" collapsed="false">
      <c r="A168" s="4" t="s">
        <v>7855</v>
      </c>
      <c r="B168" s="8" t="s">
        <v>7856</v>
      </c>
      <c r="C168" s="8"/>
      <c r="D168" s="8" t="s">
        <v>72</v>
      </c>
      <c r="E168" s="8" t="s">
        <v>4982</v>
      </c>
      <c r="F168" s="8"/>
      <c r="G168" s="8"/>
      <c r="H168" s="8"/>
      <c r="I168" s="8" t="s">
        <v>62</v>
      </c>
      <c r="J168" s="8" t="s">
        <v>63</v>
      </c>
      <c r="K168" s="4" t="n">
        <v>11</v>
      </c>
      <c r="L168" s="8"/>
    </row>
    <row r="169" customFormat="false" ht="26.85" hidden="false" customHeight="false" outlineLevel="0" collapsed="false">
      <c r="A169" s="4" t="s">
        <v>7857</v>
      </c>
      <c r="B169" s="8" t="s">
        <v>7858</v>
      </c>
      <c r="C169" s="8"/>
      <c r="D169" s="8" t="s">
        <v>72</v>
      </c>
      <c r="E169" s="8" t="s">
        <v>4982</v>
      </c>
      <c r="F169" s="8"/>
      <c r="G169" s="8"/>
      <c r="H169" s="8"/>
      <c r="I169" s="8" t="s">
        <v>62</v>
      </c>
      <c r="J169" s="8" t="s">
        <v>63</v>
      </c>
      <c r="K169" s="4" t="n">
        <v>11</v>
      </c>
      <c r="L169" s="8"/>
    </row>
    <row r="170" customFormat="false" ht="26.85" hidden="false" customHeight="false" outlineLevel="0" collapsed="false">
      <c r="A170" s="4" t="s">
        <v>7859</v>
      </c>
      <c r="B170" s="8" t="s">
        <v>7860</v>
      </c>
      <c r="C170" s="8"/>
      <c r="D170" s="8" t="s">
        <v>72</v>
      </c>
      <c r="E170" s="8" t="s">
        <v>4982</v>
      </c>
      <c r="F170" s="8"/>
      <c r="G170" s="8"/>
      <c r="H170" s="8"/>
      <c r="I170" s="8" t="s">
        <v>62</v>
      </c>
      <c r="J170" s="8" t="s">
        <v>63</v>
      </c>
      <c r="K170" s="4" t="n">
        <v>11</v>
      </c>
      <c r="L170" s="8"/>
    </row>
    <row r="171" customFormat="false" ht="26.85" hidden="false" customHeight="false" outlineLevel="0" collapsed="false">
      <c r="A171" s="4" t="s">
        <v>7861</v>
      </c>
      <c r="B171" s="8" t="s">
        <v>7862</v>
      </c>
      <c r="C171" s="8"/>
      <c r="D171" s="8" t="s">
        <v>72</v>
      </c>
      <c r="E171" s="8" t="s">
        <v>4982</v>
      </c>
      <c r="F171" s="8"/>
      <c r="G171" s="8"/>
      <c r="H171" s="8"/>
      <c r="I171" s="8" t="s">
        <v>62</v>
      </c>
      <c r="J171" s="8" t="s">
        <v>63</v>
      </c>
      <c r="K171" s="4" t="n">
        <v>11</v>
      </c>
      <c r="L171" s="8"/>
    </row>
    <row r="172" customFormat="false" ht="26.85" hidden="false" customHeight="false" outlineLevel="0" collapsed="false">
      <c r="A172" s="4" t="s">
        <v>7863</v>
      </c>
      <c r="B172" s="8" t="s">
        <v>7864</v>
      </c>
      <c r="C172" s="8"/>
      <c r="D172" s="8" t="s">
        <v>72</v>
      </c>
      <c r="E172" s="8" t="s">
        <v>4982</v>
      </c>
      <c r="F172" s="8"/>
      <c r="G172" s="8"/>
      <c r="H172" s="8"/>
      <c r="I172" s="8" t="s">
        <v>62</v>
      </c>
      <c r="J172" s="8" t="s">
        <v>63</v>
      </c>
      <c r="K172" s="4" t="n">
        <v>11</v>
      </c>
      <c r="L172" s="8"/>
    </row>
    <row r="173" customFormat="false" ht="26.85" hidden="false" customHeight="false" outlineLevel="0" collapsed="false">
      <c r="A173" s="4" t="s">
        <v>7865</v>
      </c>
      <c r="B173" s="8" t="s">
        <v>7866</v>
      </c>
      <c r="C173" s="8"/>
      <c r="D173" s="8" t="s">
        <v>72</v>
      </c>
      <c r="E173" s="8" t="s">
        <v>4982</v>
      </c>
      <c r="F173" s="8"/>
      <c r="G173" s="8"/>
      <c r="H173" s="8"/>
      <c r="I173" s="8" t="s">
        <v>62</v>
      </c>
      <c r="J173" s="8" t="s">
        <v>63</v>
      </c>
      <c r="K173" s="4" t="n">
        <v>11</v>
      </c>
      <c r="L173" s="8"/>
    </row>
    <row r="174" customFormat="false" ht="26.85" hidden="false" customHeight="false" outlineLevel="0" collapsed="false">
      <c r="A174" s="4" t="s">
        <v>7867</v>
      </c>
      <c r="B174" s="8" t="s">
        <v>7868</v>
      </c>
      <c r="C174" s="8"/>
      <c r="D174" s="8" t="s">
        <v>72</v>
      </c>
      <c r="E174" s="8" t="s">
        <v>4982</v>
      </c>
      <c r="F174" s="8"/>
      <c r="G174" s="8"/>
      <c r="H174" s="8"/>
      <c r="I174" s="8" t="s">
        <v>62</v>
      </c>
      <c r="J174" s="8" t="s">
        <v>63</v>
      </c>
      <c r="K174" s="4" t="n">
        <v>11</v>
      </c>
      <c r="L174" s="8"/>
    </row>
    <row r="175" customFormat="false" ht="26.85" hidden="false" customHeight="false" outlineLevel="0" collapsed="false">
      <c r="A175" s="4" t="s">
        <v>7869</v>
      </c>
      <c r="B175" s="8" t="s">
        <v>7870</v>
      </c>
      <c r="C175" s="8"/>
      <c r="D175" s="8" t="s">
        <v>72</v>
      </c>
      <c r="E175" s="8" t="s">
        <v>4982</v>
      </c>
      <c r="F175" s="8"/>
      <c r="G175" s="8"/>
      <c r="H175" s="8"/>
      <c r="I175" s="8" t="s">
        <v>62</v>
      </c>
      <c r="J175" s="8" t="s">
        <v>63</v>
      </c>
      <c r="K175" s="4" t="n">
        <v>11</v>
      </c>
      <c r="L175" s="8"/>
    </row>
    <row r="176" customFormat="false" ht="26.85" hidden="false" customHeight="false" outlineLevel="0" collapsed="false">
      <c r="A176" s="4" t="s">
        <v>7871</v>
      </c>
      <c r="B176" s="8" t="s">
        <v>7872</v>
      </c>
      <c r="C176" s="8"/>
      <c r="D176" s="8" t="s">
        <v>72</v>
      </c>
      <c r="E176" s="8" t="s">
        <v>4982</v>
      </c>
      <c r="F176" s="8"/>
      <c r="G176" s="8"/>
      <c r="H176" s="8"/>
      <c r="I176" s="8" t="s">
        <v>62</v>
      </c>
      <c r="J176" s="8" t="s">
        <v>63</v>
      </c>
      <c r="K176" s="4" t="n">
        <v>11</v>
      </c>
      <c r="L176" s="8"/>
    </row>
    <row r="177" customFormat="false" ht="26.85" hidden="false" customHeight="false" outlineLevel="0" collapsed="false">
      <c r="A177" s="4" t="s">
        <v>7873</v>
      </c>
      <c r="B177" s="8" t="s">
        <v>7874</v>
      </c>
      <c r="C177" s="8"/>
      <c r="D177" s="8" t="s">
        <v>72</v>
      </c>
      <c r="E177" s="8" t="s">
        <v>4982</v>
      </c>
      <c r="F177" s="8"/>
      <c r="G177" s="8"/>
      <c r="H177" s="8"/>
      <c r="I177" s="8" t="s">
        <v>62</v>
      </c>
      <c r="J177" s="8" t="s">
        <v>63</v>
      </c>
      <c r="K177" s="4" t="n">
        <v>11</v>
      </c>
      <c r="L177" s="8"/>
    </row>
    <row r="178" customFormat="false" ht="26.85" hidden="false" customHeight="false" outlineLevel="0" collapsed="false">
      <c r="A178" s="4" t="s">
        <v>7875</v>
      </c>
      <c r="B178" s="8" t="s">
        <v>7876</v>
      </c>
      <c r="C178" s="8"/>
      <c r="D178" s="8" t="s">
        <v>72</v>
      </c>
      <c r="E178" s="8" t="s">
        <v>4982</v>
      </c>
      <c r="F178" s="8"/>
      <c r="G178" s="8"/>
      <c r="H178" s="8"/>
      <c r="I178" s="8" t="s">
        <v>62</v>
      </c>
      <c r="J178" s="8" t="s">
        <v>63</v>
      </c>
      <c r="K178" s="4" t="n">
        <v>11</v>
      </c>
      <c r="L178" s="8"/>
    </row>
    <row r="179" customFormat="false" ht="26.85" hidden="false" customHeight="false" outlineLevel="0" collapsed="false">
      <c r="A179" s="4" t="s">
        <v>7877</v>
      </c>
      <c r="B179" s="8" t="s">
        <v>7878</v>
      </c>
      <c r="C179" s="8"/>
      <c r="D179" s="8" t="s">
        <v>72</v>
      </c>
      <c r="E179" s="8" t="s">
        <v>4982</v>
      </c>
      <c r="F179" s="8"/>
      <c r="G179" s="8"/>
      <c r="H179" s="8"/>
      <c r="I179" s="8" t="s">
        <v>62</v>
      </c>
      <c r="J179" s="8" t="s">
        <v>63</v>
      </c>
      <c r="K179" s="4" t="n">
        <v>11</v>
      </c>
      <c r="L179" s="8"/>
    </row>
    <row r="180" customFormat="false" ht="26.85" hidden="false" customHeight="false" outlineLevel="0" collapsed="false">
      <c r="A180" s="4" t="s">
        <v>7879</v>
      </c>
      <c r="B180" s="8" t="s">
        <v>7880</v>
      </c>
      <c r="C180" s="8"/>
      <c r="D180" s="8" t="s">
        <v>72</v>
      </c>
      <c r="E180" s="8" t="s">
        <v>4982</v>
      </c>
      <c r="F180" s="8"/>
      <c r="G180" s="8"/>
      <c r="H180" s="8"/>
      <c r="I180" s="8" t="s">
        <v>62</v>
      </c>
      <c r="J180" s="8" t="s">
        <v>63</v>
      </c>
      <c r="K180" s="4" t="n">
        <v>11</v>
      </c>
      <c r="L180" s="8"/>
    </row>
    <row r="181" customFormat="false" ht="26.85" hidden="false" customHeight="false" outlineLevel="0" collapsed="false">
      <c r="A181" s="4" t="s">
        <v>7881</v>
      </c>
      <c r="B181" s="8" t="s">
        <v>7882</v>
      </c>
      <c r="C181" s="8"/>
      <c r="D181" s="8" t="s">
        <v>76</v>
      </c>
      <c r="E181" s="8" t="s">
        <v>7883</v>
      </c>
      <c r="F181" s="8"/>
      <c r="G181" s="8"/>
      <c r="H181" s="8"/>
      <c r="I181" s="8" t="s">
        <v>62</v>
      </c>
      <c r="J181" s="8" t="s">
        <v>63</v>
      </c>
      <c r="K181" s="4" t="n">
        <v>12</v>
      </c>
      <c r="L181" s="8"/>
    </row>
    <row r="182" customFormat="false" ht="26.85" hidden="false" customHeight="false" outlineLevel="0" collapsed="false">
      <c r="A182" s="4" t="s">
        <v>7884</v>
      </c>
      <c r="B182" s="8" t="s">
        <v>7885</v>
      </c>
      <c r="C182" s="8"/>
      <c r="D182" s="8" t="s">
        <v>76</v>
      </c>
      <c r="E182" s="8" t="s">
        <v>7883</v>
      </c>
      <c r="F182" s="8"/>
      <c r="G182" s="8"/>
      <c r="H182" s="8"/>
      <c r="I182" s="8" t="s">
        <v>62</v>
      </c>
      <c r="J182" s="8" t="s">
        <v>63</v>
      </c>
      <c r="K182" s="4" t="n">
        <v>12</v>
      </c>
      <c r="L182" s="8"/>
    </row>
    <row r="183" customFormat="false" ht="26.85" hidden="false" customHeight="false" outlineLevel="0" collapsed="false">
      <c r="A183" s="4" t="s">
        <v>7886</v>
      </c>
      <c r="B183" s="8" t="s">
        <v>7887</v>
      </c>
      <c r="C183" s="8"/>
      <c r="D183" s="8" t="s">
        <v>76</v>
      </c>
      <c r="E183" s="8" t="s">
        <v>7883</v>
      </c>
      <c r="F183" s="8"/>
      <c r="G183" s="8"/>
      <c r="H183" s="8"/>
      <c r="I183" s="8" t="s">
        <v>62</v>
      </c>
      <c r="J183" s="8" t="s">
        <v>63</v>
      </c>
      <c r="K183" s="4" t="n">
        <v>12</v>
      </c>
      <c r="L183" s="8"/>
    </row>
    <row r="184" customFormat="false" ht="26.85" hidden="false" customHeight="false" outlineLevel="0" collapsed="false">
      <c r="A184" s="4" t="s">
        <v>7888</v>
      </c>
      <c r="B184" s="8" t="s">
        <v>7889</v>
      </c>
      <c r="C184" s="8"/>
      <c r="D184" s="8" t="s">
        <v>76</v>
      </c>
      <c r="E184" s="8" t="s">
        <v>7883</v>
      </c>
      <c r="F184" s="8"/>
      <c r="G184" s="8"/>
      <c r="H184" s="8"/>
      <c r="I184" s="8" t="s">
        <v>62</v>
      </c>
      <c r="J184" s="8" t="s">
        <v>63</v>
      </c>
      <c r="K184" s="4" t="n">
        <v>12</v>
      </c>
      <c r="L184" s="8"/>
    </row>
    <row r="185" customFormat="false" ht="26.85" hidden="false" customHeight="false" outlineLevel="0" collapsed="false">
      <c r="A185" s="4" t="s">
        <v>7890</v>
      </c>
      <c r="B185" s="8" t="s">
        <v>7891</v>
      </c>
      <c r="C185" s="8"/>
      <c r="D185" s="8" t="s">
        <v>76</v>
      </c>
      <c r="E185" s="8" t="s">
        <v>7883</v>
      </c>
      <c r="F185" s="8"/>
      <c r="G185" s="8"/>
      <c r="H185" s="8"/>
      <c r="I185" s="8" t="s">
        <v>62</v>
      </c>
      <c r="J185" s="8" t="s">
        <v>63</v>
      </c>
      <c r="K185" s="4" t="n">
        <v>12</v>
      </c>
      <c r="L185" s="8"/>
    </row>
    <row r="186" customFormat="false" ht="26.85" hidden="false" customHeight="false" outlineLevel="0" collapsed="false">
      <c r="A186" s="4" t="s">
        <v>7892</v>
      </c>
      <c r="B186" s="8" t="s">
        <v>7893</v>
      </c>
      <c r="C186" s="8"/>
      <c r="D186" s="8" t="s">
        <v>76</v>
      </c>
      <c r="E186" s="8" t="s">
        <v>7883</v>
      </c>
      <c r="F186" s="8"/>
      <c r="G186" s="8"/>
      <c r="H186" s="8"/>
      <c r="I186" s="8" t="s">
        <v>62</v>
      </c>
      <c r="J186" s="8" t="s">
        <v>63</v>
      </c>
      <c r="K186" s="4" t="n">
        <v>12</v>
      </c>
      <c r="L186" s="8"/>
    </row>
    <row r="187" customFormat="false" ht="26.85" hidden="false" customHeight="false" outlineLevel="0" collapsed="false">
      <c r="A187" s="4" t="s">
        <v>7894</v>
      </c>
      <c r="B187" s="8" t="s">
        <v>7895</v>
      </c>
      <c r="C187" s="8"/>
      <c r="D187" s="8" t="s">
        <v>76</v>
      </c>
      <c r="E187" s="8" t="s">
        <v>7883</v>
      </c>
      <c r="F187" s="8"/>
      <c r="G187" s="8"/>
      <c r="H187" s="8"/>
      <c r="I187" s="8" t="s">
        <v>62</v>
      </c>
      <c r="J187" s="8" t="s">
        <v>63</v>
      </c>
      <c r="K187" s="4" t="n">
        <v>12</v>
      </c>
      <c r="L187" s="8"/>
    </row>
    <row r="188" customFormat="false" ht="26.85" hidden="false" customHeight="false" outlineLevel="0" collapsed="false">
      <c r="A188" s="4" t="s">
        <v>7896</v>
      </c>
      <c r="B188" s="8" t="s">
        <v>7897</v>
      </c>
      <c r="C188" s="8"/>
      <c r="D188" s="8" t="s">
        <v>76</v>
      </c>
      <c r="E188" s="8" t="s">
        <v>7883</v>
      </c>
      <c r="F188" s="8"/>
      <c r="G188" s="8"/>
      <c r="H188" s="8"/>
      <c r="I188" s="8" t="s">
        <v>62</v>
      </c>
      <c r="J188" s="8" t="s">
        <v>63</v>
      </c>
      <c r="K188" s="4" t="n">
        <v>12</v>
      </c>
      <c r="L188" s="8"/>
    </row>
    <row r="189" customFormat="false" ht="26.85" hidden="false" customHeight="false" outlineLevel="0" collapsed="false">
      <c r="A189" s="4" t="s">
        <v>7898</v>
      </c>
      <c r="B189" s="8" t="s">
        <v>7899</v>
      </c>
      <c r="C189" s="8"/>
      <c r="D189" s="8" t="s">
        <v>76</v>
      </c>
      <c r="E189" s="8" t="s">
        <v>7883</v>
      </c>
      <c r="F189" s="8"/>
      <c r="G189" s="8"/>
      <c r="H189" s="8"/>
      <c r="I189" s="8" t="s">
        <v>62</v>
      </c>
      <c r="J189" s="8" t="s">
        <v>63</v>
      </c>
      <c r="K189" s="4" t="n">
        <v>12</v>
      </c>
      <c r="L189" s="8"/>
    </row>
    <row r="190" customFormat="false" ht="26.85" hidden="false" customHeight="false" outlineLevel="0" collapsed="false">
      <c r="A190" s="4" t="s">
        <v>7900</v>
      </c>
      <c r="B190" s="8" t="s">
        <v>7901</v>
      </c>
      <c r="C190" s="8"/>
      <c r="D190" s="8" t="s">
        <v>76</v>
      </c>
      <c r="E190" s="8" t="s">
        <v>7883</v>
      </c>
      <c r="F190" s="8"/>
      <c r="G190" s="8"/>
      <c r="H190" s="8"/>
      <c r="I190" s="8" t="s">
        <v>62</v>
      </c>
      <c r="J190" s="8" t="s">
        <v>63</v>
      </c>
      <c r="K190" s="4" t="n">
        <v>12</v>
      </c>
      <c r="L190" s="8"/>
    </row>
    <row r="191" customFormat="false" ht="26.85" hidden="false" customHeight="false" outlineLevel="0" collapsed="false">
      <c r="A191" s="4" t="s">
        <v>7902</v>
      </c>
      <c r="B191" s="8" t="s">
        <v>7903</v>
      </c>
      <c r="C191" s="8"/>
      <c r="D191" s="8" t="s">
        <v>76</v>
      </c>
      <c r="E191" s="8" t="s">
        <v>7883</v>
      </c>
      <c r="F191" s="8"/>
      <c r="G191" s="8"/>
      <c r="H191" s="8"/>
      <c r="I191" s="8" t="s">
        <v>62</v>
      </c>
      <c r="J191" s="8" t="s">
        <v>63</v>
      </c>
      <c r="K191" s="4" t="n">
        <v>12</v>
      </c>
      <c r="L191" s="8"/>
    </row>
    <row r="192" customFormat="false" ht="26.85" hidden="false" customHeight="false" outlineLevel="0" collapsed="false">
      <c r="A192" s="4" t="s">
        <v>7904</v>
      </c>
      <c r="B192" s="8" t="s">
        <v>7530</v>
      </c>
      <c r="C192" s="8"/>
      <c r="D192" s="8" t="s">
        <v>76</v>
      </c>
      <c r="E192" s="8" t="s">
        <v>7883</v>
      </c>
      <c r="F192" s="8"/>
      <c r="G192" s="8"/>
      <c r="H192" s="8"/>
      <c r="I192" s="8" t="s">
        <v>62</v>
      </c>
      <c r="J192" s="8" t="s">
        <v>63</v>
      </c>
      <c r="K192" s="4" t="n">
        <v>12</v>
      </c>
      <c r="L192" s="8"/>
    </row>
    <row r="193" customFormat="false" ht="26.85" hidden="false" customHeight="false" outlineLevel="0" collapsed="false">
      <c r="A193" s="4" t="s">
        <v>7905</v>
      </c>
      <c r="B193" s="8" t="s">
        <v>7532</v>
      </c>
      <c r="C193" s="8"/>
      <c r="D193" s="8" t="s">
        <v>76</v>
      </c>
      <c r="E193" s="8" t="s">
        <v>7883</v>
      </c>
      <c r="F193" s="8"/>
      <c r="G193" s="8"/>
      <c r="H193" s="8"/>
      <c r="I193" s="8" t="s">
        <v>62</v>
      </c>
      <c r="J193" s="8" t="s">
        <v>63</v>
      </c>
      <c r="K193" s="4" t="n">
        <v>12</v>
      </c>
      <c r="L193" s="8"/>
    </row>
    <row r="194" customFormat="false" ht="26.85" hidden="false" customHeight="false" outlineLevel="0" collapsed="false">
      <c r="A194" s="4" t="s">
        <v>7906</v>
      </c>
      <c r="B194" s="8" t="s">
        <v>7907</v>
      </c>
      <c r="C194" s="8"/>
      <c r="D194" s="8" t="s">
        <v>76</v>
      </c>
      <c r="E194" s="8" t="s">
        <v>7883</v>
      </c>
      <c r="F194" s="8"/>
      <c r="G194" s="8"/>
      <c r="H194" s="8"/>
      <c r="I194" s="8" t="s">
        <v>62</v>
      </c>
      <c r="J194" s="8" t="s">
        <v>63</v>
      </c>
      <c r="K194" s="4" t="n">
        <v>12</v>
      </c>
      <c r="L194" s="8"/>
    </row>
    <row r="195" customFormat="false" ht="26.85" hidden="false" customHeight="false" outlineLevel="0" collapsed="false">
      <c r="A195" s="4" t="s">
        <v>7908</v>
      </c>
      <c r="B195" s="8" t="s">
        <v>7654</v>
      </c>
      <c r="C195" s="8"/>
      <c r="D195" s="8" t="s">
        <v>76</v>
      </c>
      <c r="E195" s="8" t="s">
        <v>7883</v>
      </c>
      <c r="F195" s="8"/>
      <c r="G195" s="8"/>
      <c r="H195" s="8"/>
      <c r="I195" s="8" t="s">
        <v>62</v>
      </c>
      <c r="J195" s="8" t="s">
        <v>63</v>
      </c>
      <c r="K195" s="4" t="n">
        <v>12</v>
      </c>
      <c r="L195" s="8"/>
    </row>
    <row r="196" customFormat="false" ht="26.85" hidden="false" customHeight="false" outlineLevel="0" collapsed="false">
      <c r="A196" s="4" t="s">
        <v>7909</v>
      </c>
      <c r="B196" s="8" t="s">
        <v>7910</v>
      </c>
      <c r="C196" s="8"/>
      <c r="D196" s="8" t="s">
        <v>76</v>
      </c>
      <c r="E196" s="8" t="s">
        <v>7883</v>
      </c>
      <c r="F196" s="8"/>
      <c r="G196" s="8"/>
      <c r="H196" s="8"/>
      <c r="I196" s="8" t="s">
        <v>62</v>
      </c>
      <c r="J196" s="8" t="s">
        <v>63</v>
      </c>
      <c r="K196" s="4" t="n">
        <v>12</v>
      </c>
      <c r="L196" s="8"/>
    </row>
    <row r="197" customFormat="false" ht="26.85" hidden="false" customHeight="false" outlineLevel="0" collapsed="false">
      <c r="A197" s="4" t="s">
        <v>7911</v>
      </c>
      <c r="B197" s="8" t="s">
        <v>7912</v>
      </c>
      <c r="C197" s="8"/>
      <c r="D197" s="8" t="s">
        <v>76</v>
      </c>
      <c r="E197" s="8" t="s">
        <v>7883</v>
      </c>
      <c r="F197" s="8"/>
      <c r="G197" s="8"/>
      <c r="H197" s="8"/>
      <c r="I197" s="8" t="s">
        <v>62</v>
      </c>
      <c r="J197" s="8" t="s">
        <v>63</v>
      </c>
      <c r="K197" s="4" t="n">
        <v>12</v>
      </c>
      <c r="L197" s="8"/>
    </row>
    <row r="198" customFormat="false" ht="26.85" hidden="false" customHeight="false" outlineLevel="0" collapsed="false">
      <c r="A198" s="4" t="s">
        <v>7913</v>
      </c>
      <c r="B198" s="8" t="s">
        <v>7914</v>
      </c>
      <c r="C198" s="8"/>
      <c r="D198" s="8" t="s">
        <v>76</v>
      </c>
      <c r="E198" s="8" t="s">
        <v>7883</v>
      </c>
      <c r="F198" s="8"/>
      <c r="G198" s="8"/>
      <c r="H198" s="8"/>
      <c r="I198" s="8" t="s">
        <v>62</v>
      </c>
      <c r="J198" s="8" t="s">
        <v>63</v>
      </c>
      <c r="K198" s="4" t="n">
        <v>12</v>
      </c>
      <c r="L198" s="8"/>
    </row>
    <row r="199" customFormat="false" ht="26.85" hidden="false" customHeight="false" outlineLevel="0" collapsed="false">
      <c r="A199" s="4" t="s">
        <v>7915</v>
      </c>
      <c r="B199" s="8" t="s">
        <v>7916</v>
      </c>
      <c r="C199" s="8"/>
      <c r="D199" s="8" t="s">
        <v>76</v>
      </c>
      <c r="E199" s="8" t="s">
        <v>7883</v>
      </c>
      <c r="F199" s="8"/>
      <c r="G199" s="8"/>
      <c r="H199" s="8"/>
      <c r="I199" s="8" t="s">
        <v>62</v>
      </c>
      <c r="J199" s="8" t="s">
        <v>63</v>
      </c>
      <c r="K199" s="4" t="n">
        <v>12</v>
      </c>
      <c r="L199" s="8"/>
    </row>
    <row r="200" customFormat="false" ht="26.85" hidden="false" customHeight="false" outlineLevel="0" collapsed="false">
      <c r="A200" s="4" t="s">
        <v>7917</v>
      </c>
      <c r="B200" s="8" t="s">
        <v>7918</v>
      </c>
      <c r="C200" s="8"/>
      <c r="D200" s="8" t="s">
        <v>76</v>
      </c>
      <c r="E200" s="8" t="s">
        <v>7883</v>
      </c>
      <c r="F200" s="8"/>
      <c r="G200" s="8"/>
      <c r="H200" s="8"/>
      <c r="I200" s="8" t="s">
        <v>62</v>
      </c>
      <c r="J200" s="8" t="s">
        <v>63</v>
      </c>
      <c r="K200" s="4" t="n">
        <v>12</v>
      </c>
      <c r="L200" s="8"/>
    </row>
    <row r="201" customFormat="false" ht="26.85" hidden="false" customHeight="false" outlineLevel="0" collapsed="false">
      <c r="A201" s="4" t="s">
        <v>7919</v>
      </c>
      <c r="B201" s="8" t="s">
        <v>7920</v>
      </c>
      <c r="C201" s="8"/>
      <c r="D201" s="8" t="s">
        <v>76</v>
      </c>
      <c r="E201" s="8" t="s">
        <v>7883</v>
      </c>
      <c r="F201" s="8"/>
      <c r="G201" s="8"/>
      <c r="H201" s="8"/>
      <c r="I201" s="8" t="s">
        <v>62</v>
      </c>
      <c r="J201" s="8" t="s">
        <v>63</v>
      </c>
      <c r="K201" s="4" t="n">
        <v>12</v>
      </c>
      <c r="L201" s="8"/>
    </row>
    <row r="202" customFormat="false" ht="26.85" hidden="false" customHeight="false" outlineLevel="0" collapsed="false">
      <c r="A202" s="4" t="s">
        <v>7921</v>
      </c>
      <c r="B202" s="8" t="s">
        <v>7922</v>
      </c>
      <c r="C202" s="8"/>
      <c r="D202" s="8" t="s">
        <v>76</v>
      </c>
      <c r="E202" s="8" t="s">
        <v>7883</v>
      </c>
      <c r="F202" s="8"/>
      <c r="G202" s="8"/>
      <c r="H202" s="8"/>
      <c r="I202" s="8" t="s">
        <v>62</v>
      </c>
      <c r="J202" s="8" t="s">
        <v>63</v>
      </c>
      <c r="K202" s="4" t="n">
        <v>12</v>
      </c>
      <c r="L202" s="8"/>
    </row>
    <row r="203" customFormat="false" ht="26.85" hidden="false" customHeight="false" outlineLevel="0" collapsed="false">
      <c r="A203" s="4" t="s">
        <v>7923</v>
      </c>
      <c r="B203" s="8" t="s">
        <v>7924</v>
      </c>
      <c r="C203" s="8"/>
      <c r="D203" s="8" t="s">
        <v>76</v>
      </c>
      <c r="E203" s="8" t="s">
        <v>7883</v>
      </c>
      <c r="F203" s="8"/>
      <c r="G203" s="8"/>
      <c r="H203" s="8"/>
      <c r="I203" s="8" t="s">
        <v>62</v>
      </c>
      <c r="J203" s="8" t="s">
        <v>63</v>
      </c>
      <c r="K203" s="4" t="n">
        <v>12</v>
      </c>
      <c r="L203" s="8"/>
    </row>
    <row r="204" customFormat="false" ht="26.85" hidden="false" customHeight="false" outlineLevel="0" collapsed="false">
      <c r="A204" s="4" t="s">
        <v>7925</v>
      </c>
      <c r="B204" s="8" t="s">
        <v>7926</v>
      </c>
      <c r="C204" s="8"/>
      <c r="D204" s="8" t="s">
        <v>76</v>
      </c>
      <c r="E204" s="8" t="s">
        <v>7883</v>
      </c>
      <c r="F204" s="8"/>
      <c r="G204" s="8"/>
      <c r="H204" s="8"/>
      <c r="I204" s="8" t="s">
        <v>62</v>
      </c>
      <c r="J204" s="8" t="s">
        <v>63</v>
      </c>
      <c r="K204" s="4" t="n">
        <v>12</v>
      </c>
      <c r="L204" s="8"/>
    </row>
    <row r="205" customFormat="false" ht="26.85" hidden="false" customHeight="false" outlineLevel="0" collapsed="false">
      <c r="A205" s="4" t="s">
        <v>7927</v>
      </c>
      <c r="B205" s="8" t="s">
        <v>7928</v>
      </c>
      <c r="C205" s="8"/>
      <c r="D205" s="8" t="s">
        <v>76</v>
      </c>
      <c r="E205" s="8" t="s">
        <v>7883</v>
      </c>
      <c r="F205" s="8"/>
      <c r="G205" s="8"/>
      <c r="H205" s="8"/>
      <c r="I205" s="8" t="s">
        <v>62</v>
      </c>
      <c r="J205" s="8" t="s">
        <v>63</v>
      </c>
      <c r="K205" s="4" t="n">
        <v>12</v>
      </c>
      <c r="L205" s="8"/>
    </row>
    <row r="206" customFormat="false" ht="26.85" hidden="false" customHeight="false" outlineLevel="0" collapsed="false">
      <c r="A206" s="4" t="s">
        <v>7929</v>
      </c>
      <c r="B206" s="8" t="s">
        <v>7930</v>
      </c>
      <c r="C206" s="8"/>
      <c r="D206" s="8" t="s">
        <v>76</v>
      </c>
      <c r="E206" s="8" t="s">
        <v>7883</v>
      </c>
      <c r="F206" s="8"/>
      <c r="G206" s="8"/>
      <c r="H206" s="8"/>
      <c r="I206" s="8" t="s">
        <v>62</v>
      </c>
      <c r="J206" s="8" t="s">
        <v>63</v>
      </c>
      <c r="K206" s="4" t="n">
        <v>12</v>
      </c>
      <c r="L206" s="8"/>
    </row>
    <row r="207" customFormat="false" ht="26.85" hidden="false" customHeight="false" outlineLevel="0" collapsed="false">
      <c r="A207" s="4" t="s">
        <v>7931</v>
      </c>
      <c r="B207" s="8" t="s">
        <v>7932</v>
      </c>
      <c r="C207" s="8"/>
      <c r="D207" s="8" t="s">
        <v>76</v>
      </c>
      <c r="E207" s="8" t="s">
        <v>7883</v>
      </c>
      <c r="F207" s="8"/>
      <c r="G207" s="8"/>
      <c r="H207" s="8"/>
      <c r="I207" s="8" t="s">
        <v>62</v>
      </c>
      <c r="J207" s="8" t="s">
        <v>63</v>
      </c>
      <c r="K207" s="4" t="n">
        <v>12</v>
      </c>
      <c r="L207" s="8"/>
    </row>
    <row r="208" customFormat="false" ht="26.85" hidden="false" customHeight="false" outlineLevel="0" collapsed="false">
      <c r="A208" s="4" t="s">
        <v>7933</v>
      </c>
      <c r="B208" s="8" t="s">
        <v>7934</v>
      </c>
      <c r="C208" s="8"/>
      <c r="D208" s="8" t="s">
        <v>76</v>
      </c>
      <c r="E208" s="8" t="s">
        <v>7883</v>
      </c>
      <c r="F208" s="8"/>
      <c r="G208" s="8"/>
      <c r="H208" s="8"/>
      <c r="I208" s="8" t="s">
        <v>62</v>
      </c>
      <c r="J208" s="8" t="s">
        <v>63</v>
      </c>
      <c r="K208" s="4" t="n">
        <v>12</v>
      </c>
      <c r="L208" s="8"/>
    </row>
    <row r="209" customFormat="false" ht="26.85" hidden="false" customHeight="false" outlineLevel="0" collapsed="false">
      <c r="A209" s="4" t="s">
        <v>7935</v>
      </c>
      <c r="B209" s="8" t="s">
        <v>7936</v>
      </c>
      <c r="C209" s="8"/>
      <c r="D209" s="8" t="s">
        <v>76</v>
      </c>
      <c r="E209" s="8" t="s">
        <v>7883</v>
      </c>
      <c r="F209" s="8"/>
      <c r="G209" s="8"/>
      <c r="H209" s="8"/>
      <c r="I209" s="8" t="s">
        <v>62</v>
      </c>
      <c r="J209" s="8" t="s">
        <v>63</v>
      </c>
      <c r="K209" s="4" t="n">
        <v>12</v>
      </c>
      <c r="L209" s="8"/>
    </row>
    <row r="210" customFormat="false" ht="26.85" hidden="false" customHeight="false" outlineLevel="0" collapsed="false">
      <c r="A210" s="4" t="s">
        <v>7937</v>
      </c>
      <c r="B210" s="8" t="s">
        <v>7938</v>
      </c>
      <c r="C210" s="8"/>
      <c r="D210" s="8" t="s">
        <v>76</v>
      </c>
      <c r="E210" s="8" t="s">
        <v>7883</v>
      </c>
      <c r="F210" s="8"/>
      <c r="G210" s="8"/>
      <c r="H210" s="8"/>
      <c r="I210" s="8" t="s">
        <v>62</v>
      </c>
      <c r="J210" s="8" t="s">
        <v>63</v>
      </c>
      <c r="K210" s="4" t="n">
        <v>12</v>
      </c>
      <c r="L210" s="8"/>
    </row>
    <row r="211" customFormat="false" ht="26.85" hidden="false" customHeight="false" outlineLevel="0" collapsed="false">
      <c r="A211" s="4" t="s">
        <v>7939</v>
      </c>
      <c r="B211" s="8" t="s">
        <v>7940</v>
      </c>
      <c r="C211" s="8"/>
      <c r="D211" s="8" t="s">
        <v>76</v>
      </c>
      <c r="E211" s="8" t="s">
        <v>7883</v>
      </c>
      <c r="F211" s="8"/>
      <c r="G211" s="8"/>
      <c r="H211" s="8"/>
      <c r="I211" s="8" t="s">
        <v>62</v>
      </c>
      <c r="J211" s="8" t="s">
        <v>63</v>
      </c>
      <c r="K211" s="4" t="n">
        <v>12</v>
      </c>
      <c r="L211" s="8"/>
    </row>
    <row r="212" customFormat="false" ht="26.85" hidden="false" customHeight="false" outlineLevel="0" collapsed="false">
      <c r="A212" s="4" t="s">
        <v>7941</v>
      </c>
      <c r="B212" s="8" t="s">
        <v>7942</v>
      </c>
      <c r="C212" s="8"/>
      <c r="D212" s="8" t="s">
        <v>76</v>
      </c>
      <c r="E212" s="8" t="s">
        <v>7883</v>
      </c>
      <c r="F212" s="8"/>
      <c r="G212" s="8"/>
      <c r="H212" s="8"/>
      <c r="I212" s="8" t="s">
        <v>62</v>
      </c>
      <c r="J212" s="8" t="s">
        <v>63</v>
      </c>
      <c r="K212" s="4" t="n">
        <v>12</v>
      </c>
      <c r="L212" s="8"/>
    </row>
    <row r="213" customFormat="false" ht="26.85" hidden="false" customHeight="false" outlineLevel="0" collapsed="false">
      <c r="A213" s="4" t="s">
        <v>7943</v>
      </c>
      <c r="B213" s="8" t="s">
        <v>7944</v>
      </c>
      <c r="C213" s="8"/>
      <c r="D213" s="8" t="s">
        <v>76</v>
      </c>
      <c r="E213" s="8" t="s">
        <v>7883</v>
      </c>
      <c r="F213" s="8"/>
      <c r="G213" s="8"/>
      <c r="H213" s="8"/>
      <c r="I213" s="8" t="s">
        <v>62</v>
      </c>
      <c r="J213" s="8" t="s">
        <v>63</v>
      </c>
      <c r="K213" s="4" t="n">
        <v>12</v>
      </c>
      <c r="L213" s="8"/>
    </row>
    <row r="214" customFormat="false" ht="26.85" hidden="false" customHeight="false" outlineLevel="0" collapsed="false">
      <c r="A214" s="4" t="s">
        <v>7945</v>
      </c>
      <c r="B214" s="8" t="s">
        <v>7946</v>
      </c>
      <c r="C214" s="8"/>
      <c r="D214" s="8" t="s">
        <v>76</v>
      </c>
      <c r="E214" s="8" t="s">
        <v>5779</v>
      </c>
      <c r="F214" s="8"/>
      <c r="G214" s="8"/>
      <c r="H214" s="8"/>
      <c r="I214" s="8" t="s">
        <v>62</v>
      </c>
      <c r="J214" s="8" t="s">
        <v>63</v>
      </c>
      <c r="K214" s="4" t="n">
        <v>12</v>
      </c>
      <c r="L214" s="8"/>
    </row>
    <row r="215" customFormat="false" ht="26.85" hidden="false" customHeight="false" outlineLevel="0" collapsed="false">
      <c r="A215" s="4" t="s">
        <v>7947</v>
      </c>
      <c r="B215" s="8" t="s">
        <v>7948</v>
      </c>
      <c r="C215" s="8"/>
      <c r="D215" s="8" t="s">
        <v>76</v>
      </c>
      <c r="E215" s="8" t="s">
        <v>5779</v>
      </c>
      <c r="F215" s="8"/>
      <c r="G215" s="8"/>
      <c r="H215" s="8"/>
      <c r="I215" s="8" t="s">
        <v>62</v>
      </c>
      <c r="J215" s="8" t="s">
        <v>63</v>
      </c>
      <c r="K215" s="4" t="n">
        <v>12</v>
      </c>
      <c r="L215" s="8"/>
    </row>
    <row r="216" customFormat="false" ht="26.85" hidden="false" customHeight="false" outlineLevel="0" collapsed="false">
      <c r="A216" s="4" t="s">
        <v>7949</v>
      </c>
      <c r="B216" s="8" t="s">
        <v>7950</v>
      </c>
      <c r="C216" s="8"/>
      <c r="D216" s="8" t="s">
        <v>76</v>
      </c>
      <c r="E216" s="8" t="s">
        <v>5779</v>
      </c>
      <c r="F216" s="8"/>
      <c r="G216" s="8"/>
      <c r="H216" s="8"/>
      <c r="I216" s="8" t="s">
        <v>62</v>
      </c>
      <c r="J216" s="8" t="s">
        <v>63</v>
      </c>
      <c r="K216" s="4" t="n">
        <v>12</v>
      </c>
      <c r="L216" s="8"/>
    </row>
    <row r="217" customFormat="false" ht="26.85" hidden="false" customHeight="false" outlineLevel="0" collapsed="false">
      <c r="A217" s="4" t="s">
        <v>7951</v>
      </c>
      <c r="B217" s="8" t="s">
        <v>7952</v>
      </c>
      <c r="C217" s="8"/>
      <c r="D217" s="8" t="s">
        <v>76</v>
      </c>
      <c r="E217" s="8" t="s">
        <v>5779</v>
      </c>
      <c r="F217" s="8"/>
      <c r="G217" s="8"/>
      <c r="H217" s="8"/>
      <c r="I217" s="8" t="s">
        <v>62</v>
      </c>
      <c r="J217" s="8" t="s">
        <v>63</v>
      </c>
      <c r="K217" s="4" t="n">
        <v>12</v>
      </c>
      <c r="L217" s="8"/>
    </row>
    <row r="218" customFormat="false" ht="26.85" hidden="false" customHeight="false" outlineLevel="0" collapsed="false">
      <c r="A218" s="4" t="s">
        <v>7953</v>
      </c>
      <c r="B218" s="8" t="s">
        <v>7954</v>
      </c>
      <c r="C218" s="8"/>
      <c r="D218" s="8" t="s">
        <v>76</v>
      </c>
      <c r="E218" s="8" t="s">
        <v>5779</v>
      </c>
      <c r="F218" s="8"/>
      <c r="G218" s="8"/>
      <c r="H218" s="8"/>
      <c r="I218" s="8" t="s">
        <v>62</v>
      </c>
      <c r="J218" s="8" t="s">
        <v>63</v>
      </c>
      <c r="K218" s="4" t="n">
        <v>12</v>
      </c>
      <c r="L218" s="8"/>
    </row>
    <row r="219" customFormat="false" ht="26.85" hidden="false" customHeight="false" outlineLevel="0" collapsed="false">
      <c r="A219" s="4" t="s">
        <v>7955</v>
      </c>
      <c r="B219" s="8" t="s">
        <v>7956</v>
      </c>
      <c r="C219" s="8"/>
      <c r="D219" s="8" t="s">
        <v>76</v>
      </c>
      <c r="E219" s="8" t="s">
        <v>5779</v>
      </c>
      <c r="F219" s="8"/>
      <c r="G219" s="8"/>
      <c r="H219" s="8"/>
      <c r="I219" s="8" t="s">
        <v>62</v>
      </c>
      <c r="J219" s="8" t="s">
        <v>63</v>
      </c>
      <c r="K219" s="4" t="n">
        <v>12</v>
      </c>
      <c r="L219" s="8"/>
    </row>
    <row r="220" customFormat="false" ht="26.85" hidden="false" customHeight="false" outlineLevel="0" collapsed="false">
      <c r="A220" s="4" t="s">
        <v>7957</v>
      </c>
      <c r="B220" s="8" t="s">
        <v>7958</v>
      </c>
      <c r="C220" s="8"/>
      <c r="D220" s="8" t="s">
        <v>76</v>
      </c>
      <c r="E220" s="8" t="s">
        <v>5779</v>
      </c>
      <c r="F220" s="8"/>
      <c r="G220" s="8"/>
      <c r="H220" s="8"/>
      <c r="I220" s="8" t="s">
        <v>62</v>
      </c>
      <c r="J220" s="8" t="s">
        <v>63</v>
      </c>
      <c r="K220" s="4" t="n">
        <v>13</v>
      </c>
      <c r="L220" s="8"/>
    </row>
    <row r="221" customFormat="false" ht="26.85" hidden="false" customHeight="false" outlineLevel="0" collapsed="false">
      <c r="A221" s="4" t="s">
        <v>7959</v>
      </c>
      <c r="B221" s="8" t="s">
        <v>7960</v>
      </c>
      <c r="C221" s="8"/>
      <c r="D221" s="8" t="s">
        <v>76</v>
      </c>
      <c r="E221" s="8" t="s">
        <v>5779</v>
      </c>
      <c r="F221" s="8"/>
      <c r="G221" s="8"/>
      <c r="H221" s="8"/>
      <c r="I221" s="8" t="s">
        <v>62</v>
      </c>
      <c r="J221" s="8" t="s">
        <v>63</v>
      </c>
      <c r="K221" s="4" t="n">
        <v>13</v>
      </c>
      <c r="L221" s="8"/>
    </row>
    <row r="222" customFormat="false" ht="26.85" hidden="false" customHeight="false" outlineLevel="0" collapsed="false">
      <c r="A222" s="4" t="s">
        <v>7961</v>
      </c>
      <c r="B222" s="8" t="s">
        <v>7962</v>
      </c>
      <c r="C222" s="8"/>
      <c r="D222" s="8" t="s">
        <v>76</v>
      </c>
      <c r="E222" s="8" t="s">
        <v>5779</v>
      </c>
      <c r="F222" s="8"/>
      <c r="G222" s="8"/>
      <c r="H222" s="8"/>
      <c r="I222" s="8" t="s">
        <v>62</v>
      </c>
      <c r="J222" s="8" t="s">
        <v>63</v>
      </c>
      <c r="K222" s="4" t="n">
        <v>13</v>
      </c>
      <c r="L222" s="8"/>
    </row>
    <row r="223" customFormat="false" ht="26.85" hidden="false" customHeight="false" outlineLevel="0" collapsed="false">
      <c r="A223" s="4" t="s">
        <v>7963</v>
      </c>
      <c r="B223" s="8" t="s">
        <v>7964</v>
      </c>
      <c r="C223" s="8"/>
      <c r="D223" s="8" t="s">
        <v>76</v>
      </c>
      <c r="E223" s="8" t="s">
        <v>5779</v>
      </c>
      <c r="F223" s="8"/>
      <c r="G223" s="8"/>
      <c r="H223" s="8"/>
      <c r="I223" s="8" t="s">
        <v>62</v>
      </c>
      <c r="J223" s="8" t="s">
        <v>63</v>
      </c>
      <c r="K223" s="4" t="n">
        <v>13</v>
      </c>
      <c r="L223" s="8"/>
    </row>
    <row r="224" customFormat="false" ht="26.85" hidden="false" customHeight="false" outlineLevel="0" collapsed="false">
      <c r="A224" s="4" t="s">
        <v>7965</v>
      </c>
      <c r="B224" s="8" t="s">
        <v>7966</v>
      </c>
      <c r="C224" s="8"/>
      <c r="D224" s="8" t="s">
        <v>76</v>
      </c>
      <c r="E224" s="8" t="s">
        <v>7967</v>
      </c>
      <c r="F224" s="8"/>
      <c r="G224" s="8"/>
      <c r="H224" s="8"/>
      <c r="I224" s="8" t="s">
        <v>62</v>
      </c>
      <c r="J224" s="8" t="s">
        <v>63</v>
      </c>
      <c r="K224" s="4" t="n">
        <v>13</v>
      </c>
      <c r="L224" s="8"/>
    </row>
    <row r="225" customFormat="false" ht="26.85" hidden="false" customHeight="false" outlineLevel="0" collapsed="false">
      <c r="A225" s="4" t="s">
        <v>7968</v>
      </c>
      <c r="B225" s="8" t="s">
        <v>7969</v>
      </c>
      <c r="C225" s="8"/>
      <c r="D225" s="8" t="s">
        <v>76</v>
      </c>
      <c r="E225" s="8" t="s">
        <v>7967</v>
      </c>
      <c r="F225" s="8"/>
      <c r="G225" s="8"/>
      <c r="H225" s="8"/>
      <c r="I225" s="8" t="s">
        <v>62</v>
      </c>
      <c r="J225" s="8" t="s">
        <v>63</v>
      </c>
      <c r="K225" s="4" t="n">
        <v>13</v>
      </c>
      <c r="L225" s="8"/>
    </row>
    <row r="226" customFormat="false" ht="26.85" hidden="false" customHeight="false" outlineLevel="0" collapsed="false">
      <c r="A226" s="4" t="s">
        <v>7970</v>
      </c>
      <c r="B226" s="8" t="s">
        <v>7971</v>
      </c>
      <c r="C226" s="8"/>
      <c r="D226" s="8" t="s">
        <v>76</v>
      </c>
      <c r="E226" s="8" t="s">
        <v>7967</v>
      </c>
      <c r="F226" s="8"/>
      <c r="G226" s="8"/>
      <c r="H226" s="8"/>
      <c r="I226" s="8" t="s">
        <v>62</v>
      </c>
      <c r="J226" s="8" t="s">
        <v>63</v>
      </c>
      <c r="K226" s="4" t="n">
        <v>13</v>
      </c>
      <c r="L226" s="8"/>
    </row>
    <row r="227" customFormat="false" ht="26.85" hidden="false" customHeight="false" outlineLevel="0" collapsed="false">
      <c r="A227" s="4" t="s">
        <v>7972</v>
      </c>
      <c r="B227" s="8" t="s">
        <v>7973</v>
      </c>
      <c r="C227" s="8"/>
      <c r="D227" s="8" t="s">
        <v>76</v>
      </c>
      <c r="E227" s="8" t="s">
        <v>7967</v>
      </c>
      <c r="F227" s="8"/>
      <c r="G227" s="8"/>
      <c r="H227" s="8"/>
      <c r="I227" s="8" t="s">
        <v>62</v>
      </c>
      <c r="J227" s="8" t="s">
        <v>63</v>
      </c>
      <c r="K227" s="4" t="n">
        <v>13</v>
      </c>
      <c r="L227" s="8"/>
    </row>
    <row r="228" customFormat="false" ht="26.85" hidden="false" customHeight="false" outlineLevel="0" collapsed="false">
      <c r="A228" s="4" t="s">
        <v>7974</v>
      </c>
      <c r="B228" s="8" t="s">
        <v>7975</v>
      </c>
      <c r="C228" s="8"/>
      <c r="D228" s="8" t="s">
        <v>76</v>
      </c>
      <c r="E228" s="8" t="s">
        <v>7967</v>
      </c>
      <c r="F228" s="8"/>
      <c r="G228" s="8"/>
      <c r="H228" s="8"/>
      <c r="I228" s="8" t="s">
        <v>62</v>
      </c>
      <c r="J228" s="8" t="s">
        <v>63</v>
      </c>
      <c r="K228" s="4" t="n">
        <v>13</v>
      </c>
      <c r="L228" s="8"/>
    </row>
    <row r="229" customFormat="false" ht="26.85" hidden="false" customHeight="false" outlineLevel="0" collapsed="false">
      <c r="A229" s="4" t="s">
        <v>7976</v>
      </c>
      <c r="B229" s="8" t="s">
        <v>7977</v>
      </c>
      <c r="C229" s="8"/>
      <c r="D229" s="8" t="s">
        <v>76</v>
      </c>
      <c r="E229" s="8" t="s">
        <v>7967</v>
      </c>
      <c r="F229" s="8"/>
      <c r="G229" s="8"/>
      <c r="H229" s="8"/>
      <c r="I229" s="8" t="s">
        <v>62</v>
      </c>
      <c r="J229" s="8" t="s">
        <v>63</v>
      </c>
      <c r="K229" s="4" t="n">
        <v>13</v>
      </c>
      <c r="L229" s="8"/>
    </row>
    <row r="230" customFormat="false" ht="26.85" hidden="false" customHeight="false" outlineLevel="0" collapsed="false">
      <c r="A230" s="4" t="s">
        <v>7978</v>
      </c>
      <c r="B230" s="8" t="s">
        <v>7979</v>
      </c>
      <c r="C230" s="8"/>
      <c r="D230" s="8" t="s">
        <v>76</v>
      </c>
      <c r="E230" s="8" t="s">
        <v>7967</v>
      </c>
      <c r="F230" s="8"/>
      <c r="G230" s="8"/>
      <c r="H230" s="8"/>
      <c r="I230" s="8" t="s">
        <v>62</v>
      </c>
      <c r="J230" s="8" t="s">
        <v>63</v>
      </c>
      <c r="K230" s="4" t="n">
        <v>13</v>
      </c>
      <c r="L230" s="8"/>
    </row>
    <row r="231" customFormat="false" ht="26.85" hidden="false" customHeight="false" outlineLevel="0" collapsed="false">
      <c r="A231" s="4" t="s">
        <v>7980</v>
      </c>
      <c r="B231" s="8" t="s">
        <v>7981</v>
      </c>
      <c r="C231" s="8"/>
      <c r="D231" s="8" t="s">
        <v>76</v>
      </c>
      <c r="E231" s="8" t="s">
        <v>7967</v>
      </c>
      <c r="F231" s="8"/>
      <c r="G231" s="8"/>
      <c r="H231" s="8"/>
      <c r="I231" s="8" t="s">
        <v>62</v>
      </c>
      <c r="J231" s="8" t="s">
        <v>63</v>
      </c>
      <c r="K231" s="4" t="n">
        <v>13</v>
      </c>
      <c r="L231" s="8"/>
    </row>
    <row r="232" customFormat="false" ht="26.85" hidden="false" customHeight="false" outlineLevel="0" collapsed="false">
      <c r="A232" s="4" t="s">
        <v>7982</v>
      </c>
      <c r="B232" s="8" t="s">
        <v>7983</v>
      </c>
      <c r="C232" s="8"/>
      <c r="D232" s="8" t="s">
        <v>76</v>
      </c>
      <c r="E232" s="8" t="s">
        <v>7967</v>
      </c>
      <c r="F232" s="8"/>
      <c r="G232" s="8"/>
      <c r="H232" s="8"/>
      <c r="I232" s="8" t="s">
        <v>62</v>
      </c>
      <c r="J232" s="8" t="s">
        <v>63</v>
      </c>
      <c r="K232" s="4" t="n">
        <v>13</v>
      </c>
      <c r="L232" s="8"/>
    </row>
    <row r="233" customFormat="false" ht="26.85" hidden="false" customHeight="false" outlineLevel="0" collapsed="false">
      <c r="A233" s="4" t="s">
        <v>7984</v>
      </c>
      <c r="B233" s="8" t="s">
        <v>7985</v>
      </c>
      <c r="C233" s="8"/>
      <c r="D233" s="8" t="s">
        <v>76</v>
      </c>
      <c r="E233" s="8" t="s">
        <v>7967</v>
      </c>
      <c r="F233" s="8"/>
      <c r="G233" s="8"/>
      <c r="H233" s="8"/>
      <c r="I233" s="8" t="s">
        <v>62</v>
      </c>
      <c r="J233" s="8" t="s">
        <v>63</v>
      </c>
      <c r="K233" s="4" t="n">
        <v>13</v>
      </c>
      <c r="L233" s="8"/>
    </row>
    <row r="234" customFormat="false" ht="26.85" hidden="false" customHeight="false" outlineLevel="0" collapsed="false">
      <c r="A234" s="4" t="s">
        <v>7986</v>
      </c>
      <c r="B234" s="8" t="s">
        <v>7987</v>
      </c>
      <c r="C234" s="8"/>
      <c r="D234" s="8" t="s">
        <v>76</v>
      </c>
      <c r="E234" s="8" t="s">
        <v>7967</v>
      </c>
      <c r="F234" s="8"/>
      <c r="G234" s="8"/>
      <c r="H234" s="8"/>
      <c r="I234" s="8" t="s">
        <v>62</v>
      </c>
      <c r="J234" s="8" t="s">
        <v>63</v>
      </c>
      <c r="K234" s="4" t="n">
        <v>13</v>
      </c>
      <c r="L234" s="8"/>
    </row>
    <row r="235" customFormat="false" ht="26.85" hidden="false" customHeight="false" outlineLevel="0" collapsed="false">
      <c r="A235" s="4" t="s">
        <v>7988</v>
      </c>
      <c r="B235" s="8" t="s">
        <v>7989</v>
      </c>
      <c r="C235" s="8"/>
      <c r="D235" s="8" t="s">
        <v>76</v>
      </c>
      <c r="E235" s="8" t="s">
        <v>7967</v>
      </c>
      <c r="F235" s="8"/>
      <c r="G235" s="8"/>
      <c r="H235" s="8"/>
      <c r="I235" s="8" t="s">
        <v>62</v>
      </c>
      <c r="J235" s="8" t="s">
        <v>63</v>
      </c>
      <c r="K235" s="4" t="n">
        <v>13</v>
      </c>
      <c r="L235" s="8"/>
    </row>
    <row r="236" customFormat="false" ht="26.85" hidden="false" customHeight="false" outlineLevel="0" collapsed="false">
      <c r="A236" s="4" t="s">
        <v>7990</v>
      </c>
      <c r="B236" s="8" t="s">
        <v>7991</v>
      </c>
      <c r="C236" s="8"/>
      <c r="D236" s="8" t="s">
        <v>76</v>
      </c>
      <c r="E236" s="8" t="s">
        <v>7967</v>
      </c>
      <c r="F236" s="8"/>
      <c r="G236" s="8"/>
      <c r="H236" s="8"/>
      <c r="I236" s="8" t="s">
        <v>62</v>
      </c>
      <c r="J236" s="8" t="s">
        <v>63</v>
      </c>
      <c r="K236" s="4" t="n">
        <v>13</v>
      </c>
      <c r="L236" s="8"/>
    </row>
    <row r="237" customFormat="false" ht="26.85" hidden="false" customHeight="false" outlineLevel="0" collapsed="false">
      <c r="A237" s="4" t="s">
        <v>7992</v>
      </c>
      <c r="B237" s="8" t="s">
        <v>7993</v>
      </c>
      <c r="C237" s="8"/>
      <c r="D237" s="8" t="s">
        <v>76</v>
      </c>
      <c r="E237" s="8" t="s">
        <v>7967</v>
      </c>
      <c r="F237" s="8"/>
      <c r="G237" s="8"/>
      <c r="H237" s="8"/>
      <c r="I237" s="8" t="s">
        <v>62</v>
      </c>
      <c r="J237" s="8" t="s">
        <v>63</v>
      </c>
      <c r="K237" s="4" t="n">
        <v>13</v>
      </c>
      <c r="L237" s="8"/>
    </row>
    <row r="238" customFormat="false" ht="26.85" hidden="false" customHeight="false" outlineLevel="0" collapsed="false">
      <c r="A238" s="4" t="s">
        <v>7994</v>
      </c>
      <c r="B238" s="8" t="s">
        <v>7995</v>
      </c>
      <c r="C238" s="8"/>
      <c r="D238" s="8" t="s">
        <v>76</v>
      </c>
      <c r="E238" s="8" t="s">
        <v>7967</v>
      </c>
      <c r="F238" s="8"/>
      <c r="G238" s="8"/>
      <c r="H238" s="8"/>
      <c r="I238" s="8" t="s">
        <v>62</v>
      </c>
      <c r="J238" s="8" t="s">
        <v>63</v>
      </c>
      <c r="K238" s="4" t="n">
        <v>13</v>
      </c>
      <c r="L238" s="8"/>
    </row>
    <row r="239" customFormat="false" ht="26.85" hidden="false" customHeight="false" outlineLevel="0" collapsed="false">
      <c r="A239" s="4" t="s">
        <v>7996</v>
      </c>
      <c r="B239" s="8" t="s">
        <v>7997</v>
      </c>
      <c r="C239" s="8"/>
      <c r="D239" s="8" t="s">
        <v>76</v>
      </c>
      <c r="E239" s="8" t="s">
        <v>7967</v>
      </c>
      <c r="F239" s="8"/>
      <c r="G239" s="8"/>
      <c r="H239" s="8"/>
      <c r="I239" s="8" t="s">
        <v>62</v>
      </c>
      <c r="J239" s="8" t="s">
        <v>63</v>
      </c>
      <c r="K239" s="4" t="n">
        <v>13</v>
      </c>
      <c r="L239" s="8"/>
    </row>
    <row r="240" customFormat="false" ht="26.85" hidden="false" customHeight="false" outlineLevel="0" collapsed="false">
      <c r="A240" s="4" t="s">
        <v>7998</v>
      </c>
      <c r="B240" s="8" t="s">
        <v>7999</v>
      </c>
      <c r="C240" s="8"/>
      <c r="D240" s="8" t="s">
        <v>76</v>
      </c>
      <c r="E240" s="8" t="s">
        <v>7967</v>
      </c>
      <c r="F240" s="8"/>
      <c r="G240" s="8"/>
      <c r="H240" s="8"/>
      <c r="I240" s="8" t="s">
        <v>62</v>
      </c>
      <c r="J240" s="8" t="s">
        <v>63</v>
      </c>
      <c r="K240" s="4" t="n">
        <v>13</v>
      </c>
      <c r="L240" s="8"/>
    </row>
    <row r="241" customFormat="false" ht="26.85" hidden="false" customHeight="false" outlineLevel="0" collapsed="false">
      <c r="A241" s="4" t="s">
        <v>8000</v>
      </c>
      <c r="B241" s="8" t="s">
        <v>8001</v>
      </c>
      <c r="C241" s="8"/>
      <c r="D241" s="8" t="s">
        <v>76</v>
      </c>
      <c r="E241" s="8" t="s">
        <v>7967</v>
      </c>
      <c r="F241" s="8"/>
      <c r="G241" s="8"/>
      <c r="H241" s="8"/>
      <c r="I241" s="8" t="s">
        <v>62</v>
      </c>
      <c r="J241" s="8" t="s">
        <v>63</v>
      </c>
      <c r="K241" s="4" t="n">
        <v>13</v>
      </c>
      <c r="L241" s="8"/>
    </row>
    <row r="242" customFormat="false" ht="26.85" hidden="false" customHeight="false" outlineLevel="0" collapsed="false">
      <c r="A242" s="4" t="s">
        <v>8002</v>
      </c>
      <c r="B242" s="8" t="s">
        <v>8003</v>
      </c>
      <c r="C242" s="8"/>
      <c r="D242" s="8" t="s">
        <v>76</v>
      </c>
      <c r="E242" s="8" t="s">
        <v>7967</v>
      </c>
      <c r="F242" s="8"/>
      <c r="G242" s="8"/>
      <c r="H242" s="8"/>
      <c r="I242" s="8" t="s">
        <v>62</v>
      </c>
      <c r="J242" s="8" t="s">
        <v>63</v>
      </c>
      <c r="K242" s="4" t="n">
        <v>13</v>
      </c>
      <c r="L242" s="8"/>
    </row>
    <row r="243" customFormat="false" ht="26.85" hidden="false" customHeight="false" outlineLevel="0" collapsed="false">
      <c r="A243" s="4" t="s">
        <v>8004</v>
      </c>
      <c r="B243" s="8" t="s">
        <v>8005</v>
      </c>
      <c r="C243" s="8"/>
      <c r="D243" s="8" t="s">
        <v>76</v>
      </c>
      <c r="E243" s="8" t="s">
        <v>7967</v>
      </c>
      <c r="F243" s="8"/>
      <c r="G243" s="8"/>
      <c r="H243" s="8"/>
      <c r="I243" s="8" t="s">
        <v>62</v>
      </c>
      <c r="J243" s="8" t="s">
        <v>63</v>
      </c>
      <c r="K243" s="4" t="n">
        <v>13</v>
      </c>
      <c r="L243" s="8"/>
    </row>
    <row r="244" customFormat="false" ht="26.85" hidden="false" customHeight="false" outlineLevel="0" collapsed="false">
      <c r="A244" s="4" t="s">
        <v>8006</v>
      </c>
      <c r="B244" s="8" t="s">
        <v>8007</v>
      </c>
      <c r="C244" s="8"/>
      <c r="D244" s="8" t="s">
        <v>76</v>
      </c>
      <c r="E244" s="8" t="s">
        <v>7967</v>
      </c>
      <c r="F244" s="8"/>
      <c r="G244" s="8"/>
      <c r="H244" s="8"/>
      <c r="I244" s="8" t="s">
        <v>62</v>
      </c>
      <c r="J244" s="8" t="s">
        <v>63</v>
      </c>
      <c r="K244" s="4" t="n">
        <v>13</v>
      </c>
      <c r="L244" s="8"/>
    </row>
    <row r="245" customFormat="false" ht="26.85" hidden="false" customHeight="false" outlineLevel="0" collapsed="false">
      <c r="A245" s="4" t="s">
        <v>8008</v>
      </c>
      <c r="B245" s="8" t="s">
        <v>8009</v>
      </c>
      <c r="C245" s="8"/>
      <c r="D245" s="8" t="s">
        <v>76</v>
      </c>
      <c r="E245" s="8" t="s">
        <v>7967</v>
      </c>
      <c r="F245" s="8"/>
      <c r="G245" s="8"/>
      <c r="H245" s="8"/>
      <c r="I245" s="8" t="s">
        <v>62</v>
      </c>
      <c r="J245" s="8" t="s">
        <v>63</v>
      </c>
      <c r="K245" s="4" t="n">
        <v>13</v>
      </c>
      <c r="L245" s="8"/>
    </row>
    <row r="246" customFormat="false" ht="26.85" hidden="false" customHeight="false" outlineLevel="0" collapsed="false">
      <c r="A246" s="4" t="s">
        <v>8010</v>
      </c>
      <c r="B246" s="8" t="s">
        <v>8011</v>
      </c>
      <c r="C246" s="8"/>
      <c r="D246" s="8" t="s">
        <v>76</v>
      </c>
      <c r="E246" s="8" t="s">
        <v>7967</v>
      </c>
      <c r="F246" s="8"/>
      <c r="G246" s="8"/>
      <c r="H246" s="8"/>
      <c r="I246" s="8" t="s">
        <v>62</v>
      </c>
      <c r="J246" s="8" t="s">
        <v>63</v>
      </c>
      <c r="K246" s="4" t="n">
        <v>13</v>
      </c>
      <c r="L246" s="8"/>
    </row>
    <row r="247" customFormat="false" ht="26.85" hidden="false" customHeight="false" outlineLevel="0" collapsed="false">
      <c r="A247" s="4" t="s">
        <v>8012</v>
      </c>
      <c r="B247" s="8" t="s">
        <v>8013</v>
      </c>
      <c r="C247" s="8"/>
      <c r="D247" s="8" t="s">
        <v>76</v>
      </c>
      <c r="E247" s="8" t="s">
        <v>7967</v>
      </c>
      <c r="F247" s="8"/>
      <c r="G247" s="8"/>
      <c r="H247" s="8"/>
      <c r="I247" s="8" t="s">
        <v>62</v>
      </c>
      <c r="J247" s="8" t="s">
        <v>63</v>
      </c>
      <c r="K247" s="4" t="n">
        <v>13</v>
      </c>
      <c r="L247" s="8"/>
    </row>
    <row r="248" customFormat="false" ht="26.85" hidden="false" customHeight="false" outlineLevel="0" collapsed="false">
      <c r="A248" s="4" t="s">
        <v>8014</v>
      </c>
      <c r="B248" s="8" t="s">
        <v>8015</v>
      </c>
      <c r="C248" s="8"/>
      <c r="D248" s="8" t="s">
        <v>76</v>
      </c>
      <c r="E248" s="8" t="s">
        <v>7967</v>
      </c>
      <c r="F248" s="8"/>
      <c r="G248" s="8"/>
      <c r="H248" s="8"/>
      <c r="I248" s="8" t="s">
        <v>62</v>
      </c>
      <c r="J248" s="8" t="s">
        <v>63</v>
      </c>
      <c r="K248" s="4" t="n">
        <v>13</v>
      </c>
      <c r="L248" s="8"/>
    </row>
    <row r="249" customFormat="false" ht="26.85" hidden="false" customHeight="false" outlineLevel="0" collapsed="false">
      <c r="A249" s="4" t="s">
        <v>8016</v>
      </c>
      <c r="B249" s="8" t="s">
        <v>8017</v>
      </c>
      <c r="C249" s="8"/>
      <c r="D249" s="8" t="s">
        <v>76</v>
      </c>
      <c r="E249" s="8" t="s">
        <v>7967</v>
      </c>
      <c r="F249" s="8"/>
      <c r="G249" s="8"/>
      <c r="H249" s="8"/>
      <c r="I249" s="8" t="s">
        <v>62</v>
      </c>
      <c r="J249" s="8" t="s">
        <v>63</v>
      </c>
      <c r="K249" s="4" t="n">
        <v>13</v>
      </c>
      <c r="L249" s="8"/>
    </row>
    <row r="250" customFormat="false" ht="26.85" hidden="false" customHeight="false" outlineLevel="0" collapsed="false">
      <c r="A250" s="4" t="s">
        <v>8018</v>
      </c>
      <c r="B250" s="8" t="s">
        <v>8019</v>
      </c>
      <c r="C250" s="8"/>
      <c r="D250" s="8" t="s">
        <v>76</v>
      </c>
      <c r="E250" s="8" t="s">
        <v>7967</v>
      </c>
      <c r="F250" s="8"/>
      <c r="G250" s="8"/>
      <c r="H250" s="8"/>
      <c r="I250" s="8" t="s">
        <v>62</v>
      </c>
      <c r="J250" s="8" t="s">
        <v>63</v>
      </c>
      <c r="K250" s="4" t="n">
        <v>13</v>
      </c>
      <c r="L250" s="8"/>
    </row>
    <row r="251" customFormat="false" ht="26.85" hidden="false" customHeight="false" outlineLevel="0" collapsed="false">
      <c r="A251" s="4" t="s">
        <v>8020</v>
      </c>
      <c r="B251" s="8" t="s">
        <v>8021</v>
      </c>
      <c r="C251" s="8"/>
      <c r="D251" s="8" t="s">
        <v>76</v>
      </c>
      <c r="E251" s="8" t="s">
        <v>7967</v>
      </c>
      <c r="F251" s="8"/>
      <c r="G251" s="8"/>
      <c r="H251" s="8"/>
      <c r="I251" s="8" t="s">
        <v>62</v>
      </c>
      <c r="J251" s="8" t="s">
        <v>63</v>
      </c>
      <c r="K251" s="4" t="n">
        <v>13</v>
      </c>
      <c r="L251" s="8"/>
    </row>
    <row r="252" customFormat="false" ht="26.85" hidden="false" customHeight="false" outlineLevel="0" collapsed="false">
      <c r="A252" s="4" t="s">
        <v>8022</v>
      </c>
      <c r="B252" s="8" t="s">
        <v>8023</v>
      </c>
      <c r="C252" s="8"/>
      <c r="D252" s="8" t="s">
        <v>76</v>
      </c>
      <c r="E252" s="8" t="s">
        <v>7967</v>
      </c>
      <c r="F252" s="8"/>
      <c r="G252" s="8"/>
      <c r="H252" s="8"/>
      <c r="I252" s="8" t="s">
        <v>62</v>
      </c>
      <c r="J252" s="8" t="s">
        <v>63</v>
      </c>
      <c r="K252" s="4" t="n">
        <v>13</v>
      </c>
      <c r="L252" s="8"/>
    </row>
    <row r="253" customFormat="false" ht="26.85" hidden="false" customHeight="false" outlineLevel="0" collapsed="false">
      <c r="A253" s="4" t="s">
        <v>8024</v>
      </c>
      <c r="B253" s="8" t="s">
        <v>8025</v>
      </c>
      <c r="C253" s="8"/>
      <c r="D253" s="8" t="s">
        <v>76</v>
      </c>
      <c r="E253" s="8" t="s">
        <v>7967</v>
      </c>
      <c r="F253" s="8"/>
      <c r="G253" s="8"/>
      <c r="H253" s="8"/>
      <c r="I253" s="8" t="s">
        <v>62</v>
      </c>
      <c r="J253" s="8" t="s">
        <v>63</v>
      </c>
      <c r="K253" s="4" t="n">
        <v>13</v>
      </c>
      <c r="L253" s="8"/>
    </row>
    <row r="254" customFormat="false" ht="26.85" hidden="false" customHeight="false" outlineLevel="0" collapsed="false">
      <c r="A254" s="4" t="s">
        <v>8026</v>
      </c>
      <c r="B254" s="8" t="s">
        <v>8027</v>
      </c>
      <c r="C254" s="8"/>
      <c r="D254" s="8" t="s">
        <v>76</v>
      </c>
      <c r="E254" s="8" t="s">
        <v>7967</v>
      </c>
      <c r="F254" s="8"/>
      <c r="G254" s="8"/>
      <c r="H254" s="8"/>
      <c r="I254" s="8" t="s">
        <v>62</v>
      </c>
      <c r="J254" s="8" t="s">
        <v>63</v>
      </c>
      <c r="K254" s="4" t="n">
        <v>13</v>
      </c>
      <c r="L254" s="8"/>
    </row>
    <row r="255" customFormat="false" ht="26.85" hidden="false" customHeight="false" outlineLevel="0" collapsed="false">
      <c r="A255" s="4" t="s">
        <v>8028</v>
      </c>
      <c r="B255" s="8" t="s">
        <v>8029</v>
      </c>
      <c r="C255" s="8"/>
      <c r="D255" s="8" t="s">
        <v>76</v>
      </c>
      <c r="E255" s="8" t="s">
        <v>6045</v>
      </c>
      <c r="F255" s="8"/>
      <c r="G255" s="8"/>
      <c r="H255" s="8"/>
      <c r="I255" s="8" t="s">
        <v>62</v>
      </c>
      <c r="J255" s="8" t="s">
        <v>63</v>
      </c>
      <c r="K255" s="4" t="n">
        <v>14</v>
      </c>
      <c r="L255" s="8"/>
    </row>
    <row r="256" customFormat="false" ht="26.85" hidden="false" customHeight="false" outlineLevel="0" collapsed="false">
      <c r="A256" s="4" t="s">
        <v>8030</v>
      </c>
      <c r="B256" s="8" t="s">
        <v>8031</v>
      </c>
      <c r="C256" s="8"/>
      <c r="D256" s="8" t="s">
        <v>76</v>
      </c>
      <c r="E256" s="8" t="s">
        <v>6045</v>
      </c>
      <c r="F256" s="8"/>
      <c r="G256" s="8"/>
      <c r="H256" s="8"/>
      <c r="I256" s="8" t="s">
        <v>62</v>
      </c>
      <c r="J256" s="8" t="s">
        <v>63</v>
      </c>
      <c r="K256" s="4" t="n">
        <v>14</v>
      </c>
      <c r="L256" s="8"/>
    </row>
    <row r="257" customFormat="false" ht="26.85" hidden="false" customHeight="false" outlineLevel="0" collapsed="false">
      <c r="A257" s="4" t="s">
        <v>8032</v>
      </c>
      <c r="B257" s="8" t="s">
        <v>8033</v>
      </c>
      <c r="C257" s="8"/>
      <c r="D257" s="8" t="s">
        <v>76</v>
      </c>
      <c r="E257" s="8" t="s">
        <v>6045</v>
      </c>
      <c r="F257" s="8"/>
      <c r="G257" s="8"/>
      <c r="H257" s="8"/>
      <c r="I257" s="8" t="s">
        <v>62</v>
      </c>
      <c r="J257" s="8" t="s">
        <v>63</v>
      </c>
      <c r="K257" s="4" t="n">
        <v>14</v>
      </c>
      <c r="L257" s="8"/>
    </row>
    <row r="258" customFormat="false" ht="26.85" hidden="false" customHeight="false" outlineLevel="0" collapsed="false">
      <c r="A258" s="4" t="s">
        <v>8034</v>
      </c>
      <c r="B258" s="8" t="s">
        <v>8035</v>
      </c>
      <c r="C258" s="8"/>
      <c r="D258" s="8" t="s">
        <v>76</v>
      </c>
      <c r="E258" s="8" t="s">
        <v>6045</v>
      </c>
      <c r="F258" s="8"/>
      <c r="G258" s="8"/>
      <c r="H258" s="8"/>
      <c r="I258" s="8" t="s">
        <v>62</v>
      </c>
      <c r="J258" s="8" t="s">
        <v>63</v>
      </c>
      <c r="K258" s="4" t="n">
        <v>14</v>
      </c>
      <c r="L258" s="8"/>
    </row>
    <row r="259" customFormat="false" ht="26.85" hidden="false" customHeight="false" outlineLevel="0" collapsed="false">
      <c r="A259" s="4" t="s">
        <v>8036</v>
      </c>
      <c r="B259" s="8" t="s">
        <v>8037</v>
      </c>
      <c r="C259" s="8"/>
      <c r="D259" s="8" t="s">
        <v>76</v>
      </c>
      <c r="E259" s="8" t="s">
        <v>6045</v>
      </c>
      <c r="F259" s="8"/>
      <c r="G259" s="8"/>
      <c r="H259" s="8"/>
      <c r="I259" s="8" t="s">
        <v>62</v>
      </c>
      <c r="J259" s="8" t="s">
        <v>63</v>
      </c>
      <c r="K259" s="4" t="n">
        <v>14</v>
      </c>
      <c r="L259" s="8"/>
    </row>
    <row r="260" customFormat="false" ht="26.85" hidden="false" customHeight="false" outlineLevel="0" collapsed="false">
      <c r="A260" s="4" t="s">
        <v>8038</v>
      </c>
      <c r="B260" s="8" t="s">
        <v>8039</v>
      </c>
      <c r="C260" s="8"/>
      <c r="D260" s="8" t="s">
        <v>76</v>
      </c>
      <c r="E260" s="8" t="s">
        <v>6045</v>
      </c>
      <c r="F260" s="8"/>
      <c r="G260" s="8"/>
      <c r="H260" s="8"/>
      <c r="I260" s="8" t="s">
        <v>62</v>
      </c>
      <c r="J260" s="8" t="s">
        <v>63</v>
      </c>
      <c r="K260" s="4" t="n">
        <v>14</v>
      </c>
      <c r="L260" s="8"/>
    </row>
    <row r="261" customFormat="false" ht="26.85" hidden="false" customHeight="false" outlineLevel="0" collapsed="false">
      <c r="A261" s="4" t="s">
        <v>8040</v>
      </c>
      <c r="B261" s="8" t="s">
        <v>8041</v>
      </c>
      <c r="C261" s="8"/>
      <c r="D261" s="8" t="s">
        <v>76</v>
      </c>
      <c r="E261" s="8" t="s">
        <v>6045</v>
      </c>
      <c r="F261" s="8"/>
      <c r="G261" s="8"/>
      <c r="H261" s="8"/>
      <c r="I261" s="8" t="s">
        <v>62</v>
      </c>
      <c r="J261" s="8" t="s">
        <v>63</v>
      </c>
      <c r="K261" s="4" t="n">
        <v>14</v>
      </c>
      <c r="L261" s="8"/>
    </row>
    <row r="262" customFormat="false" ht="26.85" hidden="false" customHeight="false" outlineLevel="0" collapsed="false">
      <c r="A262" s="4" t="s">
        <v>8042</v>
      </c>
      <c r="B262" s="8" t="s">
        <v>8043</v>
      </c>
      <c r="C262" s="8"/>
      <c r="D262" s="8" t="s">
        <v>76</v>
      </c>
      <c r="E262" s="8" t="s">
        <v>6045</v>
      </c>
      <c r="F262" s="8"/>
      <c r="G262" s="8"/>
      <c r="H262" s="8"/>
      <c r="I262" s="8" t="s">
        <v>62</v>
      </c>
      <c r="J262" s="8" t="s">
        <v>63</v>
      </c>
      <c r="K262" s="4" t="n">
        <v>14</v>
      </c>
      <c r="L262" s="8"/>
    </row>
    <row r="263" customFormat="false" ht="26.85" hidden="false" customHeight="false" outlineLevel="0" collapsed="false">
      <c r="A263" s="4" t="s">
        <v>8044</v>
      </c>
      <c r="B263" s="8" t="s">
        <v>8045</v>
      </c>
      <c r="C263" s="8"/>
      <c r="D263" s="8" t="s">
        <v>76</v>
      </c>
      <c r="E263" s="8" t="s">
        <v>6045</v>
      </c>
      <c r="F263" s="8"/>
      <c r="G263" s="8"/>
      <c r="H263" s="8"/>
      <c r="I263" s="8" t="s">
        <v>62</v>
      </c>
      <c r="J263" s="8" t="s">
        <v>63</v>
      </c>
      <c r="K263" s="4" t="n">
        <v>14</v>
      </c>
      <c r="L263" s="8"/>
    </row>
    <row r="264" customFormat="false" ht="26.85" hidden="false" customHeight="false" outlineLevel="0" collapsed="false">
      <c r="A264" s="4" t="s">
        <v>8046</v>
      </c>
      <c r="B264" s="8" t="s">
        <v>8047</v>
      </c>
      <c r="C264" s="8"/>
      <c r="D264" s="8" t="s">
        <v>76</v>
      </c>
      <c r="E264" s="8" t="s">
        <v>6045</v>
      </c>
      <c r="F264" s="8"/>
      <c r="G264" s="8"/>
      <c r="H264" s="8"/>
      <c r="I264" s="8" t="s">
        <v>62</v>
      </c>
      <c r="J264" s="8" t="s">
        <v>63</v>
      </c>
      <c r="K264" s="4" t="n">
        <v>14</v>
      </c>
      <c r="L264" s="8"/>
    </row>
    <row r="265" customFormat="false" ht="26.85" hidden="false" customHeight="false" outlineLevel="0" collapsed="false">
      <c r="A265" s="4" t="s">
        <v>8048</v>
      </c>
      <c r="B265" s="8" t="s">
        <v>8049</v>
      </c>
      <c r="C265" s="8"/>
      <c r="D265" s="8" t="s">
        <v>76</v>
      </c>
      <c r="E265" s="8" t="s">
        <v>6045</v>
      </c>
      <c r="F265" s="8"/>
      <c r="G265" s="8"/>
      <c r="H265" s="8"/>
      <c r="I265" s="8" t="s">
        <v>62</v>
      </c>
      <c r="J265" s="8" t="s">
        <v>63</v>
      </c>
      <c r="K265" s="4" t="n">
        <v>14</v>
      </c>
      <c r="L265" s="8"/>
    </row>
    <row r="266" customFormat="false" ht="26.85" hidden="false" customHeight="false" outlineLevel="0" collapsed="false">
      <c r="A266" s="4" t="s">
        <v>8050</v>
      </c>
      <c r="B266" s="8" t="s">
        <v>8051</v>
      </c>
      <c r="C266" s="8"/>
      <c r="D266" s="8" t="s">
        <v>76</v>
      </c>
      <c r="E266" s="8" t="s">
        <v>6045</v>
      </c>
      <c r="F266" s="8"/>
      <c r="G266" s="8"/>
      <c r="H266" s="8"/>
      <c r="I266" s="8" t="s">
        <v>62</v>
      </c>
      <c r="J266" s="8" t="s">
        <v>63</v>
      </c>
      <c r="K266" s="4" t="n">
        <v>14</v>
      </c>
      <c r="L266" s="8"/>
    </row>
    <row r="267" customFormat="false" ht="26.85" hidden="false" customHeight="false" outlineLevel="0" collapsed="false">
      <c r="A267" s="4" t="s">
        <v>8052</v>
      </c>
      <c r="B267" s="8" t="s">
        <v>8053</v>
      </c>
      <c r="C267" s="8"/>
      <c r="D267" s="8" t="s">
        <v>76</v>
      </c>
      <c r="E267" s="8" t="s">
        <v>6045</v>
      </c>
      <c r="F267" s="8"/>
      <c r="G267" s="8"/>
      <c r="H267" s="8"/>
      <c r="I267" s="8" t="s">
        <v>62</v>
      </c>
      <c r="J267" s="8" t="s">
        <v>63</v>
      </c>
      <c r="K267" s="4" t="n">
        <v>14</v>
      </c>
      <c r="L267" s="8"/>
    </row>
    <row r="268" customFormat="false" ht="26.85" hidden="false" customHeight="false" outlineLevel="0" collapsed="false">
      <c r="A268" s="4" t="s">
        <v>8054</v>
      </c>
      <c r="B268" s="8" t="s">
        <v>8055</v>
      </c>
      <c r="C268" s="8"/>
      <c r="D268" s="8" t="s">
        <v>76</v>
      </c>
      <c r="E268" s="8" t="s">
        <v>6045</v>
      </c>
      <c r="F268" s="8"/>
      <c r="G268" s="8"/>
      <c r="H268" s="8"/>
      <c r="I268" s="8" t="s">
        <v>62</v>
      </c>
      <c r="J268" s="8" t="s">
        <v>63</v>
      </c>
      <c r="K268" s="4" t="n">
        <v>14</v>
      </c>
      <c r="L268" s="8"/>
    </row>
    <row r="269" customFormat="false" ht="26.85" hidden="false" customHeight="false" outlineLevel="0" collapsed="false">
      <c r="A269" s="4" t="s">
        <v>8056</v>
      </c>
      <c r="B269" s="8" t="s">
        <v>8057</v>
      </c>
      <c r="C269" s="8"/>
      <c r="D269" s="8" t="s">
        <v>76</v>
      </c>
      <c r="E269" s="8" t="s">
        <v>6045</v>
      </c>
      <c r="F269" s="8"/>
      <c r="G269" s="8"/>
      <c r="H269" s="8"/>
      <c r="I269" s="8" t="s">
        <v>62</v>
      </c>
      <c r="J269" s="8" t="s">
        <v>63</v>
      </c>
      <c r="K269" s="4" t="n">
        <v>14</v>
      </c>
      <c r="L269" s="8"/>
    </row>
    <row r="270" customFormat="false" ht="26.85" hidden="false" customHeight="false" outlineLevel="0" collapsed="false">
      <c r="A270" s="4" t="s">
        <v>8058</v>
      </c>
      <c r="B270" s="8" t="s">
        <v>8059</v>
      </c>
      <c r="C270" s="8"/>
      <c r="D270" s="8" t="s">
        <v>76</v>
      </c>
      <c r="E270" s="8" t="s">
        <v>6045</v>
      </c>
      <c r="F270" s="8"/>
      <c r="G270" s="8"/>
      <c r="H270" s="8"/>
      <c r="I270" s="8" t="s">
        <v>62</v>
      </c>
      <c r="J270" s="8" t="s">
        <v>63</v>
      </c>
      <c r="K270" s="4" t="n">
        <v>14</v>
      </c>
      <c r="L270" s="8"/>
    </row>
    <row r="271" customFormat="false" ht="26.85" hidden="false" customHeight="false" outlineLevel="0" collapsed="false">
      <c r="A271" s="4" t="s">
        <v>8060</v>
      </c>
      <c r="B271" s="8" t="s">
        <v>8061</v>
      </c>
      <c r="C271" s="8"/>
      <c r="D271" s="8" t="s">
        <v>76</v>
      </c>
      <c r="E271" s="8" t="s">
        <v>6045</v>
      </c>
      <c r="F271" s="8"/>
      <c r="G271" s="8"/>
      <c r="H271" s="8"/>
      <c r="I271" s="8" t="s">
        <v>62</v>
      </c>
      <c r="J271" s="8" t="s">
        <v>63</v>
      </c>
      <c r="K271" s="4" t="n">
        <v>14</v>
      </c>
      <c r="L271" s="8"/>
    </row>
    <row r="272" customFormat="false" ht="15" hidden="false" customHeight="false" outlineLevel="0" collapsed="false">
      <c r="A272" s="4"/>
      <c r="B272" s="8"/>
      <c r="C272" s="8"/>
      <c r="D272" s="8"/>
      <c r="E272" s="8"/>
      <c r="F272" s="8"/>
      <c r="G272" s="8"/>
      <c r="H272" s="8"/>
      <c r="I272" s="8"/>
      <c r="J272" s="8"/>
      <c r="K272" s="4"/>
      <c r="L272" s="8"/>
    </row>
    <row r="273" customFormat="false" ht="15" hidden="false" customHeight="false" outlineLevel="0" collapsed="false">
      <c r="A273" s="4"/>
      <c r="B273" s="8"/>
      <c r="C273" s="8"/>
      <c r="D273" s="8"/>
      <c r="E273" s="8"/>
      <c r="F273" s="8"/>
      <c r="G273" s="8"/>
      <c r="H273" s="8"/>
      <c r="I273" s="8"/>
      <c r="J273" s="8"/>
      <c r="K273" s="4"/>
      <c r="L273" s="8"/>
    </row>
    <row r="274" customFormat="false" ht="15" hidden="false" customHeight="false" outlineLevel="0" collapsed="false">
      <c r="A274" s="4"/>
      <c r="B274" s="8"/>
      <c r="C274" s="8"/>
      <c r="D274" s="8"/>
      <c r="E274" s="8"/>
      <c r="F274" s="8"/>
      <c r="G274" s="8"/>
      <c r="H274" s="8"/>
      <c r="I274" s="8"/>
      <c r="J274" s="8"/>
      <c r="K274" s="4"/>
      <c r="L274" s="8"/>
    </row>
    <row r="275" customFormat="false" ht="15" hidden="false" customHeight="false" outlineLevel="0" collapsed="false">
      <c r="A275" s="4"/>
      <c r="B275" s="8"/>
      <c r="C275" s="8"/>
      <c r="D275" s="8"/>
      <c r="E275" s="8"/>
      <c r="F275" s="8"/>
      <c r="G275" s="8"/>
      <c r="H275" s="8"/>
      <c r="I275" s="8"/>
      <c r="J275" s="8"/>
      <c r="K275" s="4"/>
      <c r="L275" s="8"/>
    </row>
    <row r="276" customFormat="false" ht="15" hidden="false" customHeight="false" outlineLevel="0" collapsed="false">
      <c r="A276" s="4"/>
      <c r="B276" s="8"/>
      <c r="C276" s="8"/>
      <c r="D276" s="8"/>
      <c r="E276" s="8"/>
      <c r="F276" s="8"/>
      <c r="G276" s="8"/>
      <c r="H276" s="8"/>
      <c r="I276" s="8"/>
      <c r="J276" s="8"/>
      <c r="K276" s="4"/>
      <c r="L276" s="8"/>
    </row>
    <row r="277" customFormat="false" ht="15" hidden="false" customHeight="false" outlineLevel="0" collapsed="false">
      <c r="A277" s="4"/>
      <c r="B277" s="8"/>
      <c r="C277" s="8"/>
      <c r="D277" s="8"/>
      <c r="E277" s="8"/>
      <c r="F277" s="8"/>
      <c r="G277" s="8"/>
      <c r="H277" s="8"/>
      <c r="I277" s="8"/>
      <c r="J277" s="8"/>
      <c r="K277" s="4"/>
      <c r="L277" s="8"/>
    </row>
    <row r="278" customFormat="false" ht="15" hidden="false" customHeight="false" outlineLevel="0" collapsed="false">
      <c r="A278" s="4"/>
      <c r="B278" s="8"/>
      <c r="C278" s="8"/>
      <c r="D278" s="8"/>
      <c r="E278" s="8"/>
      <c r="F278" s="8"/>
      <c r="G278" s="8"/>
      <c r="H278" s="8"/>
      <c r="I278" s="8"/>
      <c r="J278" s="8"/>
      <c r="K278" s="4"/>
      <c r="L278" s="8"/>
    </row>
    <row r="279" customFormat="false" ht="15" hidden="false" customHeight="false" outlineLevel="0" collapsed="false">
      <c r="A279" s="4"/>
      <c r="B279" s="8"/>
      <c r="C279" s="8"/>
      <c r="D279" s="8"/>
      <c r="E279" s="8"/>
      <c r="F279" s="8"/>
      <c r="G279" s="8"/>
      <c r="H279" s="8"/>
      <c r="I279" s="8"/>
      <c r="J279" s="8"/>
      <c r="K279" s="4"/>
      <c r="L279" s="8"/>
    </row>
    <row r="280" customFormat="false" ht="15" hidden="false" customHeight="false" outlineLevel="0" collapsed="false">
      <c r="A280" s="4"/>
      <c r="B280" s="8"/>
      <c r="C280" s="8"/>
      <c r="D280" s="8"/>
      <c r="E280" s="8"/>
      <c r="F280" s="8"/>
      <c r="G280" s="8"/>
      <c r="H280" s="8"/>
      <c r="I280" s="8"/>
      <c r="J280" s="8"/>
      <c r="K280" s="4"/>
      <c r="L280" s="8"/>
    </row>
    <row r="281" customFormat="false" ht="15" hidden="false" customHeight="false" outlineLevel="0" collapsed="false">
      <c r="A281" s="4"/>
      <c r="B281" s="8"/>
      <c r="C281" s="8"/>
      <c r="D281" s="8"/>
      <c r="E281" s="8"/>
      <c r="F281" s="8"/>
      <c r="G281" s="8"/>
      <c r="H281" s="8"/>
      <c r="I281" s="8"/>
      <c r="J281" s="8"/>
      <c r="K281" s="4"/>
      <c r="L281" s="8"/>
    </row>
    <row r="282" customFormat="false" ht="15" hidden="false" customHeight="false" outlineLevel="0" collapsed="false">
      <c r="A282" s="4"/>
      <c r="B282" s="8"/>
      <c r="C282" s="8"/>
      <c r="D282" s="8"/>
      <c r="E282" s="8"/>
      <c r="F282" s="8"/>
      <c r="G282" s="8"/>
      <c r="H282" s="8"/>
      <c r="I282" s="8"/>
      <c r="J282" s="8"/>
      <c r="K282" s="4"/>
      <c r="L282" s="8"/>
    </row>
    <row r="283" customFormat="false" ht="15" hidden="false" customHeight="false" outlineLevel="0" collapsed="false">
      <c r="A283" s="4"/>
      <c r="B283" s="8"/>
      <c r="C283" s="8"/>
      <c r="D283" s="8"/>
      <c r="E283" s="8"/>
      <c r="F283" s="8"/>
      <c r="G283" s="8"/>
      <c r="H283" s="8"/>
      <c r="I283" s="8"/>
      <c r="J283" s="8"/>
      <c r="K283" s="4"/>
      <c r="L283" s="8"/>
    </row>
    <row r="284" customFormat="false" ht="15" hidden="false" customHeight="false" outlineLevel="0" collapsed="false">
      <c r="A284" s="4"/>
      <c r="B284" s="8"/>
      <c r="C284" s="8"/>
      <c r="D284" s="8"/>
      <c r="E284" s="8"/>
      <c r="F284" s="8"/>
      <c r="G284" s="8"/>
      <c r="H284" s="8"/>
      <c r="I284" s="8"/>
      <c r="J284" s="8"/>
      <c r="K284" s="4"/>
      <c r="L284" s="8"/>
    </row>
    <row r="285" customFormat="false" ht="15" hidden="false" customHeight="false" outlineLevel="0" collapsed="false">
      <c r="A285" s="4"/>
      <c r="B285" s="8"/>
      <c r="C285" s="8"/>
      <c r="D285" s="8"/>
      <c r="E285" s="8"/>
      <c r="F285" s="8"/>
      <c r="G285" s="8"/>
      <c r="H285" s="8"/>
      <c r="I285" s="8"/>
      <c r="J285" s="8"/>
      <c r="K285" s="4"/>
      <c r="L285" s="8"/>
    </row>
    <row r="286" customFormat="false" ht="15" hidden="false" customHeight="false" outlineLevel="0" collapsed="false">
      <c r="A286" s="4"/>
      <c r="B286" s="8"/>
      <c r="C286" s="8"/>
      <c r="D286" s="8"/>
      <c r="E286" s="8"/>
      <c r="F286" s="8"/>
      <c r="G286" s="8"/>
      <c r="H286" s="8"/>
      <c r="I286" s="8"/>
      <c r="J286" s="8"/>
      <c r="K286" s="4"/>
      <c r="L286" s="8"/>
    </row>
    <row r="287" customFormat="false" ht="15" hidden="false" customHeight="false" outlineLevel="0" collapsed="false">
      <c r="A287" s="4"/>
      <c r="B287" s="8"/>
      <c r="C287" s="8"/>
      <c r="D287" s="8"/>
      <c r="E287" s="8"/>
      <c r="F287" s="8"/>
      <c r="G287" s="8"/>
      <c r="H287" s="8"/>
      <c r="I287" s="8"/>
      <c r="J287" s="8"/>
      <c r="K287" s="4"/>
      <c r="L287" s="8"/>
    </row>
    <row r="288" customFormat="false" ht="15" hidden="false" customHeight="false" outlineLevel="0" collapsed="false">
      <c r="A288" s="4"/>
      <c r="B288" s="8"/>
      <c r="C288" s="8"/>
      <c r="D288" s="8"/>
      <c r="E288" s="8"/>
      <c r="F288" s="8"/>
      <c r="G288" s="8"/>
      <c r="H288" s="8"/>
      <c r="I288" s="8"/>
      <c r="J288" s="8"/>
      <c r="K288" s="4"/>
      <c r="L288" s="8"/>
    </row>
    <row r="289" customFormat="false" ht="15" hidden="false" customHeight="false" outlineLevel="0" collapsed="false">
      <c r="A289" s="4"/>
      <c r="B289" s="8"/>
      <c r="C289" s="8"/>
      <c r="D289" s="8"/>
      <c r="E289" s="8"/>
      <c r="F289" s="8"/>
      <c r="G289" s="8"/>
      <c r="H289" s="8"/>
      <c r="I289" s="8"/>
      <c r="J289" s="8"/>
      <c r="K289" s="4"/>
      <c r="L289" s="8"/>
    </row>
    <row r="290" customFormat="false" ht="15" hidden="false" customHeight="false" outlineLevel="0" collapsed="false">
      <c r="A290" s="4"/>
      <c r="B290" s="8"/>
      <c r="C290" s="8"/>
      <c r="D290" s="8"/>
      <c r="E290" s="8"/>
      <c r="F290" s="8"/>
      <c r="G290" s="8"/>
      <c r="H290" s="8"/>
      <c r="I290" s="8"/>
      <c r="J290" s="8"/>
      <c r="K290" s="4"/>
      <c r="L290" s="8"/>
    </row>
    <row r="291" customFormat="false" ht="15" hidden="false" customHeight="false" outlineLevel="0" collapsed="false">
      <c r="A291" s="4"/>
      <c r="B291" s="8"/>
      <c r="C291" s="8"/>
      <c r="D291" s="8"/>
      <c r="E291" s="8"/>
      <c r="F291" s="8"/>
      <c r="G291" s="8"/>
      <c r="H291" s="8"/>
      <c r="I291" s="8"/>
      <c r="J291" s="8"/>
      <c r="K291" s="4"/>
      <c r="L291" s="8"/>
    </row>
    <row r="292" customFormat="false" ht="15" hidden="false" customHeight="false" outlineLevel="0" collapsed="false">
      <c r="A292" s="4"/>
      <c r="B292" s="8"/>
      <c r="C292" s="8"/>
      <c r="D292" s="8"/>
      <c r="E292" s="8"/>
      <c r="F292" s="8"/>
      <c r="G292" s="8"/>
      <c r="H292" s="8"/>
      <c r="I292" s="8"/>
      <c r="J292" s="8"/>
      <c r="K292" s="4"/>
      <c r="L292" s="8"/>
    </row>
    <row r="293" customFormat="false" ht="15" hidden="false" customHeight="false" outlineLevel="0" collapsed="false">
      <c r="A293" s="4"/>
      <c r="B293" s="8"/>
      <c r="C293" s="8"/>
      <c r="D293" s="8"/>
      <c r="E293" s="8"/>
      <c r="F293" s="8"/>
      <c r="G293" s="8"/>
      <c r="H293" s="8"/>
      <c r="I293" s="8"/>
      <c r="J293" s="8"/>
      <c r="K293" s="4"/>
      <c r="L293" s="8"/>
    </row>
    <row r="294" customFormat="false" ht="15" hidden="false" customHeight="false" outlineLevel="0" collapsed="false">
      <c r="A294" s="4"/>
      <c r="B294" s="8"/>
      <c r="C294" s="8"/>
      <c r="D294" s="8"/>
      <c r="E294" s="8"/>
      <c r="F294" s="8"/>
      <c r="G294" s="8"/>
      <c r="H294" s="8"/>
      <c r="I294" s="8"/>
      <c r="J294" s="8"/>
      <c r="K294" s="4"/>
      <c r="L294" s="8"/>
    </row>
    <row r="295" customFormat="false" ht="15" hidden="false" customHeight="false" outlineLevel="0" collapsed="false">
      <c r="A295" s="4"/>
      <c r="B295" s="8"/>
      <c r="C295" s="8"/>
      <c r="D295" s="8"/>
      <c r="E295" s="8"/>
      <c r="F295" s="8"/>
      <c r="G295" s="8"/>
      <c r="H295" s="8"/>
      <c r="I295" s="8"/>
      <c r="J295" s="8"/>
      <c r="K295" s="4"/>
      <c r="L295" s="8"/>
    </row>
    <row r="296" customFormat="false" ht="15" hidden="false" customHeight="false" outlineLevel="0" collapsed="false">
      <c r="A296" s="4"/>
      <c r="B296" s="8"/>
      <c r="C296" s="8"/>
      <c r="D296" s="8"/>
      <c r="E296" s="8"/>
      <c r="F296" s="8"/>
      <c r="G296" s="8"/>
      <c r="H296" s="8"/>
      <c r="I296" s="8"/>
      <c r="J296" s="8"/>
      <c r="K296" s="4"/>
      <c r="L296" s="8"/>
    </row>
    <row r="297" customFormat="false" ht="15" hidden="false" customHeight="false" outlineLevel="0" collapsed="false">
      <c r="A297" s="4"/>
      <c r="B297" s="8"/>
      <c r="C297" s="8"/>
      <c r="D297" s="8"/>
      <c r="E297" s="8"/>
      <c r="F297" s="8"/>
      <c r="G297" s="8"/>
      <c r="H297" s="8"/>
      <c r="I297" s="8"/>
      <c r="J297" s="8"/>
      <c r="K297" s="4"/>
      <c r="L297" s="8"/>
    </row>
    <row r="298" customFormat="false" ht="15" hidden="false" customHeight="false" outlineLevel="0" collapsed="false">
      <c r="A298" s="4"/>
      <c r="B298" s="8"/>
      <c r="C298" s="8"/>
      <c r="D298" s="8"/>
      <c r="E298" s="8"/>
      <c r="F298" s="8"/>
      <c r="G298" s="8"/>
      <c r="H298" s="8"/>
      <c r="I298" s="8"/>
      <c r="J298" s="8"/>
      <c r="K298" s="4"/>
      <c r="L298" s="8"/>
    </row>
    <row r="299" customFormat="false" ht="15" hidden="false" customHeight="false" outlineLevel="0" collapsed="false">
      <c r="A299" s="4"/>
      <c r="B299" s="8"/>
      <c r="C299" s="8"/>
      <c r="D299" s="8"/>
      <c r="E299" s="8"/>
      <c r="F299" s="8"/>
      <c r="G299" s="8"/>
      <c r="H299" s="8"/>
      <c r="I299" s="8"/>
      <c r="J299" s="8"/>
      <c r="K299" s="4"/>
      <c r="L299" s="8"/>
    </row>
    <row r="300" customFormat="false" ht="15" hidden="false" customHeight="false" outlineLevel="0" collapsed="false">
      <c r="A300" s="4"/>
      <c r="B300" s="8"/>
      <c r="C300" s="8"/>
      <c r="D300" s="8"/>
      <c r="E300" s="8"/>
      <c r="F300" s="8"/>
      <c r="G300" s="8"/>
      <c r="H300" s="8"/>
      <c r="I300" s="8"/>
      <c r="J300" s="8"/>
      <c r="K300" s="4"/>
      <c r="L300" s="8"/>
    </row>
    <row r="301" customFormat="false" ht="15" hidden="false" customHeight="false" outlineLevel="0" collapsed="false">
      <c r="A301" s="4"/>
      <c r="B301" s="8"/>
      <c r="C301" s="8"/>
      <c r="D301" s="8"/>
      <c r="E301" s="8"/>
      <c r="F301" s="8"/>
      <c r="G301" s="8"/>
      <c r="H301" s="8"/>
      <c r="I301" s="8"/>
      <c r="J301" s="8"/>
      <c r="K301" s="4"/>
      <c r="L301" s="8"/>
    </row>
    <row r="302" customFormat="false" ht="15" hidden="false" customHeight="false" outlineLevel="0" collapsed="false">
      <c r="A302" s="4"/>
      <c r="B302" s="8"/>
      <c r="C302" s="8"/>
      <c r="D302" s="8"/>
      <c r="E302" s="8"/>
      <c r="F302" s="8"/>
      <c r="G302" s="8"/>
      <c r="H302" s="8"/>
      <c r="I302" s="8"/>
      <c r="J302" s="8"/>
      <c r="K302" s="4"/>
      <c r="L302" s="8"/>
    </row>
    <row r="303" customFormat="false" ht="15" hidden="false" customHeight="false" outlineLevel="0" collapsed="false">
      <c r="A303" s="4"/>
      <c r="B303" s="8"/>
      <c r="C303" s="8"/>
      <c r="D303" s="8"/>
      <c r="E303" s="8"/>
      <c r="F303" s="8"/>
      <c r="G303" s="8"/>
      <c r="H303" s="8"/>
      <c r="I303" s="8"/>
      <c r="J303" s="8"/>
      <c r="K303" s="4"/>
      <c r="L303" s="8"/>
    </row>
    <row r="304" customFormat="false" ht="15" hidden="false" customHeight="false" outlineLevel="0" collapsed="false">
      <c r="A304" s="4"/>
      <c r="B304" s="8"/>
      <c r="C304" s="8"/>
      <c r="D304" s="8"/>
      <c r="E304" s="8"/>
      <c r="F304" s="8"/>
      <c r="G304" s="8"/>
      <c r="H304" s="8"/>
      <c r="I304" s="8"/>
      <c r="J304" s="8"/>
      <c r="K304" s="4"/>
      <c r="L304" s="8"/>
    </row>
    <row r="305" customFormat="false" ht="15" hidden="false" customHeight="false" outlineLevel="0" collapsed="false">
      <c r="A305" s="4"/>
      <c r="B305" s="8"/>
      <c r="C305" s="8"/>
      <c r="D305" s="8"/>
      <c r="E305" s="8"/>
      <c r="F305" s="8"/>
      <c r="G305" s="8"/>
      <c r="H305" s="8"/>
      <c r="I305" s="8"/>
      <c r="J305" s="8"/>
      <c r="K305" s="4"/>
      <c r="L305" s="8"/>
    </row>
    <row r="306" customFormat="false" ht="15" hidden="false" customHeight="false" outlineLevel="0" collapsed="false">
      <c r="A306" s="4"/>
      <c r="B306" s="8"/>
      <c r="C306" s="8"/>
      <c r="D306" s="8"/>
      <c r="E306" s="8"/>
      <c r="F306" s="8"/>
      <c r="G306" s="8"/>
      <c r="H306" s="8"/>
      <c r="I306" s="8"/>
      <c r="J306" s="8"/>
      <c r="K306" s="4"/>
      <c r="L306" s="8"/>
    </row>
    <row r="307" customFormat="false" ht="15" hidden="false" customHeight="false" outlineLevel="0" collapsed="false">
      <c r="A307" s="4"/>
      <c r="B307" s="8"/>
      <c r="C307" s="8"/>
      <c r="D307" s="8"/>
      <c r="E307" s="8"/>
      <c r="F307" s="8"/>
      <c r="G307" s="8"/>
      <c r="H307" s="8"/>
      <c r="I307" s="8"/>
      <c r="J307" s="8"/>
      <c r="K307" s="4"/>
      <c r="L307" s="8"/>
    </row>
    <row r="308" customFormat="false" ht="15" hidden="false" customHeight="false" outlineLevel="0" collapsed="false">
      <c r="A308" s="4"/>
      <c r="B308" s="8"/>
      <c r="C308" s="8"/>
      <c r="D308" s="8"/>
      <c r="E308" s="8"/>
      <c r="F308" s="8"/>
      <c r="G308" s="8"/>
      <c r="H308" s="8"/>
      <c r="I308" s="8"/>
      <c r="J308" s="8"/>
      <c r="K308" s="4"/>
      <c r="L308" s="8"/>
    </row>
    <row r="309" customFormat="false" ht="15" hidden="false" customHeight="false" outlineLevel="0" collapsed="false">
      <c r="A309" s="4"/>
      <c r="B309" s="8"/>
      <c r="C309" s="8"/>
      <c r="D309" s="8"/>
      <c r="E309" s="8"/>
      <c r="F309" s="8"/>
      <c r="G309" s="8"/>
      <c r="H309" s="8"/>
      <c r="I309" s="8"/>
      <c r="J309" s="8"/>
      <c r="K309" s="4"/>
      <c r="L309" s="8"/>
    </row>
    <row r="310" customFormat="false" ht="15" hidden="false" customHeight="false" outlineLevel="0" collapsed="false">
      <c r="A310" s="4"/>
      <c r="B310" s="8"/>
      <c r="C310" s="8"/>
      <c r="D310" s="8"/>
      <c r="E310" s="8"/>
      <c r="F310" s="8"/>
      <c r="G310" s="8"/>
      <c r="H310" s="8"/>
      <c r="I310" s="8"/>
      <c r="J310" s="8"/>
      <c r="K310" s="4"/>
      <c r="L310" s="8"/>
    </row>
    <row r="311" customFormat="false" ht="15" hidden="false" customHeight="false" outlineLevel="0" collapsed="false">
      <c r="A311" s="4"/>
      <c r="B311" s="8"/>
      <c r="C311" s="8"/>
      <c r="D311" s="8"/>
      <c r="E311" s="8"/>
      <c r="F311" s="8"/>
      <c r="G311" s="8"/>
      <c r="H311" s="8"/>
      <c r="I311" s="8"/>
      <c r="J311" s="8"/>
      <c r="K311" s="4"/>
      <c r="L311" s="8"/>
    </row>
    <row r="312" customFormat="false" ht="15" hidden="false" customHeight="false" outlineLevel="0" collapsed="false">
      <c r="A312" s="4"/>
      <c r="B312" s="8"/>
      <c r="C312" s="8"/>
      <c r="D312" s="8"/>
      <c r="E312" s="8"/>
      <c r="F312" s="8"/>
      <c r="G312" s="8"/>
      <c r="H312" s="8"/>
      <c r="I312" s="8"/>
      <c r="J312" s="8"/>
      <c r="K312" s="4"/>
      <c r="L312" s="8"/>
    </row>
    <row r="313" customFormat="false" ht="15" hidden="false" customHeight="false" outlineLevel="0" collapsed="false">
      <c r="A313" s="4"/>
      <c r="B313" s="8"/>
      <c r="C313" s="8"/>
      <c r="D313" s="8"/>
      <c r="E313" s="8"/>
      <c r="F313" s="8"/>
      <c r="G313" s="8"/>
      <c r="H313" s="8"/>
      <c r="I313" s="8"/>
      <c r="J313" s="8"/>
      <c r="K313" s="4"/>
      <c r="L313" s="8"/>
    </row>
    <row r="314" customFormat="false" ht="15" hidden="false" customHeight="false" outlineLevel="0" collapsed="false">
      <c r="A314" s="4"/>
      <c r="B314" s="8"/>
      <c r="C314" s="8"/>
      <c r="D314" s="8"/>
      <c r="E314" s="8"/>
      <c r="F314" s="8"/>
      <c r="G314" s="8"/>
      <c r="H314" s="8"/>
      <c r="I314" s="8"/>
      <c r="J314" s="8"/>
      <c r="K314" s="4"/>
      <c r="L314" s="8"/>
    </row>
    <row r="315" customFormat="false" ht="15" hidden="false" customHeight="false" outlineLevel="0" collapsed="false">
      <c r="A315" s="4"/>
      <c r="B315" s="8"/>
      <c r="C315" s="8"/>
      <c r="D315" s="8"/>
      <c r="E315" s="8"/>
      <c r="F315" s="8"/>
      <c r="G315" s="8"/>
      <c r="H315" s="8"/>
      <c r="I315" s="8"/>
      <c r="J315" s="8"/>
      <c r="K315" s="4"/>
      <c r="L315" s="8"/>
    </row>
    <row r="316" customFormat="false" ht="15" hidden="false" customHeight="false" outlineLevel="0" collapsed="false">
      <c r="A316" s="4"/>
      <c r="B316" s="8"/>
      <c r="C316" s="8"/>
      <c r="D316" s="8"/>
      <c r="E316" s="8"/>
      <c r="F316" s="8"/>
      <c r="G316" s="8"/>
      <c r="H316" s="8"/>
      <c r="I316" s="8"/>
      <c r="J316" s="8"/>
      <c r="K316" s="4"/>
      <c r="L316" s="8"/>
    </row>
    <row r="317" customFormat="false" ht="15" hidden="false" customHeight="false" outlineLevel="0" collapsed="false">
      <c r="A317" s="4"/>
      <c r="B317" s="8"/>
      <c r="C317" s="8"/>
      <c r="D317" s="8"/>
      <c r="E317" s="8"/>
      <c r="F317" s="8"/>
      <c r="G317" s="8"/>
      <c r="H317" s="8"/>
      <c r="I317" s="8"/>
      <c r="J317" s="8"/>
      <c r="K317" s="4"/>
      <c r="L317" s="8"/>
    </row>
    <row r="318" customFormat="false" ht="15" hidden="false" customHeight="false" outlineLevel="0" collapsed="false">
      <c r="A318" s="4"/>
      <c r="B318" s="8"/>
      <c r="C318" s="8"/>
      <c r="D318" s="8"/>
      <c r="E318" s="8"/>
      <c r="F318" s="8"/>
      <c r="G318" s="8"/>
      <c r="H318" s="8"/>
      <c r="I318" s="8"/>
      <c r="J318" s="8"/>
      <c r="K318" s="4"/>
      <c r="L318" s="8"/>
    </row>
    <row r="319" customFormat="false" ht="15" hidden="false" customHeight="false" outlineLevel="0" collapsed="false">
      <c r="A319" s="4"/>
      <c r="B319" s="8"/>
      <c r="C319" s="8"/>
      <c r="D319" s="8"/>
      <c r="E319" s="8"/>
      <c r="F319" s="8"/>
      <c r="G319" s="8"/>
      <c r="H319" s="8"/>
      <c r="I319" s="8"/>
      <c r="J319" s="8"/>
      <c r="K319" s="4"/>
      <c r="L319" s="8"/>
    </row>
    <row r="320" customFormat="false" ht="15" hidden="false" customHeight="false" outlineLevel="0" collapsed="false">
      <c r="A320" s="4"/>
      <c r="B320" s="8"/>
      <c r="C320" s="8"/>
      <c r="D320" s="8"/>
      <c r="E320" s="8"/>
      <c r="F320" s="8"/>
      <c r="G320" s="8"/>
      <c r="H320" s="8"/>
      <c r="I320" s="8"/>
      <c r="J320" s="8"/>
      <c r="K320" s="4"/>
      <c r="L320" s="8"/>
    </row>
    <row r="321" customFormat="false" ht="15" hidden="false" customHeight="false" outlineLevel="0" collapsed="false">
      <c r="A321" s="4"/>
      <c r="B321" s="8"/>
      <c r="C321" s="8"/>
      <c r="D321" s="8"/>
      <c r="E321" s="8"/>
      <c r="F321" s="8"/>
      <c r="G321" s="8"/>
      <c r="H321" s="8"/>
      <c r="I321" s="8"/>
      <c r="J321" s="8"/>
      <c r="K321" s="4"/>
      <c r="L321" s="8"/>
    </row>
    <row r="322" customFormat="false" ht="15" hidden="false" customHeight="false" outlineLevel="0" collapsed="false">
      <c r="A322" s="4"/>
      <c r="B322" s="8"/>
      <c r="C322" s="8"/>
      <c r="D322" s="8"/>
      <c r="E322" s="8"/>
      <c r="F322" s="8"/>
      <c r="G322" s="8"/>
      <c r="H322" s="8"/>
      <c r="I322" s="8"/>
      <c r="J322" s="8"/>
      <c r="K322" s="4"/>
      <c r="L322" s="8"/>
    </row>
    <row r="323" customFormat="false" ht="15" hidden="false" customHeight="false" outlineLevel="0" collapsed="false">
      <c r="A323" s="4"/>
      <c r="B323" s="8"/>
      <c r="C323" s="8"/>
      <c r="D323" s="8"/>
      <c r="E323" s="8"/>
      <c r="F323" s="8"/>
      <c r="G323" s="8"/>
      <c r="H323" s="8"/>
      <c r="I323" s="8"/>
      <c r="J323" s="8"/>
      <c r="K323" s="4"/>
      <c r="L323" s="8"/>
    </row>
    <row r="324" customFormat="false" ht="15" hidden="false" customHeight="false" outlineLevel="0" collapsed="false">
      <c r="A324" s="4"/>
      <c r="B324" s="8"/>
      <c r="C324" s="8"/>
      <c r="D324" s="8"/>
      <c r="E324" s="8"/>
      <c r="F324" s="8"/>
      <c r="G324" s="8"/>
      <c r="H324" s="8"/>
      <c r="I324" s="8"/>
      <c r="J324" s="8"/>
      <c r="K324" s="4"/>
      <c r="L324" s="8"/>
    </row>
    <row r="325" customFormat="false" ht="15" hidden="false" customHeight="false" outlineLevel="0" collapsed="false">
      <c r="A325" s="4"/>
      <c r="B325" s="8"/>
      <c r="C325" s="8"/>
      <c r="D325" s="8"/>
      <c r="E325" s="8"/>
      <c r="F325" s="8"/>
      <c r="G325" s="8"/>
      <c r="H325" s="8"/>
      <c r="I325" s="8"/>
      <c r="J325" s="8"/>
      <c r="K325" s="4"/>
      <c r="L325" s="8"/>
    </row>
    <row r="326" customFormat="false" ht="15" hidden="false" customHeight="false" outlineLevel="0" collapsed="false">
      <c r="A326" s="4"/>
      <c r="B326" s="8"/>
      <c r="C326" s="8"/>
      <c r="D326" s="8"/>
      <c r="E326" s="8"/>
      <c r="F326" s="8"/>
      <c r="G326" s="8"/>
      <c r="H326" s="8"/>
      <c r="I326" s="8"/>
      <c r="J326" s="8"/>
      <c r="K326" s="4"/>
      <c r="L326" s="8"/>
    </row>
    <row r="327" customFormat="false" ht="15" hidden="false" customHeight="false" outlineLevel="0" collapsed="false">
      <c r="A327" s="4"/>
      <c r="B327" s="8"/>
      <c r="C327" s="8"/>
      <c r="D327" s="8"/>
      <c r="E327" s="8"/>
      <c r="F327" s="8"/>
      <c r="G327" s="8"/>
      <c r="H327" s="8"/>
      <c r="I327" s="8"/>
      <c r="J327" s="8"/>
      <c r="K327" s="4"/>
      <c r="L327" s="8"/>
    </row>
    <row r="328" customFormat="false" ht="15" hidden="false" customHeight="false" outlineLevel="0" collapsed="false">
      <c r="A328" s="4"/>
      <c r="B328" s="8"/>
      <c r="C328" s="8"/>
      <c r="D328" s="8"/>
      <c r="E328" s="8"/>
      <c r="F328" s="8"/>
      <c r="G328" s="8"/>
      <c r="H328" s="8"/>
      <c r="I328" s="8"/>
      <c r="J328" s="8"/>
      <c r="K328" s="4"/>
      <c r="L328" s="8"/>
    </row>
    <row r="329" customFormat="false" ht="15" hidden="false" customHeight="false" outlineLevel="0" collapsed="false">
      <c r="A329" s="4"/>
      <c r="B329" s="8"/>
      <c r="C329" s="8"/>
      <c r="D329" s="8"/>
      <c r="E329" s="8"/>
      <c r="F329" s="8"/>
      <c r="G329" s="8"/>
      <c r="H329" s="8"/>
      <c r="I329" s="8"/>
      <c r="J329" s="8"/>
      <c r="K329" s="4"/>
      <c r="L329" s="8"/>
    </row>
    <row r="330" customFormat="false" ht="15" hidden="false" customHeight="false" outlineLevel="0" collapsed="false">
      <c r="A330" s="4"/>
      <c r="B330" s="8"/>
      <c r="C330" s="8"/>
      <c r="D330" s="8"/>
      <c r="E330" s="8"/>
      <c r="F330" s="8"/>
      <c r="G330" s="8"/>
      <c r="H330" s="8"/>
      <c r="I330" s="8"/>
      <c r="J330" s="8"/>
      <c r="K330" s="4"/>
      <c r="L330" s="8"/>
    </row>
    <row r="331" customFormat="false" ht="15" hidden="false" customHeight="false" outlineLevel="0" collapsed="false">
      <c r="A331" s="4"/>
      <c r="B331" s="8"/>
      <c r="C331" s="8"/>
      <c r="D331" s="8"/>
      <c r="E331" s="8"/>
      <c r="F331" s="8"/>
      <c r="G331" s="8"/>
      <c r="H331" s="8"/>
      <c r="I331" s="8"/>
      <c r="J331" s="8"/>
      <c r="K331" s="4"/>
      <c r="L331" s="8"/>
    </row>
    <row r="332" customFormat="false" ht="15" hidden="false" customHeight="false" outlineLevel="0" collapsed="false">
      <c r="A332" s="4"/>
      <c r="B332" s="8"/>
      <c r="C332" s="8"/>
      <c r="D332" s="8"/>
      <c r="E332" s="8"/>
      <c r="F332" s="8"/>
      <c r="G332" s="8"/>
      <c r="H332" s="8"/>
      <c r="I332" s="8"/>
      <c r="J332" s="8"/>
      <c r="K332" s="4"/>
      <c r="L332" s="8"/>
    </row>
    <row r="333" customFormat="false" ht="15" hidden="false" customHeight="false" outlineLevel="0" collapsed="false">
      <c r="A333" s="4"/>
      <c r="B333" s="8"/>
      <c r="C333" s="8"/>
      <c r="D333" s="8"/>
      <c r="E333" s="8"/>
      <c r="F333" s="8"/>
      <c r="G333" s="8"/>
      <c r="H333" s="8"/>
      <c r="I333" s="8"/>
      <c r="J333" s="8"/>
      <c r="K333" s="4"/>
      <c r="L333" s="8"/>
    </row>
    <row r="334" customFormat="false" ht="15" hidden="false" customHeight="false" outlineLevel="0" collapsed="false">
      <c r="A334" s="4"/>
      <c r="B334" s="8"/>
      <c r="C334" s="8"/>
      <c r="D334" s="8"/>
      <c r="E334" s="8"/>
      <c r="F334" s="8"/>
      <c r="G334" s="8"/>
      <c r="H334" s="8"/>
      <c r="I334" s="8"/>
      <c r="J334" s="8"/>
      <c r="K334" s="4"/>
      <c r="L334" s="8"/>
    </row>
    <row r="335" customFormat="false" ht="15" hidden="false" customHeight="false" outlineLevel="0" collapsed="false">
      <c r="A335" s="4"/>
      <c r="B335" s="8"/>
      <c r="C335" s="8"/>
      <c r="D335" s="8"/>
      <c r="E335" s="8"/>
      <c r="F335" s="8"/>
      <c r="G335" s="8"/>
      <c r="H335" s="8"/>
      <c r="I335" s="8"/>
      <c r="J335" s="8"/>
      <c r="K335" s="4"/>
      <c r="L335" s="8"/>
    </row>
    <row r="336" customFormat="false" ht="15" hidden="false" customHeight="false" outlineLevel="0" collapsed="false">
      <c r="A336" s="4"/>
      <c r="B336" s="8"/>
      <c r="C336" s="8"/>
      <c r="D336" s="8"/>
      <c r="E336" s="8"/>
      <c r="F336" s="8"/>
      <c r="G336" s="8"/>
      <c r="H336" s="8"/>
      <c r="I336" s="8"/>
      <c r="J336" s="8"/>
      <c r="K336" s="4"/>
      <c r="L336" s="8"/>
    </row>
    <row r="337" customFormat="false" ht="15" hidden="false" customHeight="false" outlineLevel="0" collapsed="false">
      <c r="A337" s="4"/>
      <c r="B337" s="8"/>
      <c r="C337" s="8"/>
      <c r="D337" s="8"/>
      <c r="E337" s="8"/>
      <c r="F337" s="8"/>
      <c r="G337" s="8"/>
      <c r="H337" s="8"/>
      <c r="I337" s="8"/>
      <c r="J337" s="8"/>
      <c r="K337" s="4"/>
      <c r="L337" s="8"/>
    </row>
    <row r="338" customFormat="false" ht="15" hidden="false" customHeight="false" outlineLevel="0" collapsed="false">
      <c r="A338" s="4"/>
      <c r="B338" s="8"/>
      <c r="C338" s="8"/>
      <c r="D338" s="8"/>
      <c r="E338" s="8"/>
      <c r="F338" s="8"/>
      <c r="G338" s="8"/>
      <c r="H338" s="8"/>
      <c r="I338" s="8"/>
      <c r="J338" s="8"/>
      <c r="K338" s="4"/>
      <c r="L338" s="8"/>
    </row>
    <row r="339" customFormat="false" ht="15" hidden="false" customHeight="false" outlineLevel="0" collapsed="false">
      <c r="A339" s="4"/>
      <c r="B339" s="8"/>
      <c r="C339" s="8"/>
      <c r="D339" s="8"/>
      <c r="E339" s="8"/>
      <c r="F339" s="8"/>
      <c r="G339" s="8"/>
      <c r="H339" s="8"/>
      <c r="I339" s="8"/>
      <c r="J339" s="8"/>
      <c r="K339" s="4"/>
      <c r="L339" s="8"/>
    </row>
    <row r="340" customFormat="false" ht="15" hidden="false" customHeight="false" outlineLevel="0" collapsed="false">
      <c r="A340" s="4"/>
      <c r="B340" s="8"/>
      <c r="C340" s="8"/>
      <c r="D340" s="8"/>
      <c r="E340" s="8"/>
      <c r="F340" s="8"/>
      <c r="G340" s="8"/>
      <c r="H340" s="8"/>
      <c r="I340" s="8"/>
      <c r="J340" s="8"/>
      <c r="K340" s="4"/>
      <c r="L340" s="8"/>
    </row>
    <row r="341" customFormat="false" ht="15" hidden="false" customHeight="false" outlineLevel="0" collapsed="false">
      <c r="A341" s="4"/>
      <c r="B341" s="8"/>
      <c r="C341" s="8"/>
      <c r="D341" s="8"/>
      <c r="E341" s="8"/>
      <c r="F341" s="8"/>
      <c r="G341" s="8"/>
      <c r="H341" s="8"/>
      <c r="I341" s="8"/>
      <c r="J341" s="8"/>
      <c r="K341" s="4"/>
      <c r="L341" s="8"/>
    </row>
    <row r="342" customFormat="false" ht="15" hidden="false" customHeight="false" outlineLevel="0" collapsed="false">
      <c r="A342" s="4"/>
      <c r="B342" s="8"/>
      <c r="C342" s="8"/>
      <c r="D342" s="8"/>
      <c r="E342" s="8"/>
      <c r="F342" s="8"/>
      <c r="G342" s="8"/>
      <c r="H342" s="8"/>
      <c r="I342" s="8"/>
      <c r="J342" s="8"/>
      <c r="K342" s="4"/>
      <c r="L342" s="8"/>
    </row>
    <row r="343" customFormat="false" ht="15" hidden="false" customHeight="false" outlineLevel="0" collapsed="false">
      <c r="A343" s="4"/>
      <c r="B343" s="8"/>
      <c r="C343" s="8"/>
      <c r="D343" s="8"/>
      <c r="E343" s="8"/>
      <c r="F343" s="8"/>
      <c r="G343" s="8"/>
      <c r="H343" s="8"/>
      <c r="I343" s="8"/>
      <c r="J343" s="8"/>
      <c r="K343" s="4"/>
      <c r="L343" s="8"/>
    </row>
    <row r="344" customFormat="false" ht="15" hidden="false" customHeight="false" outlineLevel="0" collapsed="false">
      <c r="A344" s="4"/>
      <c r="B344" s="8"/>
      <c r="C344" s="8"/>
      <c r="D344" s="8"/>
      <c r="E344" s="8"/>
      <c r="F344" s="8"/>
      <c r="G344" s="8"/>
      <c r="H344" s="8"/>
      <c r="I344" s="8"/>
      <c r="J344" s="8"/>
      <c r="K344" s="4"/>
      <c r="L344" s="8"/>
    </row>
    <row r="345" customFormat="false" ht="15" hidden="false" customHeight="false" outlineLevel="0" collapsed="false">
      <c r="A345" s="4"/>
      <c r="B345" s="8"/>
      <c r="C345" s="8"/>
      <c r="D345" s="8"/>
      <c r="E345" s="8"/>
      <c r="F345" s="8"/>
      <c r="G345" s="8"/>
      <c r="H345" s="8"/>
      <c r="I345" s="8"/>
      <c r="J345" s="8"/>
      <c r="K345" s="4"/>
      <c r="L345" s="8"/>
    </row>
    <row r="346" customFormat="false" ht="15" hidden="false" customHeight="false" outlineLevel="0" collapsed="false">
      <c r="A346" s="4"/>
      <c r="B346" s="8"/>
      <c r="C346" s="8"/>
      <c r="D346" s="8"/>
      <c r="E346" s="8"/>
      <c r="F346" s="8"/>
      <c r="G346" s="8"/>
      <c r="H346" s="8"/>
      <c r="I346" s="8"/>
      <c r="J346" s="8"/>
      <c r="K346" s="4"/>
      <c r="L346" s="8"/>
    </row>
    <row r="347" customFormat="false" ht="15" hidden="false" customHeight="false" outlineLevel="0" collapsed="false">
      <c r="A347" s="4"/>
      <c r="B347" s="8"/>
      <c r="C347" s="8"/>
      <c r="D347" s="8"/>
      <c r="E347" s="8"/>
      <c r="F347" s="8"/>
      <c r="G347" s="8"/>
      <c r="H347" s="8"/>
      <c r="I347" s="8"/>
      <c r="J347" s="8"/>
      <c r="K347" s="4"/>
      <c r="L347" s="8"/>
    </row>
    <row r="348" customFormat="false" ht="15" hidden="false" customHeight="false" outlineLevel="0" collapsed="false">
      <c r="A348" s="4"/>
      <c r="B348" s="8"/>
      <c r="C348" s="8"/>
      <c r="D348" s="8"/>
      <c r="E348" s="8"/>
      <c r="F348" s="8"/>
      <c r="G348" s="8"/>
      <c r="H348" s="8"/>
      <c r="I348" s="8"/>
      <c r="J348" s="8"/>
      <c r="K348" s="4"/>
      <c r="L348" s="8"/>
    </row>
    <row r="349" customFormat="false" ht="15" hidden="false" customHeight="false" outlineLevel="0" collapsed="false">
      <c r="A349" s="4"/>
      <c r="B349" s="8"/>
      <c r="C349" s="8"/>
      <c r="D349" s="8"/>
      <c r="E349" s="8"/>
      <c r="F349" s="8"/>
      <c r="G349" s="8"/>
      <c r="H349" s="8"/>
      <c r="I349" s="8"/>
      <c r="J349" s="8"/>
      <c r="K349" s="4"/>
      <c r="L349" s="8"/>
    </row>
    <row r="350" customFormat="false" ht="15" hidden="false" customHeight="false" outlineLevel="0" collapsed="false">
      <c r="A350" s="4"/>
      <c r="B350" s="8"/>
      <c r="C350" s="8"/>
      <c r="D350" s="8"/>
      <c r="E350" s="8"/>
      <c r="F350" s="8"/>
      <c r="G350" s="8"/>
      <c r="H350" s="8"/>
      <c r="I350" s="8"/>
      <c r="J350" s="8"/>
      <c r="K350" s="4"/>
      <c r="L350" s="8"/>
    </row>
    <row r="351" customFormat="false" ht="15" hidden="false" customHeight="false" outlineLevel="0" collapsed="false">
      <c r="A351" s="4"/>
      <c r="B351" s="8"/>
      <c r="C351" s="8"/>
      <c r="D351" s="8"/>
      <c r="E351" s="8"/>
      <c r="F351" s="8"/>
      <c r="G351" s="8"/>
      <c r="H351" s="8"/>
      <c r="I351" s="8"/>
      <c r="J351" s="8"/>
      <c r="K351" s="4"/>
      <c r="L351" s="8"/>
    </row>
    <row r="352" customFormat="false" ht="15" hidden="false" customHeight="false" outlineLevel="0" collapsed="false">
      <c r="A352" s="4"/>
      <c r="B352" s="8"/>
      <c r="C352" s="8"/>
      <c r="D352" s="8"/>
      <c r="E352" s="8"/>
      <c r="F352" s="8"/>
      <c r="G352" s="8"/>
      <c r="H352" s="8"/>
      <c r="I352" s="8"/>
      <c r="J352" s="8"/>
      <c r="K352" s="4"/>
      <c r="L352" s="8"/>
    </row>
    <row r="353" customFormat="false" ht="15" hidden="false" customHeight="false" outlineLevel="0" collapsed="false">
      <c r="A353" s="4"/>
      <c r="B353" s="8"/>
      <c r="C353" s="8"/>
      <c r="D353" s="8"/>
      <c r="E353" s="8"/>
      <c r="F353" s="8"/>
      <c r="G353" s="8"/>
      <c r="H353" s="8"/>
      <c r="I353" s="8"/>
      <c r="J353" s="8"/>
      <c r="K353" s="4"/>
      <c r="L353" s="8"/>
    </row>
    <row r="354" customFormat="false" ht="15" hidden="false" customHeight="false" outlineLevel="0" collapsed="false">
      <c r="A354" s="4"/>
      <c r="B354" s="8"/>
      <c r="C354" s="8"/>
      <c r="D354" s="8"/>
      <c r="E354" s="8"/>
      <c r="F354" s="8"/>
      <c r="G354" s="8"/>
      <c r="H354" s="8"/>
      <c r="I354" s="8"/>
      <c r="J354" s="8"/>
      <c r="K354" s="4"/>
      <c r="L354" s="8"/>
    </row>
    <row r="355" customFormat="false" ht="15" hidden="false" customHeight="false" outlineLevel="0" collapsed="false">
      <c r="A355" s="4"/>
      <c r="B355" s="8"/>
      <c r="C355" s="8"/>
      <c r="D355" s="8"/>
      <c r="E355" s="8"/>
      <c r="F355" s="8"/>
      <c r="G355" s="8"/>
      <c r="H355" s="8"/>
      <c r="I355" s="8"/>
      <c r="J355" s="8"/>
      <c r="K355" s="4"/>
      <c r="L355" s="8"/>
    </row>
    <row r="356" customFormat="false" ht="15" hidden="false" customHeight="false" outlineLevel="0" collapsed="false">
      <c r="A356" s="4"/>
      <c r="B356" s="8"/>
      <c r="C356" s="8"/>
      <c r="D356" s="8"/>
      <c r="E356" s="8"/>
      <c r="F356" s="8"/>
      <c r="G356" s="8"/>
      <c r="H356" s="8"/>
      <c r="I356" s="8"/>
      <c r="J356" s="8"/>
      <c r="K356" s="4"/>
      <c r="L356" s="8"/>
    </row>
    <row r="357" customFormat="false" ht="15" hidden="false" customHeight="false" outlineLevel="0" collapsed="false">
      <c r="A357" s="4"/>
      <c r="B357" s="8"/>
      <c r="C357" s="8"/>
      <c r="D357" s="8"/>
      <c r="E357" s="8"/>
      <c r="F357" s="8"/>
      <c r="G357" s="8"/>
      <c r="H357" s="8"/>
      <c r="I357" s="8"/>
      <c r="J357" s="8"/>
      <c r="K357" s="4"/>
      <c r="L357" s="8"/>
    </row>
    <row r="358" customFormat="false" ht="15" hidden="false" customHeight="false" outlineLevel="0" collapsed="false">
      <c r="A358" s="4"/>
      <c r="B358" s="8"/>
      <c r="C358" s="8"/>
      <c r="D358" s="8"/>
      <c r="E358" s="8"/>
      <c r="F358" s="8"/>
      <c r="G358" s="8"/>
      <c r="H358" s="8"/>
      <c r="I358" s="8"/>
      <c r="J358" s="8"/>
      <c r="K358" s="4"/>
      <c r="L358" s="8"/>
    </row>
    <row r="359" customFormat="false" ht="15" hidden="false" customHeight="false" outlineLevel="0" collapsed="false">
      <c r="A359" s="4"/>
      <c r="B359" s="8"/>
      <c r="C359" s="8"/>
      <c r="D359" s="8"/>
      <c r="E359" s="8"/>
      <c r="F359" s="8"/>
      <c r="G359" s="8"/>
      <c r="H359" s="8"/>
      <c r="I359" s="8"/>
      <c r="J359" s="8"/>
      <c r="K359" s="4"/>
      <c r="L359" s="8"/>
    </row>
    <row r="360" customFormat="false" ht="15" hidden="false" customHeight="false" outlineLevel="0" collapsed="false">
      <c r="A360" s="4"/>
      <c r="B360" s="8"/>
      <c r="C360" s="8"/>
      <c r="D360" s="8"/>
      <c r="E360" s="8"/>
      <c r="F360" s="8"/>
      <c r="G360" s="8"/>
      <c r="H360" s="8"/>
      <c r="I360" s="8"/>
      <c r="J360" s="8"/>
      <c r="K360" s="4"/>
      <c r="L360" s="8"/>
    </row>
    <row r="361" customFormat="false" ht="15" hidden="false" customHeight="false" outlineLevel="0" collapsed="false">
      <c r="A361" s="4"/>
      <c r="B361" s="8"/>
      <c r="C361" s="8"/>
      <c r="D361" s="8"/>
      <c r="E361" s="8"/>
      <c r="F361" s="8"/>
      <c r="G361" s="8"/>
      <c r="H361" s="8"/>
      <c r="I361" s="8"/>
      <c r="J361" s="8"/>
      <c r="K361" s="4"/>
      <c r="L361" s="8"/>
    </row>
    <row r="362" customFormat="false" ht="15" hidden="false" customHeight="false" outlineLevel="0" collapsed="false">
      <c r="A362" s="4"/>
      <c r="B362" s="8"/>
      <c r="C362" s="8"/>
      <c r="D362" s="8"/>
      <c r="E362" s="8"/>
      <c r="F362" s="8"/>
      <c r="G362" s="8"/>
      <c r="H362" s="8"/>
      <c r="I362" s="8"/>
      <c r="J362" s="8"/>
      <c r="K362" s="4"/>
      <c r="L362" s="8"/>
    </row>
    <row r="363" customFormat="false" ht="15" hidden="false" customHeight="false" outlineLevel="0" collapsed="false">
      <c r="A363" s="4"/>
      <c r="B363" s="8"/>
      <c r="C363" s="8"/>
      <c r="D363" s="8"/>
      <c r="E363" s="8"/>
      <c r="F363" s="8"/>
      <c r="G363" s="8"/>
      <c r="H363" s="8"/>
      <c r="I363" s="8"/>
      <c r="J363" s="8"/>
      <c r="K363" s="4"/>
      <c r="L363" s="8"/>
    </row>
    <row r="364" customFormat="false" ht="15" hidden="false" customHeight="false" outlineLevel="0" collapsed="false">
      <c r="A364" s="4"/>
      <c r="B364" s="8"/>
      <c r="C364" s="8"/>
      <c r="D364" s="8"/>
      <c r="E364" s="8"/>
      <c r="F364" s="8"/>
      <c r="G364" s="8"/>
      <c r="H364" s="8"/>
      <c r="I364" s="8"/>
      <c r="J364" s="8"/>
      <c r="K364" s="4"/>
      <c r="L364" s="8"/>
    </row>
    <row r="365" customFormat="false" ht="15" hidden="false" customHeight="false" outlineLevel="0" collapsed="false">
      <c r="A365" s="4"/>
      <c r="B365" s="8"/>
      <c r="C365" s="8"/>
      <c r="D365" s="8"/>
      <c r="E365" s="8"/>
      <c r="F365" s="8"/>
      <c r="G365" s="8"/>
      <c r="H365" s="8"/>
      <c r="I365" s="8"/>
      <c r="J365" s="8"/>
      <c r="K365" s="4"/>
      <c r="L365" s="8"/>
    </row>
    <row r="366" customFormat="false" ht="15" hidden="false" customHeight="false" outlineLevel="0" collapsed="false">
      <c r="A366" s="4"/>
      <c r="B366" s="8"/>
      <c r="C366" s="8"/>
      <c r="D366" s="8"/>
      <c r="E366" s="8"/>
      <c r="F366" s="8"/>
      <c r="G366" s="8"/>
      <c r="H366" s="8"/>
      <c r="I366" s="8"/>
      <c r="J366" s="8"/>
      <c r="K366" s="4"/>
      <c r="L366" s="8"/>
    </row>
    <row r="367" customFormat="false" ht="15" hidden="false" customHeight="false" outlineLevel="0" collapsed="false">
      <c r="A367" s="4"/>
      <c r="B367" s="8"/>
      <c r="C367" s="8"/>
      <c r="D367" s="8"/>
      <c r="E367" s="8"/>
      <c r="F367" s="8"/>
      <c r="G367" s="8"/>
      <c r="H367" s="8"/>
      <c r="I367" s="8"/>
      <c r="J367" s="8"/>
      <c r="K367" s="4"/>
      <c r="L367" s="8"/>
    </row>
    <row r="368" customFormat="false" ht="15" hidden="false" customHeight="false" outlineLevel="0" collapsed="false">
      <c r="A368" s="4"/>
      <c r="B368" s="8"/>
      <c r="C368" s="8"/>
      <c r="D368" s="8"/>
      <c r="E368" s="8"/>
      <c r="F368" s="8"/>
      <c r="G368" s="8"/>
      <c r="H368" s="8"/>
      <c r="I368" s="8"/>
      <c r="J368" s="8"/>
      <c r="K368" s="4"/>
      <c r="L368" s="8"/>
    </row>
    <row r="369" customFormat="false" ht="15" hidden="false" customHeight="false" outlineLevel="0" collapsed="false">
      <c r="A369" s="4"/>
      <c r="B369" s="8"/>
      <c r="C369" s="8"/>
      <c r="D369" s="8"/>
      <c r="E369" s="8"/>
      <c r="F369" s="8"/>
      <c r="G369" s="8"/>
      <c r="H369" s="8"/>
      <c r="I369" s="8"/>
      <c r="J369" s="8"/>
      <c r="K369" s="4"/>
      <c r="L369" s="8"/>
    </row>
    <row r="370" customFormat="false" ht="15" hidden="false" customHeight="false" outlineLevel="0" collapsed="false">
      <c r="A370" s="4"/>
      <c r="B370" s="8"/>
      <c r="C370" s="8"/>
      <c r="D370" s="8"/>
      <c r="E370" s="8"/>
      <c r="F370" s="8"/>
      <c r="G370" s="8"/>
      <c r="H370" s="8"/>
      <c r="I370" s="8"/>
      <c r="J370" s="8"/>
      <c r="K370" s="4"/>
      <c r="L370" s="8"/>
    </row>
    <row r="371" customFormat="false" ht="15" hidden="false" customHeight="false" outlineLevel="0" collapsed="false">
      <c r="A371" s="4"/>
      <c r="B371" s="8"/>
      <c r="C371" s="8"/>
      <c r="D371" s="8"/>
      <c r="E371" s="8"/>
      <c r="F371" s="8"/>
      <c r="G371" s="8"/>
      <c r="H371" s="8"/>
      <c r="I371" s="8"/>
      <c r="J371" s="8"/>
      <c r="K371" s="4"/>
      <c r="L371" s="8"/>
    </row>
    <row r="372" customFormat="false" ht="15" hidden="false" customHeight="false" outlineLevel="0" collapsed="false">
      <c r="A372" s="4"/>
      <c r="B372" s="8"/>
      <c r="C372" s="8"/>
      <c r="D372" s="8"/>
      <c r="E372" s="8"/>
      <c r="F372" s="8"/>
      <c r="G372" s="8"/>
      <c r="H372" s="8"/>
      <c r="I372" s="8"/>
      <c r="J372" s="8"/>
      <c r="K372" s="4"/>
      <c r="L372" s="8"/>
    </row>
    <row r="373" customFormat="false" ht="15" hidden="false" customHeight="false" outlineLevel="0" collapsed="false">
      <c r="A373" s="4"/>
      <c r="B373" s="8"/>
      <c r="C373" s="8"/>
      <c r="D373" s="8"/>
      <c r="E373" s="8"/>
      <c r="F373" s="8"/>
      <c r="G373" s="8"/>
      <c r="H373" s="8"/>
      <c r="I373" s="8"/>
      <c r="J373" s="8"/>
      <c r="K373" s="4"/>
      <c r="L373" s="8"/>
    </row>
    <row r="374" customFormat="false" ht="15" hidden="false" customHeight="false" outlineLevel="0" collapsed="false">
      <c r="A374" s="4"/>
      <c r="B374" s="8"/>
      <c r="C374" s="8"/>
      <c r="D374" s="8"/>
      <c r="E374" s="8"/>
      <c r="F374" s="8"/>
      <c r="G374" s="8"/>
      <c r="H374" s="8"/>
      <c r="I374" s="8"/>
      <c r="J374" s="8"/>
      <c r="K374" s="4"/>
      <c r="L374" s="8"/>
    </row>
    <row r="375" customFormat="false" ht="15" hidden="false" customHeight="false" outlineLevel="0" collapsed="false">
      <c r="A375" s="4"/>
      <c r="B375" s="8"/>
      <c r="C375" s="8"/>
      <c r="D375" s="8"/>
      <c r="E375" s="8"/>
      <c r="F375" s="8"/>
      <c r="G375" s="8"/>
      <c r="H375" s="8"/>
      <c r="I375" s="8"/>
      <c r="J375" s="8"/>
      <c r="K375" s="4"/>
      <c r="L375" s="8"/>
    </row>
    <row r="376" customFormat="false" ht="15" hidden="false" customHeight="false" outlineLevel="0" collapsed="false">
      <c r="A376" s="4"/>
      <c r="B376" s="8"/>
      <c r="C376" s="8"/>
      <c r="D376" s="8"/>
      <c r="E376" s="8"/>
      <c r="F376" s="8"/>
      <c r="G376" s="8"/>
      <c r="H376" s="8"/>
      <c r="I376" s="8"/>
      <c r="J376" s="8"/>
      <c r="K376" s="4"/>
      <c r="L376" s="8"/>
    </row>
    <row r="377" customFormat="false" ht="15" hidden="false" customHeight="false" outlineLevel="0" collapsed="false">
      <c r="A377" s="4"/>
      <c r="B377" s="8"/>
      <c r="C377" s="8"/>
      <c r="D377" s="8"/>
      <c r="E377" s="8"/>
      <c r="F377" s="8"/>
      <c r="G377" s="8"/>
      <c r="H377" s="8"/>
      <c r="I377" s="8"/>
      <c r="J377" s="8"/>
      <c r="K377" s="4"/>
      <c r="L377" s="8"/>
    </row>
    <row r="378" customFormat="false" ht="15" hidden="false" customHeight="false" outlineLevel="0" collapsed="false">
      <c r="A378" s="4"/>
      <c r="B378" s="8"/>
      <c r="C378" s="8"/>
      <c r="D378" s="8"/>
      <c r="E378" s="8"/>
      <c r="F378" s="8"/>
      <c r="G378" s="8"/>
      <c r="H378" s="8"/>
      <c r="I378" s="8"/>
      <c r="J378" s="8"/>
      <c r="K378" s="4"/>
      <c r="L378" s="8"/>
    </row>
    <row r="379" customFormat="false" ht="15" hidden="false" customHeight="false" outlineLevel="0" collapsed="false">
      <c r="A379" s="4"/>
      <c r="B379" s="8"/>
      <c r="C379" s="8"/>
      <c r="D379" s="8"/>
      <c r="E379" s="8"/>
      <c r="F379" s="8"/>
      <c r="G379" s="8"/>
      <c r="H379" s="8"/>
      <c r="I379" s="8"/>
      <c r="J379" s="8"/>
      <c r="K379" s="4"/>
      <c r="L379" s="8"/>
    </row>
    <row r="380" customFormat="false" ht="15" hidden="false" customHeight="false" outlineLevel="0" collapsed="false">
      <c r="A380" s="4"/>
      <c r="B380" s="8"/>
      <c r="C380" s="8"/>
      <c r="D380" s="8"/>
      <c r="E380" s="8"/>
      <c r="F380" s="8"/>
      <c r="G380" s="8"/>
      <c r="H380" s="8"/>
      <c r="I380" s="8"/>
      <c r="J380" s="8"/>
      <c r="K380" s="4"/>
      <c r="L380" s="8"/>
    </row>
    <row r="381" customFormat="false" ht="15" hidden="false" customHeight="false" outlineLevel="0" collapsed="false">
      <c r="A381" s="4"/>
      <c r="B381" s="8"/>
      <c r="C381" s="8"/>
      <c r="D381" s="8"/>
      <c r="E381" s="8"/>
      <c r="F381" s="8"/>
      <c r="G381" s="8"/>
      <c r="H381" s="8"/>
      <c r="I381" s="8"/>
      <c r="J381" s="8"/>
      <c r="K381" s="4"/>
      <c r="L381" s="8"/>
    </row>
    <row r="382" customFormat="false" ht="15" hidden="false" customHeight="false" outlineLevel="0" collapsed="false">
      <c r="A382" s="4"/>
      <c r="B382" s="8"/>
      <c r="C382" s="8"/>
      <c r="D382" s="8"/>
      <c r="E382" s="8"/>
      <c r="F382" s="8"/>
      <c r="G382" s="8"/>
      <c r="H382" s="8"/>
      <c r="I382" s="8"/>
      <c r="J382" s="8"/>
      <c r="K382" s="4"/>
      <c r="L382" s="8"/>
    </row>
    <row r="383" customFormat="false" ht="15" hidden="false" customHeight="false" outlineLevel="0" collapsed="false">
      <c r="A383" s="4"/>
      <c r="B383" s="8"/>
      <c r="C383" s="8"/>
      <c r="D383" s="8"/>
      <c r="E383" s="8"/>
      <c r="F383" s="8"/>
      <c r="G383" s="8"/>
      <c r="H383" s="8"/>
      <c r="I383" s="8"/>
      <c r="J383" s="8"/>
      <c r="K383" s="4"/>
      <c r="L383" s="8"/>
    </row>
    <row r="384" customFormat="false" ht="15" hidden="false" customHeight="false" outlineLevel="0" collapsed="false">
      <c r="A384" s="4"/>
      <c r="B384" s="8"/>
      <c r="C384" s="8"/>
      <c r="D384" s="8"/>
      <c r="E384" s="8"/>
      <c r="F384" s="8"/>
      <c r="G384" s="8"/>
      <c r="H384" s="8"/>
      <c r="I384" s="8"/>
      <c r="J384" s="8"/>
      <c r="K384" s="4"/>
      <c r="L384" s="8"/>
    </row>
    <row r="385" customFormat="false" ht="15" hidden="false" customHeight="false" outlineLevel="0" collapsed="false">
      <c r="A385" s="4"/>
      <c r="B385" s="8"/>
      <c r="C385" s="8"/>
      <c r="D385" s="8"/>
      <c r="E385" s="8"/>
      <c r="F385" s="8"/>
      <c r="G385" s="8"/>
      <c r="H385" s="8"/>
      <c r="I385" s="8"/>
      <c r="J385" s="8"/>
      <c r="K385" s="4"/>
      <c r="L385" s="8"/>
    </row>
    <row r="386" customFormat="false" ht="15" hidden="false" customHeight="false" outlineLevel="0" collapsed="false">
      <c r="A386" s="4"/>
      <c r="B386" s="8"/>
      <c r="C386" s="8"/>
      <c r="D386" s="8"/>
      <c r="E386" s="8"/>
      <c r="F386" s="8"/>
      <c r="G386" s="8"/>
      <c r="H386" s="8"/>
      <c r="I386" s="8"/>
      <c r="J386" s="8"/>
      <c r="K386" s="4"/>
      <c r="L386" s="8"/>
    </row>
    <row r="387" customFormat="false" ht="15" hidden="false" customHeight="false" outlineLevel="0" collapsed="false">
      <c r="A387" s="4"/>
      <c r="B387" s="8"/>
      <c r="C387" s="8"/>
      <c r="D387" s="8"/>
      <c r="E387" s="8"/>
      <c r="F387" s="8"/>
      <c r="G387" s="8"/>
      <c r="H387" s="8"/>
      <c r="I387" s="8"/>
      <c r="J387" s="8"/>
      <c r="K387" s="4"/>
      <c r="L387" s="8"/>
    </row>
    <row r="388" customFormat="false" ht="15" hidden="false" customHeight="false" outlineLevel="0" collapsed="false">
      <c r="A388" s="4"/>
      <c r="B388" s="8"/>
      <c r="C388" s="8"/>
      <c r="D388" s="8"/>
      <c r="E388" s="8"/>
      <c r="F388" s="8"/>
      <c r="G388" s="8"/>
      <c r="H388" s="8"/>
      <c r="I388" s="8"/>
      <c r="J388" s="8"/>
      <c r="K388" s="4"/>
      <c r="L388" s="8"/>
    </row>
    <row r="389" customFormat="false" ht="15" hidden="false" customHeight="false" outlineLevel="0" collapsed="false">
      <c r="A389" s="4"/>
      <c r="B389" s="8"/>
      <c r="C389" s="8"/>
      <c r="D389" s="8"/>
      <c r="E389" s="8"/>
      <c r="F389" s="8"/>
      <c r="G389" s="8"/>
      <c r="H389" s="8"/>
      <c r="I389" s="8"/>
      <c r="J389" s="8"/>
      <c r="K389" s="4"/>
      <c r="L389" s="8"/>
    </row>
    <row r="390" customFormat="false" ht="15" hidden="false" customHeight="false" outlineLevel="0" collapsed="false">
      <c r="A390" s="4"/>
      <c r="B390" s="8"/>
      <c r="C390" s="8"/>
      <c r="D390" s="8"/>
      <c r="E390" s="8"/>
      <c r="F390" s="8"/>
      <c r="G390" s="8"/>
      <c r="H390" s="8"/>
      <c r="I390" s="8"/>
      <c r="J390" s="8"/>
      <c r="K390" s="4"/>
      <c r="L390" s="8"/>
    </row>
    <row r="391" customFormat="false" ht="15" hidden="false" customHeight="false" outlineLevel="0" collapsed="false">
      <c r="A391" s="4"/>
      <c r="B391" s="8"/>
      <c r="C391" s="8"/>
      <c r="D391" s="8"/>
      <c r="E391" s="8"/>
      <c r="F391" s="8"/>
      <c r="G391" s="8"/>
      <c r="H391" s="8"/>
      <c r="I391" s="8"/>
      <c r="J391" s="8"/>
      <c r="K391" s="4"/>
      <c r="L391" s="8"/>
    </row>
    <row r="392" customFormat="false" ht="15" hidden="false" customHeight="false" outlineLevel="0" collapsed="false">
      <c r="A392" s="4"/>
      <c r="B392" s="8"/>
      <c r="C392" s="8"/>
      <c r="D392" s="8"/>
      <c r="E392" s="8"/>
      <c r="F392" s="8"/>
      <c r="G392" s="8"/>
      <c r="H392" s="8"/>
      <c r="I392" s="8"/>
      <c r="J392" s="8"/>
      <c r="K392" s="4"/>
      <c r="L392" s="8"/>
    </row>
    <row r="393" customFormat="false" ht="15" hidden="false" customHeight="false" outlineLevel="0" collapsed="false">
      <c r="A393" s="4"/>
      <c r="B393" s="8"/>
      <c r="C393" s="8"/>
      <c r="D393" s="8"/>
      <c r="E393" s="8"/>
      <c r="F393" s="8"/>
      <c r="G393" s="8"/>
      <c r="H393" s="8"/>
      <c r="I393" s="8"/>
      <c r="J393" s="8"/>
      <c r="K393" s="4"/>
      <c r="L393" s="8"/>
    </row>
    <row r="394" customFormat="false" ht="15" hidden="false" customHeight="false" outlineLevel="0" collapsed="false">
      <c r="A394" s="4"/>
      <c r="B394" s="8"/>
      <c r="C394" s="8"/>
      <c r="D394" s="8"/>
      <c r="E394" s="8"/>
      <c r="F394" s="8"/>
      <c r="G394" s="8"/>
      <c r="H394" s="8"/>
      <c r="I394" s="8"/>
      <c r="J394" s="8"/>
      <c r="K394" s="4"/>
      <c r="L394" s="8"/>
    </row>
    <row r="395" customFormat="false" ht="15" hidden="false" customHeight="false" outlineLevel="0" collapsed="false">
      <c r="A395" s="4"/>
      <c r="B395" s="8"/>
      <c r="C395" s="8"/>
      <c r="D395" s="8"/>
      <c r="E395" s="8"/>
      <c r="F395" s="8"/>
      <c r="G395" s="8"/>
      <c r="H395" s="8"/>
      <c r="I395" s="8"/>
      <c r="J395" s="8"/>
      <c r="K395" s="4"/>
      <c r="L395" s="8"/>
    </row>
    <row r="396" customFormat="false" ht="15" hidden="false" customHeight="false" outlineLevel="0" collapsed="false">
      <c r="A396" s="4"/>
      <c r="B396" s="8"/>
      <c r="C396" s="8"/>
      <c r="D396" s="8"/>
      <c r="E396" s="8"/>
      <c r="F396" s="8"/>
      <c r="G396" s="8"/>
      <c r="H396" s="8"/>
      <c r="I396" s="8"/>
      <c r="J396" s="8"/>
      <c r="K396" s="4"/>
      <c r="L396" s="8"/>
    </row>
    <row r="397" customFormat="false" ht="15" hidden="false" customHeight="false" outlineLevel="0" collapsed="false">
      <c r="A397" s="4"/>
      <c r="B397" s="8"/>
      <c r="C397" s="8"/>
      <c r="D397" s="8"/>
      <c r="E397" s="8"/>
      <c r="F397" s="8"/>
      <c r="G397" s="8"/>
      <c r="H397" s="8"/>
      <c r="I397" s="8"/>
      <c r="J397" s="8"/>
      <c r="K397" s="4"/>
      <c r="L397" s="8"/>
    </row>
    <row r="398" customFormat="false" ht="15" hidden="false" customHeight="false" outlineLevel="0" collapsed="false">
      <c r="A398" s="4"/>
      <c r="B398" s="8"/>
      <c r="C398" s="8"/>
      <c r="D398" s="8"/>
      <c r="E398" s="8"/>
      <c r="F398" s="8"/>
      <c r="G398" s="8"/>
      <c r="H398" s="8"/>
      <c r="I398" s="8"/>
      <c r="J398" s="8"/>
      <c r="K398" s="4"/>
      <c r="L398" s="8"/>
    </row>
    <row r="399" customFormat="false" ht="15" hidden="false" customHeight="false" outlineLevel="0" collapsed="false">
      <c r="A399" s="4"/>
      <c r="B399" s="8"/>
      <c r="C399" s="8"/>
      <c r="D399" s="8"/>
      <c r="E399" s="8"/>
      <c r="F399" s="8"/>
      <c r="G399" s="8"/>
      <c r="H399" s="8"/>
      <c r="I399" s="8"/>
      <c r="J399" s="8"/>
      <c r="K399" s="4"/>
      <c r="L399" s="8"/>
    </row>
    <row r="400" customFormat="false" ht="15" hidden="false" customHeight="false" outlineLevel="0" collapsed="false">
      <c r="A400" s="4"/>
      <c r="B400" s="8"/>
      <c r="C400" s="8"/>
      <c r="D400" s="8"/>
      <c r="E400" s="8"/>
      <c r="F400" s="8"/>
      <c r="G400" s="8"/>
      <c r="H400" s="8"/>
      <c r="I400" s="8"/>
      <c r="J400" s="8"/>
      <c r="K400" s="4"/>
      <c r="L400" s="8"/>
    </row>
    <row r="401" customFormat="false" ht="15" hidden="false" customHeight="false" outlineLevel="0" collapsed="false">
      <c r="A401" s="4"/>
      <c r="B401" s="8"/>
      <c r="C401" s="8"/>
      <c r="D401" s="8"/>
      <c r="E401" s="8"/>
      <c r="F401" s="8"/>
      <c r="G401" s="8"/>
      <c r="H401" s="8"/>
      <c r="I401" s="8"/>
      <c r="J401" s="8"/>
      <c r="K401" s="4"/>
      <c r="L401" s="8"/>
    </row>
    <row r="402" customFormat="false" ht="15" hidden="false" customHeight="false" outlineLevel="0" collapsed="false">
      <c r="A402" s="4"/>
      <c r="B402" s="8"/>
      <c r="C402" s="8"/>
      <c r="D402" s="8"/>
      <c r="E402" s="8"/>
      <c r="F402" s="8"/>
      <c r="G402" s="8"/>
      <c r="H402" s="8"/>
      <c r="I402" s="8"/>
      <c r="J402" s="8"/>
      <c r="K402" s="4"/>
      <c r="L402" s="8"/>
    </row>
    <row r="403" customFormat="false" ht="15" hidden="false" customHeight="false" outlineLevel="0" collapsed="false">
      <c r="A403" s="4"/>
      <c r="B403" s="8"/>
      <c r="C403" s="8"/>
      <c r="D403" s="8"/>
      <c r="E403" s="8"/>
      <c r="F403" s="8"/>
      <c r="G403" s="8"/>
      <c r="H403" s="8"/>
      <c r="I403" s="8"/>
      <c r="J403" s="8"/>
      <c r="K403" s="4"/>
      <c r="L403" s="8"/>
    </row>
    <row r="404" customFormat="false" ht="15" hidden="false" customHeight="false" outlineLevel="0" collapsed="false">
      <c r="A404" s="4"/>
      <c r="B404" s="8"/>
      <c r="C404" s="8"/>
      <c r="D404" s="8"/>
      <c r="E404" s="8"/>
      <c r="F404" s="8"/>
      <c r="G404" s="8"/>
      <c r="H404" s="8"/>
      <c r="I404" s="8"/>
      <c r="J404" s="8"/>
      <c r="K404" s="4"/>
      <c r="L404" s="8"/>
    </row>
    <row r="405" customFormat="false" ht="15" hidden="false" customHeight="false" outlineLevel="0" collapsed="false">
      <c r="A405" s="4"/>
      <c r="B405" s="8"/>
      <c r="C405" s="8"/>
      <c r="D405" s="8"/>
      <c r="E405" s="8"/>
      <c r="F405" s="8"/>
      <c r="G405" s="8"/>
      <c r="H405" s="8"/>
      <c r="I405" s="8"/>
      <c r="J405" s="8"/>
      <c r="K405" s="4"/>
      <c r="L405" s="8"/>
    </row>
    <row r="406" customFormat="false" ht="15" hidden="false" customHeight="false" outlineLevel="0" collapsed="false">
      <c r="A406" s="4"/>
      <c r="B406" s="8"/>
      <c r="C406" s="8"/>
      <c r="D406" s="8"/>
      <c r="E406" s="8"/>
      <c r="F406" s="8"/>
      <c r="G406" s="8"/>
      <c r="H406" s="8"/>
      <c r="I406" s="8"/>
      <c r="J406" s="8"/>
      <c r="K406" s="4"/>
      <c r="L406" s="8"/>
    </row>
    <row r="407" customFormat="false" ht="15" hidden="false" customHeight="false" outlineLevel="0" collapsed="false">
      <c r="A407" s="4"/>
      <c r="B407" s="8"/>
      <c r="C407" s="8"/>
      <c r="D407" s="8"/>
      <c r="E407" s="8"/>
      <c r="F407" s="8"/>
      <c r="G407" s="8"/>
      <c r="H407" s="8"/>
      <c r="I407" s="8"/>
      <c r="J407" s="8"/>
      <c r="K407" s="4"/>
      <c r="L407" s="8"/>
    </row>
    <row r="408" customFormat="false" ht="15" hidden="false" customHeight="false" outlineLevel="0" collapsed="false">
      <c r="A408" s="4"/>
      <c r="B408" s="8"/>
      <c r="C408" s="8"/>
      <c r="D408" s="8"/>
      <c r="E408" s="8"/>
      <c r="F408" s="8"/>
      <c r="G408" s="8"/>
      <c r="H408" s="8"/>
      <c r="I408" s="8"/>
      <c r="J408" s="8"/>
      <c r="K408" s="4"/>
      <c r="L408" s="8"/>
    </row>
    <row r="409" customFormat="false" ht="15" hidden="false" customHeight="false" outlineLevel="0" collapsed="false">
      <c r="A409" s="4"/>
      <c r="B409" s="8"/>
      <c r="C409" s="8"/>
      <c r="D409" s="8"/>
      <c r="E409" s="8"/>
      <c r="F409" s="8"/>
      <c r="G409" s="8"/>
      <c r="H409" s="8"/>
      <c r="I409" s="8"/>
      <c r="J409" s="8"/>
      <c r="K409" s="4"/>
      <c r="L409" s="8"/>
    </row>
    <row r="410" customFormat="false" ht="15" hidden="false" customHeight="false" outlineLevel="0" collapsed="false">
      <c r="A410" s="4"/>
      <c r="B410" s="8"/>
      <c r="C410" s="8"/>
      <c r="D410" s="8"/>
      <c r="E410" s="8"/>
      <c r="F410" s="8"/>
      <c r="G410" s="8"/>
      <c r="H410" s="8"/>
      <c r="I410" s="8"/>
      <c r="J410" s="8"/>
      <c r="K410" s="4"/>
      <c r="L410" s="8"/>
    </row>
    <row r="411" customFormat="false" ht="15" hidden="false" customHeight="false" outlineLevel="0" collapsed="false">
      <c r="A411" s="4"/>
      <c r="B411" s="8"/>
      <c r="C411" s="8"/>
      <c r="D411" s="8"/>
      <c r="E411" s="8"/>
      <c r="F411" s="8"/>
      <c r="G411" s="8"/>
      <c r="H411" s="8"/>
      <c r="I411" s="8"/>
      <c r="J411" s="8"/>
      <c r="K411" s="4"/>
      <c r="L411" s="8"/>
    </row>
    <row r="412" customFormat="false" ht="15" hidden="false" customHeight="false" outlineLevel="0" collapsed="false">
      <c r="A412" s="4"/>
      <c r="B412" s="8"/>
      <c r="C412" s="8"/>
      <c r="D412" s="8"/>
      <c r="E412" s="8"/>
      <c r="F412" s="8"/>
      <c r="G412" s="8"/>
      <c r="H412" s="8"/>
      <c r="I412" s="8"/>
      <c r="J412" s="8"/>
      <c r="K412" s="4"/>
      <c r="L412" s="8"/>
    </row>
    <row r="413" customFormat="false" ht="15" hidden="false" customHeight="false" outlineLevel="0" collapsed="false">
      <c r="A413" s="4"/>
      <c r="B413" s="8"/>
      <c r="C413" s="8"/>
      <c r="D413" s="8"/>
      <c r="E413" s="8"/>
      <c r="F413" s="8"/>
      <c r="G413" s="8"/>
      <c r="H413" s="8"/>
      <c r="I413" s="8"/>
      <c r="J413" s="8"/>
      <c r="K413" s="4"/>
      <c r="L413" s="8"/>
    </row>
    <row r="414" customFormat="false" ht="15" hidden="false" customHeight="false" outlineLevel="0" collapsed="false">
      <c r="A414" s="4"/>
      <c r="B414" s="8"/>
      <c r="C414" s="8"/>
      <c r="D414" s="8"/>
      <c r="E414" s="8"/>
      <c r="F414" s="8"/>
      <c r="G414" s="8"/>
      <c r="H414" s="8"/>
      <c r="I414" s="8"/>
      <c r="J414" s="8"/>
      <c r="K414" s="4"/>
      <c r="L414" s="8"/>
    </row>
    <row r="415" customFormat="false" ht="15" hidden="false" customHeight="false" outlineLevel="0" collapsed="false">
      <c r="A415" s="4"/>
      <c r="B415" s="8"/>
      <c r="C415" s="8"/>
      <c r="D415" s="8"/>
      <c r="E415" s="8"/>
      <c r="F415" s="8"/>
      <c r="G415" s="8"/>
      <c r="H415" s="8"/>
      <c r="I415" s="8"/>
      <c r="J415" s="8"/>
      <c r="K415" s="4"/>
      <c r="L415" s="8"/>
    </row>
    <row r="416" customFormat="false" ht="15" hidden="false" customHeight="false" outlineLevel="0" collapsed="false">
      <c r="A416" s="4"/>
      <c r="B416" s="8"/>
      <c r="C416" s="8"/>
      <c r="D416" s="8"/>
      <c r="E416" s="8"/>
      <c r="F416" s="8"/>
      <c r="G416" s="8"/>
      <c r="H416" s="8"/>
      <c r="I416" s="8"/>
      <c r="J416" s="8"/>
      <c r="K416" s="4"/>
      <c r="L416" s="8"/>
    </row>
    <row r="417" customFormat="false" ht="15" hidden="false" customHeight="false" outlineLevel="0" collapsed="false">
      <c r="A417" s="4"/>
      <c r="B417" s="8"/>
      <c r="C417" s="8"/>
      <c r="D417" s="8"/>
      <c r="E417" s="8"/>
      <c r="F417" s="8"/>
      <c r="G417" s="8"/>
      <c r="H417" s="8"/>
      <c r="I417" s="8"/>
      <c r="J417" s="8"/>
      <c r="K417" s="4"/>
      <c r="L417" s="8"/>
    </row>
    <row r="418" customFormat="false" ht="15" hidden="false" customHeight="false" outlineLevel="0" collapsed="false">
      <c r="A418" s="4"/>
      <c r="B418" s="8"/>
      <c r="C418" s="8"/>
      <c r="D418" s="8"/>
      <c r="E418" s="8"/>
      <c r="F418" s="8"/>
      <c r="G418" s="8"/>
      <c r="H418" s="8"/>
      <c r="I418" s="8"/>
      <c r="J418" s="8"/>
      <c r="K418" s="4"/>
      <c r="L418" s="8"/>
    </row>
    <row r="419" customFormat="false" ht="15" hidden="false" customHeight="false" outlineLevel="0" collapsed="false">
      <c r="A419" s="4"/>
      <c r="B419" s="8"/>
      <c r="C419" s="8"/>
      <c r="D419" s="8"/>
      <c r="E419" s="8"/>
      <c r="F419" s="8"/>
      <c r="G419" s="8"/>
      <c r="H419" s="8"/>
      <c r="I419" s="8"/>
      <c r="J419" s="8"/>
      <c r="K419" s="4"/>
      <c r="L419" s="8"/>
    </row>
    <row r="420" customFormat="false" ht="15" hidden="false" customHeight="false" outlineLevel="0" collapsed="false">
      <c r="A420" s="4"/>
      <c r="B420" s="8"/>
      <c r="C420" s="8"/>
      <c r="D420" s="8"/>
      <c r="E420" s="8"/>
      <c r="F420" s="8"/>
      <c r="G420" s="8"/>
      <c r="H420" s="8"/>
      <c r="I420" s="8"/>
      <c r="J420" s="8"/>
      <c r="K420" s="4"/>
      <c r="L420" s="8"/>
    </row>
    <row r="421" customFormat="false" ht="15" hidden="false" customHeight="false" outlineLevel="0" collapsed="false">
      <c r="A421" s="4"/>
      <c r="B421" s="8"/>
      <c r="C421" s="8"/>
      <c r="D421" s="8"/>
      <c r="E421" s="8"/>
      <c r="F421" s="8"/>
      <c r="G421" s="8"/>
      <c r="H421" s="8"/>
      <c r="I421" s="8"/>
      <c r="J421" s="8"/>
      <c r="K421" s="4"/>
      <c r="L421" s="8"/>
    </row>
    <row r="422" customFormat="false" ht="15" hidden="false" customHeight="false" outlineLevel="0" collapsed="false">
      <c r="A422" s="4"/>
      <c r="B422" s="8"/>
      <c r="C422" s="8"/>
      <c r="D422" s="8"/>
      <c r="E422" s="8"/>
      <c r="F422" s="8"/>
      <c r="G422" s="8"/>
      <c r="H422" s="8"/>
      <c r="I422" s="8"/>
      <c r="J422" s="8"/>
      <c r="K422" s="4"/>
      <c r="L422" s="8"/>
    </row>
    <row r="423" customFormat="false" ht="15" hidden="false" customHeight="false" outlineLevel="0" collapsed="false">
      <c r="A423" s="4"/>
      <c r="B423" s="8"/>
      <c r="C423" s="8"/>
      <c r="D423" s="8"/>
      <c r="E423" s="8"/>
      <c r="F423" s="8"/>
      <c r="G423" s="8"/>
      <c r="H423" s="8"/>
      <c r="I423" s="8"/>
      <c r="J423" s="8"/>
      <c r="K423" s="4"/>
      <c r="L423" s="8"/>
    </row>
    <row r="424" customFormat="false" ht="15" hidden="false" customHeight="false" outlineLevel="0" collapsed="false">
      <c r="A424" s="4"/>
      <c r="B424" s="8"/>
      <c r="C424" s="8"/>
      <c r="D424" s="8"/>
      <c r="E424" s="8"/>
      <c r="F424" s="8"/>
      <c r="G424" s="8"/>
      <c r="H424" s="8"/>
      <c r="I424" s="8"/>
      <c r="J424" s="8"/>
      <c r="K424" s="4"/>
      <c r="L424" s="8"/>
    </row>
    <row r="425" customFormat="false" ht="15" hidden="false" customHeight="false" outlineLevel="0" collapsed="false">
      <c r="A425" s="4"/>
      <c r="B425" s="8"/>
      <c r="C425" s="8"/>
      <c r="D425" s="8"/>
      <c r="E425" s="8"/>
      <c r="F425" s="8"/>
      <c r="G425" s="8"/>
      <c r="H425" s="8"/>
      <c r="I425" s="8"/>
      <c r="J425" s="8"/>
      <c r="K425" s="4"/>
      <c r="L425" s="8"/>
    </row>
    <row r="426" customFormat="false" ht="15" hidden="false" customHeight="false" outlineLevel="0" collapsed="false">
      <c r="A426" s="4"/>
      <c r="B426" s="8"/>
      <c r="C426" s="8"/>
      <c r="D426" s="8"/>
      <c r="E426" s="8"/>
      <c r="F426" s="8"/>
      <c r="G426" s="8"/>
      <c r="H426" s="8"/>
      <c r="I426" s="8"/>
      <c r="J426" s="8"/>
      <c r="K426" s="4"/>
      <c r="L426" s="8"/>
    </row>
    <row r="427" customFormat="false" ht="15" hidden="false" customHeight="false" outlineLevel="0" collapsed="false">
      <c r="A427" s="4"/>
      <c r="B427" s="8"/>
      <c r="C427" s="8"/>
      <c r="D427" s="8"/>
      <c r="E427" s="8"/>
      <c r="F427" s="8"/>
      <c r="G427" s="8"/>
      <c r="H427" s="8"/>
      <c r="I427" s="8"/>
      <c r="J427" s="8"/>
      <c r="K427" s="4"/>
      <c r="L427" s="8"/>
    </row>
    <row r="428" customFormat="false" ht="15" hidden="false" customHeight="false" outlineLevel="0" collapsed="false">
      <c r="A428" s="4"/>
      <c r="B428" s="8"/>
      <c r="C428" s="8"/>
      <c r="D428" s="8"/>
      <c r="E428" s="8"/>
      <c r="F428" s="8"/>
      <c r="G428" s="8"/>
      <c r="H428" s="8"/>
      <c r="I428" s="8"/>
      <c r="J428" s="8"/>
      <c r="K428" s="4"/>
      <c r="L428" s="8"/>
    </row>
    <row r="429" customFormat="false" ht="15" hidden="false" customHeight="false" outlineLevel="0" collapsed="false">
      <c r="A429" s="4"/>
      <c r="B429" s="8"/>
      <c r="C429" s="8"/>
      <c r="D429" s="8"/>
      <c r="E429" s="8"/>
      <c r="F429" s="8"/>
      <c r="G429" s="8"/>
      <c r="H429" s="8"/>
      <c r="I429" s="8"/>
      <c r="J429" s="8"/>
      <c r="K429" s="4"/>
      <c r="L429" s="8"/>
    </row>
    <row r="430" customFormat="false" ht="15" hidden="false" customHeight="false" outlineLevel="0" collapsed="false">
      <c r="A430" s="4"/>
      <c r="B430" s="8"/>
      <c r="C430" s="8"/>
      <c r="D430" s="8"/>
      <c r="E430" s="8"/>
      <c r="F430" s="8"/>
      <c r="G430" s="8"/>
      <c r="H430" s="8"/>
      <c r="I430" s="8"/>
      <c r="J430" s="8"/>
      <c r="K430" s="4"/>
      <c r="L430" s="8"/>
    </row>
    <row r="431" customFormat="false" ht="15" hidden="false" customHeight="false" outlineLevel="0" collapsed="false">
      <c r="A431" s="4"/>
      <c r="B431" s="8"/>
      <c r="C431" s="8"/>
      <c r="D431" s="8"/>
      <c r="E431" s="8"/>
      <c r="F431" s="8"/>
      <c r="G431" s="8"/>
      <c r="H431" s="8"/>
      <c r="I431" s="8"/>
      <c r="J431" s="8"/>
      <c r="K431" s="4"/>
      <c r="L431" s="8"/>
    </row>
    <row r="432" customFormat="false" ht="15" hidden="false" customHeight="false" outlineLevel="0" collapsed="false">
      <c r="A432" s="4"/>
      <c r="B432" s="8"/>
      <c r="C432" s="8"/>
      <c r="D432" s="8"/>
      <c r="E432" s="8"/>
      <c r="F432" s="8"/>
      <c r="G432" s="8"/>
      <c r="H432" s="8"/>
      <c r="I432" s="8"/>
      <c r="J432" s="8"/>
      <c r="K432" s="4"/>
      <c r="L432" s="8"/>
    </row>
    <row r="433" customFormat="false" ht="15" hidden="false" customHeight="false" outlineLevel="0" collapsed="false">
      <c r="A433" s="4"/>
      <c r="B433" s="8"/>
      <c r="C433" s="8"/>
      <c r="D433" s="8"/>
      <c r="E433" s="8"/>
      <c r="F433" s="8"/>
      <c r="G433" s="8"/>
      <c r="H433" s="8"/>
      <c r="I433" s="8"/>
      <c r="J433" s="8"/>
      <c r="K433" s="4"/>
      <c r="L433" s="8"/>
    </row>
    <row r="434" customFormat="false" ht="15" hidden="false" customHeight="false" outlineLevel="0" collapsed="false">
      <c r="A434" s="4"/>
      <c r="B434" s="8"/>
      <c r="C434" s="8"/>
      <c r="D434" s="8"/>
      <c r="E434" s="8"/>
      <c r="F434" s="8"/>
      <c r="G434" s="8"/>
      <c r="H434" s="8"/>
      <c r="I434" s="8"/>
      <c r="J434" s="8"/>
      <c r="K434" s="4"/>
      <c r="L434" s="8"/>
    </row>
    <row r="435" customFormat="false" ht="15" hidden="false" customHeight="false" outlineLevel="0" collapsed="false">
      <c r="A435" s="4"/>
      <c r="B435" s="8"/>
      <c r="C435" s="8"/>
      <c r="D435" s="8"/>
      <c r="E435" s="8"/>
      <c r="F435" s="8"/>
      <c r="G435" s="8"/>
      <c r="H435" s="8"/>
      <c r="I435" s="8"/>
      <c r="J435" s="8"/>
      <c r="K435" s="4"/>
      <c r="L435" s="8"/>
    </row>
    <row r="436" customFormat="false" ht="15" hidden="false" customHeight="false" outlineLevel="0" collapsed="false">
      <c r="A436" s="4"/>
      <c r="B436" s="8"/>
      <c r="C436" s="8"/>
      <c r="D436" s="8"/>
      <c r="E436" s="8"/>
      <c r="F436" s="8"/>
      <c r="G436" s="8"/>
      <c r="H436" s="8"/>
      <c r="I436" s="8"/>
      <c r="J436" s="8"/>
      <c r="K436" s="4"/>
      <c r="L436" s="8"/>
    </row>
    <row r="437" customFormat="false" ht="15" hidden="false" customHeight="false" outlineLevel="0" collapsed="false">
      <c r="A437" s="4"/>
      <c r="B437" s="8"/>
      <c r="C437" s="8"/>
      <c r="D437" s="8"/>
      <c r="E437" s="8"/>
      <c r="F437" s="8"/>
      <c r="G437" s="8"/>
      <c r="H437" s="8"/>
      <c r="I437" s="8"/>
      <c r="J437" s="8"/>
      <c r="K437" s="4"/>
      <c r="L437" s="8"/>
    </row>
    <row r="438" customFormat="false" ht="15" hidden="false" customHeight="false" outlineLevel="0" collapsed="false">
      <c r="A438" s="4"/>
      <c r="B438" s="8"/>
      <c r="C438" s="8"/>
      <c r="D438" s="8"/>
      <c r="E438" s="8"/>
      <c r="F438" s="8"/>
      <c r="G438" s="8"/>
      <c r="H438" s="8"/>
      <c r="I438" s="8"/>
      <c r="J438" s="8"/>
      <c r="K438" s="4"/>
      <c r="L438" s="8"/>
    </row>
    <row r="439" customFormat="false" ht="15" hidden="false" customHeight="false" outlineLevel="0" collapsed="false">
      <c r="A439" s="4"/>
      <c r="B439" s="8"/>
      <c r="C439" s="8"/>
      <c r="D439" s="8"/>
      <c r="E439" s="8"/>
      <c r="F439" s="8"/>
      <c r="G439" s="8"/>
      <c r="H439" s="8"/>
      <c r="I439" s="8"/>
      <c r="J439" s="8"/>
      <c r="K439" s="4"/>
      <c r="L439" s="8"/>
    </row>
    <row r="440" customFormat="false" ht="15" hidden="false" customHeight="false" outlineLevel="0" collapsed="false">
      <c r="A440" s="4"/>
      <c r="B440" s="8"/>
      <c r="C440" s="8"/>
      <c r="D440" s="8"/>
      <c r="E440" s="8"/>
      <c r="F440" s="8"/>
      <c r="G440" s="8"/>
      <c r="H440" s="8"/>
      <c r="I440" s="8"/>
      <c r="J440" s="8"/>
      <c r="K440" s="4"/>
      <c r="L440" s="8"/>
    </row>
    <row r="441" customFormat="false" ht="15" hidden="false" customHeight="false" outlineLevel="0" collapsed="false">
      <c r="A441" s="4"/>
      <c r="B441" s="8"/>
      <c r="C441" s="8"/>
      <c r="D441" s="8"/>
      <c r="E441" s="8"/>
      <c r="F441" s="8"/>
      <c r="G441" s="8"/>
      <c r="H441" s="8"/>
      <c r="I441" s="8"/>
      <c r="J441" s="8"/>
      <c r="K441" s="4"/>
      <c r="L441" s="8"/>
    </row>
    <row r="442" customFormat="false" ht="15" hidden="false" customHeight="false" outlineLevel="0" collapsed="false">
      <c r="A442" s="4"/>
      <c r="B442" s="8"/>
      <c r="C442" s="8"/>
      <c r="D442" s="8"/>
      <c r="E442" s="8"/>
      <c r="F442" s="8"/>
      <c r="G442" s="8"/>
      <c r="H442" s="8"/>
      <c r="I442" s="8"/>
      <c r="J442" s="8"/>
      <c r="K442" s="4"/>
      <c r="L442" s="8"/>
    </row>
    <row r="443" customFormat="false" ht="15" hidden="false" customHeight="false" outlineLevel="0" collapsed="false">
      <c r="A443" s="4"/>
      <c r="B443" s="8"/>
      <c r="C443" s="8"/>
      <c r="D443" s="8"/>
      <c r="E443" s="8"/>
      <c r="F443" s="8"/>
      <c r="G443" s="8"/>
      <c r="H443" s="8"/>
      <c r="I443" s="8"/>
      <c r="J443" s="8"/>
      <c r="K443" s="4"/>
      <c r="L443" s="8"/>
    </row>
    <row r="444" customFormat="false" ht="15" hidden="false" customHeight="false" outlineLevel="0" collapsed="false">
      <c r="A444" s="4"/>
      <c r="B444" s="8"/>
      <c r="C444" s="8"/>
      <c r="D444" s="8"/>
      <c r="E444" s="8"/>
      <c r="F444" s="8"/>
      <c r="G444" s="8"/>
      <c r="H444" s="8"/>
      <c r="I444" s="8"/>
      <c r="J444" s="8"/>
      <c r="K444" s="4"/>
      <c r="L444" s="8"/>
    </row>
    <row r="445" customFormat="false" ht="15" hidden="false" customHeight="false" outlineLevel="0" collapsed="false">
      <c r="A445" s="4"/>
      <c r="B445" s="8"/>
      <c r="C445" s="8"/>
      <c r="D445" s="8"/>
      <c r="E445" s="8"/>
      <c r="F445" s="8"/>
      <c r="G445" s="8"/>
      <c r="H445" s="8"/>
      <c r="I445" s="8"/>
      <c r="J445" s="8"/>
      <c r="K445" s="4"/>
      <c r="L445" s="8"/>
    </row>
    <row r="446" customFormat="false" ht="15" hidden="false" customHeight="false" outlineLevel="0" collapsed="false">
      <c r="A446" s="4"/>
      <c r="B446" s="8"/>
      <c r="C446" s="8"/>
      <c r="D446" s="8"/>
      <c r="E446" s="8"/>
      <c r="F446" s="8"/>
      <c r="G446" s="8"/>
      <c r="H446" s="8"/>
      <c r="I446" s="8"/>
      <c r="J446" s="8"/>
      <c r="K446" s="4"/>
      <c r="L446" s="8"/>
    </row>
    <row r="447" customFormat="false" ht="15" hidden="false" customHeight="false" outlineLevel="0" collapsed="false">
      <c r="A447" s="4"/>
      <c r="B447" s="8"/>
      <c r="C447" s="8"/>
      <c r="D447" s="8"/>
      <c r="E447" s="8"/>
      <c r="F447" s="8"/>
      <c r="G447" s="8"/>
      <c r="H447" s="8"/>
      <c r="I447" s="8"/>
      <c r="J447" s="8"/>
      <c r="K447" s="4"/>
      <c r="L447" s="8"/>
    </row>
    <row r="448" customFormat="false" ht="15" hidden="false" customHeight="false" outlineLevel="0" collapsed="false">
      <c r="A448" s="4"/>
      <c r="B448" s="8"/>
      <c r="C448" s="8"/>
      <c r="D448" s="8"/>
      <c r="E448" s="8"/>
      <c r="F448" s="8"/>
      <c r="G448" s="8"/>
      <c r="H448" s="8"/>
      <c r="I448" s="8"/>
      <c r="J448" s="8"/>
      <c r="K448" s="4"/>
      <c r="L448" s="8"/>
    </row>
    <row r="449" customFormat="false" ht="15" hidden="false" customHeight="false" outlineLevel="0" collapsed="false">
      <c r="A449" s="4"/>
      <c r="B449" s="8"/>
      <c r="C449" s="8"/>
      <c r="D449" s="8"/>
      <c r="E449" s="8"/>
      <c r="F449" s="8"/>
      <c r="G449" s="8"/>
      <c r="H449" s="8"/>
      <c r="I449" s="8"/>
      <c r="J449" s="8"/>
      <c r="K449" s="4"/>
      <c r="L449" s="8"/>
    </row>
    <row r="450" customFormat="false" ht="15" hidden="false" customHeight="false" outlineLevel="0" collapsed="false">
      <c r="A450" s="4"/>
      <c r="B450" s="8"/>
      <c r="C450" s="8"/>
      <c r="D450" s="8"/>
      <c r="E450" s="8"/>
      <c r="F450" s="8"/>
      <c r="G450" s="8"/>
      <c r="H450" s="8"/>
      <c r="I450" s="8"/>
      <c r="J450" s="8"/>
      <c r="K450" s="4"/>
      <c r="L450" s="8"/>
    </row>
    <row r="451" customFormat="false" ht="15" hidden="false" customHeight="false" outlineLevel="0" collapsed="false">
      <c r="A451" s="4"/>
      <c r="B451" s="8"/>
      <c r="C451" s="8"/>
      <c r="D451" s="8"/>
      <c r="E451" s="8"/>
      <c r="F451" s="8"/>
      <c r="G451" s="8"/>
      <c r="H451" s="8"/>
      <c r="I451" s="8"/>
      <c r="J451" s="8"/>
      <c r="K451" s="4"/>
      <c r="L451" s="8"/>
    </row>
    <row r="452" customFormat="false" ht="15" hidden="false" customHeight="false" outlineLevel="0" collapsed="false">
      <c r="A452" s="4"/>
      <c r="B452" s="8"/>
      <c r="C452" s="8"/>
      <c r="D452" s="8"/>
      <c r="E452" s="8"/>
      <c r="F452" s="8"/>
      <c r="G452" s="8"/>
      <c r="H452" s="8"/>
      <c r="I452" s="8"/>
      <c r="J452" s="8"/>
      <c r="K452" s="4"/>
      <c r="L452" s="8"/>
    </row>
    <row r="453" customFormat="false" ht="15" hidden="false" customHeight="false" outlineLevel="0" collapsed="false">
      <c r="A453" s="4"/>
      <c r="B453" s="8"/>
      <c r="C453" s="8"/>
      <c r="D453" s="8"/>
      <c r="E453" s="8"/>
      <c r="F453" s="8"/>
      <c r="G453" s="8"/>
      <c r="H453" s="8"/>
      <c r="I453" s="8"/>
      <c r="J453" s="8"/>
      <c r="K453" s="4"/>
      <c r="L453" s="8"/>
    </row>
    <row r="454" customFormat="false" ht="15" hidden="false" customHeight="false" outlineLevel="0" collapsed="false">
      <c r="A454" s="4"/>
      <c r="B454" s="8"/>
      <c r="C454" s="8"/>
      <c r="D454" s="8"/>
      <c r="E454" s="8"/>
      <c r="F454" s="8"/>
      <c r="G454" s="8"/>
      <c r="H454" s="8"/>
      <c r="I454" s="8"/>
      <c r="J454" s="8"/>
      <c r="K454" s="4"/>
      <c r="L454" s="8"/>
    </row>
    <row r="455" customFormat="false" ht="15" hidden="false" customHeight="false" outlineLevel="0" collapsed="false">
      <c r="A455" s="4"/>
      <c r="B455" s="8"/>
      <c r="C455" s="8"/>
      <c r="D455" s="8"/>
      <c r="E455" s="8"/>
      <c r="F455" s="8"/>
      <c r="G455" s="8"/>
      <c r="H455" s="8"/>
      <c r="I455" s="8"/>
      <c r="J455" s="8"/>
      <c r="K455" s="4"/>
      <c r="L455" s="8"/>
    </row>
    <row r="456" customFormat="false" ht="15" hidden="false" customHeight="false" outlineLevel="0" collapsed="false">
      <c r="A456" s="4"/>
      <c r="B456" s="8"/>
      <c r="C456" s="8"/>
      <c r="D456" s="8"/>
      <c r="E456" s="8"/>
      <c r="F456" s="8"/>
      <c r="G456" s="8"/>
      <c r="H456" s="8"/>
      <c r="I456" s="8"/>
      <c r="J456" s="8"/>
      <c r="K456" s="4"/>
      <c r="L456" s="8"/>
    </row>
    <row r="457" customFormat="false" ht="15" hidden="false" customHeight="false" outlineLevel="0" collapsed="false">
      <c r="A457" s="4"/>
      <c r="B457" s="8"/>
      <c r="C457" s="8"/>
      <c r="D457" s="8"/>
      <c r="E457" s="8"/>
      <c r="F457" s="8"/>
      <c r="G457" s="8"/>
      <c r="H457" s="8"/>
      <c r="I457" s="8"/>
      <c r="J457" s="8"/>
      <c r="K457" s="4"/>
      <c r="L457" s="8"/>
    </row>
    <row r="458" customFormat="false" ht="15" hidden="false" customHeight="false" outlineLevel="0" collapsed="false">
      <c r="A458" s="4"/>
      <c r="B458" s="8"/>
      <c r="C458" s="8"/>
      <c r="D458" s="8"/>
      <c r="E458" s="8"/>
      <c r="F458" s="8"/>
      <c r="G458" s="8"/>
      <c r="H458" s="8"/>
      <c r="I458" s="8"/>
      <c r="J458" s="8"/>
      <c r="K458" s="4"/>
      <c r="L458" s="8"/>
    </row>
    <row r="459" customFormat="false" ht="15" hidden="false" customHeight="false" outlineLevel="0" collapsed="false">
      <c r="A459" s="4"/>
      <c r="B459" s="8"/>
      <c r="C459" s="8"/>
      <c r="D459" s="8"/>
      <c r="E459" s="8"/>
      <c r="F459" s="8"/>
      <c r="G459" s="8"/>
      <c r="H459" s="8"/>
      <c r="I459" s="8"/>
      <c r="J459" s="8"/>
      <c r="K459" s="4"/>
      <c r="L459" s="8"/>
    </row>
    <row r="460" customFormat="false" ht="15" hidden="false" customHeight="false" outlineLevel="0" collapsed="false">
      <c r="A460" s="4"/>
      <c r="B460" s="8"/>
      <c r="C460" s="8"/>
      <c r="D460" s="8"/>
      <c r="E460" s="8"/>
      <c r="F460" s="8"/>
      <c r="G460" s="8"/>
      <c r="H460" s="8"/>
      <c r="I460" s="8"/>
      <c r="J460" s="8"/>
      <c r="K460" s="4"/>
      <c r="L460" s="8"/>
    </row>
    <row r="461" customFormat="false" ht="15" hidden="false" customHeight="false" outlineLevel="0" collapsed="false">
      <c r="A461" s="4"/>
      <c r="B461" s="8"/>
      <c r="C461" s="8"/>
      <c r="D461" s="8"/>
      <c r="E461" s="8"/>
      <c r="F461" s="8"/>
      <c r="G461" s="8"/>
      <c r="H461" s="8"/>
      <c r="I461" s="8"/>
      <c r="J461" s="8"/>
      <c r="K461" s="4"/>
      <c r="L461" s="8"/>
    </row>
    <row r="462" customFormat="false" ht="15" hidden="false" customHeight="false" outlineLevel="0" collapsed="false">
      <c r="A462" s="4"/>
      <c r="B462" s="8"/>
      <c r="C462" s="8"/>
      <c r="D462" s="8"/>
      <c r="E462" s="8"/>
      <c r="F462" s="8"/>
      <c r="G462" s="8"/>
      <c r="H462" s="8"/>
      <c r="I462" s="8"/>
      <c r="J462" s="8"/>
      <c r="K462" s="4"/>
      <c r="L462" s="8"/>
    </row>
    <row r="463" customFormat="false" ht="15" hidden="false" customHeight="false" outlineLevel="0" collapsed="false">
      <c r="A463" s="4"/>
      <c r="B463" s="8"/>
      <c r="C463" s="8"/>
      <c r="D463" s="8"/>
      <c r="E463" s="8"/>
      <c r="F463" s="8"/>
      <c r="G463" s="8"/>
      <c r="H463" s="8"/>
      <c r="I463" s="8"/>
      <c r="J463" s="8"/>
      <c r="K463" s="4"/>
      <c r="L463" s="8"/>
    </row>
    <row r="464" customFormat="false" ht="15" hidden="false" customHeight="false" outlineLevel="0" collapsed="false">
      <c r="A464" s="4"/>
      <c r="B464" s="8"/>
      <c r="C464" s="8"/>
      <c r="D464" s="8"/>
      <c r="E464" s="8"/>
      <c r="F464" s="8"/>
      <c r="G464" s="8"/>
      <c r="H464" s="8"/>
      <c r="I464" s="8"/>
      <c r="J464" s="8"/>
      <c r="K464" s="4"/>
      <c r="L464" s="8"/>
    </row>
    <row r="465" customFormat="false" ht="15" hidden="false" customHeight="false" outlineLevel="0" collapsed="false">
      <c r="A465" s="4"/>
      <c r="B465" s="8"/>
      <c r="C465" s="8"/>
      <c r="D465" s="8"/>
      <c r="E465" s="8"/>
      <c r="F465" s="8"/>
      <c r="G465" s="8"/>
      <c r="H465" s="8"/>
      <c r="I465" s="8"/>
      <c r="J465" s="8"/>
      <c r="K465" s="4"/>
      <c r="L465" s="8"/>
    </row>
    <row r="466" customFormat="false" ht="15" hidden="false" customHeight="false" outlineLevel="0" collapsed="false">
      <c r="A466" s="4"/>
      <c r="B466" s="8"/>
      <c r="C466" s="8"/>
      <c r="D466" s="8"/>
      <c r="E466" s="8"/>
      <c r="F466" s="8"/>
      <c r="G466" s="8"/>
      <c r="H466" s="8"/>
      <c r="I466" s="8"/>
      <c r="J466" s="8"/>
      <c r="K466" s="4"/>
      <c r="L466" s="8"/>
    </row>
    <row r="467" customFormat="false" ht="15" hidden="false" customHeight="false" outlineLevel="0" collapsed="false">
      <c r="A467" s="4"/>
      <c r="B467" s="8"/>
      <c r="C467" s="8"/>
      <c r="D467" s="8"/>
      <c r="E467" s="8"/>
      <c r="F467" s="8"/>
      <c r="G467" s="8"/>
      <c r="H467" s="8"/>
      <c r="I467" s="8"/>
      <c r="J467" s="8"/>
      <c r="K467" s="4"/>
      <c r="L467" s="8"/>
    </row>
    <row r="468" customFormat="false" ht="15" hidden="false" customHeight="false" outlineLevel="0" collapsed="false">
      <c r="A468" s="4"/>
      <c r="B468" s="8"/>
      <c r="C468" s="8"/>
      <c r="D468" s="8"/>
      <c r="E468" s="8"/>
      <c r="F468" s="8"/>
      <c r="G468" s="8"/>
      <c r="H468" s="8"/>
      <c r="I468" s="8"/>
      <c r="J468" s="8"/>
      <c r="K468" s="4"/>
      <c r="L468" s="8"/>
    </row>
    <row r="469" customFormat="false" ht="15" hidden="false" customHeight="false" outlineLevel="0" collapsed="false">
      <c r="A469" s="4"/>
      <c r="B469" s="8"/>
      <c r="C469" s="8"/>
      <c r="D469" s="8"/>
      <c r="E469" s="8"/>
      <c r="F469" s="8"/>
      <c r="G469" s="8"/>
      <c r="H469" s="8"/>
      <c r="I469" s="8"/>
      <c r="J469" s="8"/>
      <c r="K469" s="4"/>
      <c r="L469" s="8"/>
    </row>
    <row r="470" customFormat="false" ht="15" hidden="false" customHeight="false" outlineLevel="0" collapsed="false">
      <c r="A470" s="4"/>
      <c r="B470" s="8"/>
      <c r="C470" s="8"/>
      <c r="D470" s="8"/>
      <c r="E470" s="8"/>
      <c r="F470" s="8"/>
      <c r="G470" s="8"/>
      <c r="H470" s="8"/>
      <c r="I470" s="8"/>
      <c r="J470" s="8"/>
      <c r="K470" s="4"/>
      <c r="L470" s="8"/>
    </row>
    <row r="471" customFormat="false" ht="15" hidden="false" customHeight="false" outlineLevel="0" collapsed="false">
      <c r="A471" s="4"/>
      <c r="B471" s="8"/>
      <c r="C471" s="8"/>
      <c r="D471" s="8"/>
      <c r="E471" s="8"/>
      <c r="F471" s="8"/>
      <c r="G471" s="8"/>
      <c r="H471" s="8"/>
      <c r="I471" s="8"/>
      <c r="J471" s="8"/>
      <c r="K471" s="4"/>
      <c r="L471" s="8"/>
    </row>
    <row r="472" customFormat="false" ht="15" hidden="false" customHeight="false" outlineLevel="0" collapsed="false">
      <c r="A472" s="4"/>
      <c r="B472" s="8"/>
      <c r="C472" s="8"/>
      <c r="D472" s="8"/>
      <c r="E472" s="8"/>
      <c r="F472" s="8"/>
      <c r="G472" s="8"/>
      <c r="H472" s="8"/>
      <c r="I472" s="8"/>
      <c r="J472" s="8"/>
      <c r="K472" s="4"/>
      <c r="L472" s="8"/>
    </row>
    <row r="473" customFormat="false" ht="15" hidden="false" customHeight="false" outlineLevel="0" collapsed="false">
      <c r="A473" s="4"/>
      <c r="B473" s="8"/>
      <c r="C473" s="8"/>
      <c r="D473" s="8"/>
      <c r="E473" s="8"/>
      <c r="F473" s="8"/>
      <c r="G473" s="8"/>
      <c r="H473" s="8"/>
      <c r="I473" s="8"/>
      <c r="J473" s="8"/>
      <c r="K473" s="4"/>
      <c r="L473" s="8"/>
    </row>
    <row r="474" customFormat="false" ht="15" hidden="false" customHeight="false" outlineLevel="0" collapsed="false">
      <c r="A474" s="4"/>
      <c r="B474" s="8"/>
      <c r="C474" s="8"/>
      <c r="D474" s="8"/>
      <c r="E474" s="8"/>
      <c r="F474" s="8"/>
      <c r="G474" s="8"/>
      <c r="H474" s="8"/>
      <c r="I474" s="8"/>
      <c r="J474" s="8"/>
      <c r="K474" s="4"/>
      <c r="L474" s="8"/>
    </row>
    <row r="475" customFormat="false" ht="15" hidden="false" customHeight="false" outlineLevel="0" collapsed="false">
      <c r="A475" s="4"/>
      <c r="B475" s="8"/>
      <c r="C475" s="8"/>
      <c r="D475" s="8"/>
      <c r="E475" s="8"/>
      <c r="F475" s="8"/>
      <c r="G475" s="8"/>
      <c r="H475" s="8"/>
      <c r="I475" s="8"/>
      <c r="J475" s="8"/>
      <c r="K475" s="4"/>
      <c r="L475" s="8"/>
    </row>
    <row r="476" customFormat="false" ht="15" hidden="false" customHeight="false" outlineLevel="0" collapsed="false">
      <c r="A476" s="4"/>
      <c r="B476" s="8"/>
      <c r="C476" s="8"/>
      <c r="D476" s="8"/>
      <c r="E476" s="8"/>
      <c r="F476" s="8"/>
      <c r="G476" s="8"/>
      <c r="H476" s="8"/>
      <c r="I476" s="8"/>
      <c r="J476" s="8"/>
      <c r="K476" s="4"/>
      <c r="L476" s="8"/>
    </row>
    <row r="477" customFormat="false" ht="15" hidden="false" customHeight="false" outlineLevel="0" collapsed="false">
      <c r="A477" s="4"/>
      <c r="B477" s="8"/>
      <c r="C477" s="8"/>
      <c r="D477" s="8"/>
      <c r="E477" s="8"/>
      <c r="F477" s="8"/>
      <c r="G477" s="8"/>
      <c r="H477" s="8"/>
      <c r="I477" s="8"/>
      <c r="J477" s="8"/>
      <c r="K477" s="4"/>
      <c r="L477" s="8"/>
    </row>
    <row r="478" customFormat="false" ht="15" hidden="false" customHeight="false" outlineLevel="0" collapsed="false">
      <c r="A478" s="4"/>
      <c r="B478" s="8"/>
      <c r="C478" s="8"/>
      <c r="D478" s="8"/>
      <c r="E478" s="8"/>
      <c r="F478" s="8"/>
      <c r="G478" s="8"/>
      <c r="H478" s="8"/>
      <c r="I478" s="8"/>
      <c r="J478" s="8"/>
      <c r="K478" s="4"/>
      <c r="L478" s="8"/>
    </row>
    <row r="479" customFormat="false" ht="15" hidden="false" customHeight="false" outlineLevel="0" collapsed="false">
      <c r="A479" s="4"/>
      <c r="B479" s="8"/>
      <c r="C479" s="8"/>
      <c r="D479" s="8"/>
      <c r="E479" s="8"/>
      <c r="F479" s="8"/>
      <c r="G479" s="8"/>
      <c r="H479" s="8"/>
      <c r="I479" s="8"/>
      <c r="J479" s="8"/>
      <c r="K479" s="4"/>
      <c r="L479" s="8"/>
    </row>
    <row r="480" customFormat="false" ht="15" hidden="false" customHeight="false" outlineLevel="0" collapsed="false">
      <c r="A480" s="4"/>
      <c r="B480" s="8"/>
      <c r="C480" s="8"/>
      <c r="D480" s="8"/>
      <c r="E480" s="8"/>
      <c r="F480" s="8"/>
      <c r="G480" s="8"/>
      <c r="H480" s="8"/>
      <c r="I480" s="8"/>
      <c r="J480" s="8"/>
      <c r="K480" s="4"/>
      <c r="L480" s="8"/>
    </row>
    <row r="481" customFormat="false" ht="15" hidden="false" customHeight="false" outlineLevel="0" collapsed="false">
      <c r="A481" s="4"/>
      <c r="B481" s="8"/>
      <c r="C481" s="8"/>
      <c r="D481" s="8"/>
      <c r="E481" s="8"/>
      <c r="F481" s="8"/>
      <c r="G481" s="8"/>
      <c r="H481" s="8"/>
      <c r="I481" s="8"/>
      <c r="J481" s="8"/>
      <c r="K481" s="4"/>
      <c r="L481" s="8"/>
    </row>
    <row r="482" customFormat="false" ht="15" hidden="false" customHeight="false" outlineLevel="0" collapsed="false">
      <c r="A482" s="4"/>
      <c r="B482" s="8"/>
      <c r="C482" s="8"/>
      <c r="D482" s="8"/>
      <c r="E482" s="8"/>
      <c r="F482" s="8"/>
      <c r="G482" s="8"/>
      <c r="H482" s="8"/>
      <c r="I482" s="8"/>
      <c r="J482" s="8"/>
      <c r="K482" s="4"/>
      <c r="L482" s="8"/>
    </row>
    <row r="483" customFormat="false" ht="15" hidden="false" customHeight="false" outlineLevel="0" collapsed="false">
      <c r="A483" s="4"/>
      <c r="B483" s="8"/>
      <c r="C483" s="8"/>
      <c r="D483" s="8"/>
      <c r="E483" s="8"/>
      <c r="F483" s="8"/>
      <c r="G483" s="8"/>
      <c r="H483" s="8"/>
      <c r="I483" s="8"/>
      <c r="J483" s="8"/>
      <c r="K483" s="4"/>
      <c r="L483" s="8"/>
    </row>
    <row r="484" customFormat="false" ht="15" hidden="false" customHeight="false" outlineLevel="0" collapsed="false">
      <c r="A484" s="4"/>
      <c r="B484" s="8"/>
      <c r="C484" s="8"/>
      <c r="D484" s="8"/>
      <c r="E484" s="8"/>
      <c r="F484" s="8"/>
      <c r="G484" s="8"/>
      <c r="H484" s="8"/>
      <c r="I484" s="8"/>
      <c r="J484" s="8"/>
      <c r="K484" s="4"/>
      <c r="L484" s="8"/>
    </row>
    <row r="485" customFormat="false" ht="15" hidden="false" customHeight="false" outlineLevel="0" collapsed="false">
      <c r="A485" s="4"/>
      <c r="B485" s="8"/>
      <c r="C485" s="8"/>
      <c r="D485" s="8"/>
      <c r="E485" s="8"/>
      <c r="F485" s="8"/>
      <c r="G485" s="8"/>
      <c r="H485" s="8"/>
      <c r="I485" s="8"/>
      <c r="J485" s="8"/>
      <c r="K485" s="4"/>
      <c r="L485" s="8"/>
    </row>
    <row r="486" customFormat="false" ht="15" hidden="false" customHeight="false" outlineLevel="0" collapsed="false">
      <c r="A486" s="4"/>
      <c r="B486" s="8"/>
      <c r="C486" s="8"/>
      <c r="D486" s="8"/>
      <c r="E486" s="8"/>
      <c r="F486" s="8"/>
      <c r="G486" s="8"/>
      <c r="H486" s="8"/>
      <c r="I486" s="8"/>
      <c r="J486" s="8"/>
      <c r="K486" s="4"/>
      <c r="L486" s="8"/>
    </row>
    <row r="487" customFormat="false" ht="15" hidden="false" customHeight="false" outlineLevel="0" collapsed="false">
      <c r="A487" s="4"/>
      <c r="B487" s="8"/>
      <c r="C487" s="8"/>
      <c r="D487" s="8"/>
      <c r="E487" s="8"/>
      <c r="F487" s="8"/>
      <c r="G487" s="8"/>
      <c r="H487" s="8"/>
      <c r="I487" s="8"/>
      <c r="J487" s="8"/>
      <c r="K487" s="4"/>
      <c r="L487" s="8"/>
    </row>
    <row r="488" customFormat="false" ht="15" hidden="false" customHeight="false" outlineLevel="0" collapsed="false">
      <c r="A488" s="4"/>
      <c r="B488" s="8"/>
      <c r="C488" s="8"/>
      <c r="D488" s="8"/>
      <c r="E488" s="8"/>
      <c r="F488" s="8"/>
      <c r="G488" s="8"/>
      <c r="H488" s="8"/>
      <c r="I488" s="8"/>
      <c r="J488" s="8"/>
      <c r="K488" s="4"/>
      <c r="L488" s="8"/>
    </row>
    <row r="489" customFormat="false" ht="15" hidden="false" customHeight="false" outlineLevel="0" collapsed="false">
      <c r="A489" s="4"/>
      <c r="B489" s="8"/>
      <c r="C489" s="8"/>
      <c r="D489" s="8"/>
      <c r="E489" s="8"/>
      <c r="F489" s="8"/>
      <c r="G489" s="8"/>
      <c r="H489" s="8"/>
      <c r="I489" s="8"/>
      <c r="J489" s="8"/>
      <c r="K489" s="4"/>
      <c r="L489" s="8"/>
    </row>
    <row r="490" customFormat="false" ht="15" hidden="false" customHeight="false" outlineLevel="0" collapsed="false">
      <c r="A490" s="4"/>
      <c r="B490" s="8"/>
      <c r="C490" s="8"/>
      <c r="D490" s="8"/>
      <c r="E490" s="8"/>
      <c r="F490" s="8"/>
      <c r="G490" s="8"/>
      <c r="H490" s="8"/>
      <c r="I490" s="8"/>
      <c r="J490" s="8"/>
      <c r="K490" s="4"/>
      <c r="L490" s="8"/>
    </row>
    <row r="491" customFormat="false" ht="15" hidden="false" customHeight="false" outlineLevel="0" collapsed="false">
      <c r="A491" s="4"/>
      <c r="B491" s="8"/>
      <c r="C491" s="8"/>
      <c r="D491" s="8"/>
      <c r="E491" s="8"/>
      <c r="F491" s="8"/>
      <c r="G491" s="8"/>
      <c r="H491" s="8"/>
      <c r="I491" s="8"/>
      <c r="J491" s="8"/>
      <c r="K491" s="4"/>
      <c r="L491" s="8"/>
    </row>
    <row r="492" customFormat="false" ht="15" hidden="false" customHeight="false" outlineLevel="0" collapsed="false">
      <c r="A492" s="4"/>
      <c r="B492" s="8"/>
      <c r="C492" s="8"/>
      <c r="D492" s="8"/>
      <c r="E492" s="8"/>
      <c r="F492" s="8"/>
      <c r="G492" s="8"/>
      <c r="H492" s="8"/>
      <c r="I492" s="8"/>
      <c r="J492" s="8"/>
      <c r="K492" s="4"/>
      <c r="L492" s="8"/>
    </row>
    <row r="493" customFormat="false" ht="15" hidden="false" customHeight="false" outlineLevel="0" collapsed="false">
      <c r="A493" s="4"/>
      <c r="B493" s="8"/>
      <c r="C493" s="8"/>
      <c r="D493" s="8"/>
      <c r="E493" s="8"/>
      <c r="F493" s="8"/>
      <c r="G493" s="8"/>
      <c r="H493" s="8"/>
      <c r="I493" s="8"/>
      <c r="J493" s="8"/>
      <c r="K493" s="4"/>
      <c r="L493" s="8"/>
    </row>
    <row r="494" customFormat="false" ht="15" hidden="false" customHeight="false" outlineLevel="0" collapsed="false">
      <c r="A494" s="4"/>
      <c r="B494" s="8"/>
      <c r="C494" s="8"/>
      <c r="D494" s="8"/>
      <c r="E494" s="8"/>
      <c r="F494" s="8"/>
      <c r="G494" s="8"/>
      <c r="H494" s="8"/>
      <c r="I494" s="8"/>
      <c r="J494" s="8"/>
      <c r="K494" s="4"/>
      <c r="L494" s="8"/>
    </row>
    <row r="495" customFormat="false" ht="15" hidden="false" customHeight="false" outlineLevel="0" collapsed="false">
      <c r="A495" s="4"/>
      <c r="B495" s="8"/>
      <c r="C495" s="8"/>
      <c r="D495" s="8"/>
      <c r="E495" s="8"/>
      <c r="F495" s="8"/>
      <c r="G495" s="8"/>
      <c r="H495" s="8"/>
      <c r="I495" s="8"/>
      <c r="J495" s="8"/>
      <c r="K495" s="4"/>
      <c r="L495" s="8"/>
    </row>
    <row r="496" customFormat="false" ht="15" hidden="false" customHeight="false" outlineLevel="0" collapsed="false">
      <c r="A496" s="4"/>
      <c r="B496" s="8"/>
      <c r="C496" s="8"/>
      <c r="D496" s="8"/>
      <c r="E496" s="8"/>
      <c r="F496" s="8"/>
      <c r="G496" s="8"/>
      <c r="H496" s="8"/>
      <c r="I496" s="8"/>
      <c r="J496" s="8"/>
      <c r="K496" s="4"/>
      <c r="L496" s="8"/>
    </row>
    <row r="497" customFormat="false" ht="15" hidden="false" customHeight="false" outlineLevel="0" collapsed="false">
      <c r="A497" s="4"/>
      <c r="B497" s="8"/>
      <c r="C497" s="8"/>
      <c r="D497" s="8"/>
      <c r="E497" s="8"/>
      <c r="F497" s="8"/>
      <c r="G497" s="8"/>
      <c r="H497" s="8"/>
      <c r="I497" s="8"/>
      <c r="J497" s="8"/>
      <c r="K497" s="4"/>
      <c r="L497" s="8"/>
    </row>
    <row r="498" customFormat="false" ht="15" hidden="false" customHeight="false" outlineLevel="0" collapsed="false">
      <c r="A498" s="4"/>
      <c r="B498" s="8"/>
      <c r="C498" s="8"/>
      <c r="D498" s="8"/>
      <c r="E498" s="8"/>
      <c r="F498" s="8"/>
      <c r="G498" s="8"/>
      <c r="H498" s="8"/>
      <c r="I498" s="8"/>
      <c r="J498" s="8"/>
      <c r="K498" s="4"/>
      <c r="L498" s="8"/>
    </row>
    <row r="499" customFormat="false" ht="15" hidden="false" customHeight="false" outlineLevel="0" collapsed="false">
      <c r="A499" s="4"/>
      <c r="B499" s="8"/>
      <c r="C499" s="8"/>
      <c r="D499" s="8"/>
      <c r="E499" s="8"/>
      <c r="F499" s="8"/>
      <c r="G499" s="8"/>
      <c r="H499" s="8"/>
      <c r="I499" s="8"/>
      <c r="J499" s="8"/>
      <c r="K499" s="4"/>
      <c r="L499" s="8"/>
    </row>
    <row r="500" customFormat="false" ht="15" hidden="false" customHeight="false" outlineLevel="0" collapsed="false">
      <c r="A500" s="4"/>
      <c r="B500" s="8"/>
      <c r="C500" s="8"/>
      <c r="D500" s="8"/>
      <c r="E500" s="8"/>
      <c r="F500" s="8"/>
      <c r="G500" s="8"/>
      <c r="H500" s="8"/>
      <c r="I500" s="8"/>
      <c r="J500" s="8"/>
      <c r="K500" s="4"/>
      <c r="L500" s="8"/>
    </row>
    <row r="501" customFormat="false" ht="15" hidden="false" customHeight="false" outlineLevel="0" collapsed="false">
      <c r="A501" s="4"/>
      <c r="B501" s="8"/>
      <c r="C501" s="8"/>
      <c r="D501" s="8"/>
      <c r="E501" s="8"/>
      <c r="F501" s="8"/>
      <c r="G501" s="8"/>
      <c r="H501" s="8"/>
      <c r="I501" s="8"/>
      <c r="J501" s="8"/>
      <c r="K501" s="4"/>
      <c r="L501" s="8"/>
    </row>
    <row r="502" customFormat="false" ht="15" hidden="false" customHeight="false" outlineLevel="0" collapsed="false">
      <c r="A502" s="4"/>
      <c r="B502" s="8"/>
      <c r="C502" s="8"/>
      <c r="D502" s="8"/>
      <c r="E502" s="8"/>
      <c r="F502" s="8"/>
      <c r="G502" s="8"/>
      <c r="H502" s="8"/>
      <c r="I502" s="8"/>
      <c r="J502" s="8"/>
      <c r="K502" s="4"/>
      <c r="L502" s="8"/>
    </row>
    <row r="503" customFormat="false" ht="15" hidden="false" customHeight="false" outlineLevel="0" collapsed="false">
      <c r="A503" s="4"/>
      <c r="B503" s="8"/>
      <c r="C503" s="8"/>
      <c r="D503" s="8"/>
      <c r="E503" s="8"/>
      <c r="F503" s="8"/>
      <c r="G503" s="8"/>
      <c r="H503" s="8"/>
      <c r="I503" s="8"/>
      <c r="J503" s="8"/>
      <c r="K503" s="4"/>
      <c r="L503" s="8"/>
    </row>
    <row r="504" customFormat="false" ht="15" hidden="false" customHeight="false" outlineLevel="0" collapsed="false">
      <c r="A504" s="4"/>
      <c r="B504" s="8"/>
      <c r="C504" s="8"/>
      <c r="D504" s="8"/>
      <c r="E504" s="8"/>
      <c r="F504" s="8"/>
      <c r="G504" s="8"/>
      <c r="H504" s="8"/>
      <c r="I504" s="8"/>
      <c r="J504" s="8"/>
      <c r="K504" s="4"/>
      <c r="L504" s="8"/>
    </row>
    <row r="505" customFormat="false" ht="15" hidden="false" customHeight="false" outlineLevel="0" collapsed="false">
      <c r="A505" s="4"/>
      <c r="B505" s="8"/>
      <c r="C505" s="8"/>
      <c r="D505" s="8"/>
      <c r="E505" s="8"/>
      <c r="F505" s="8"/>
      <c r="G505" s="8"/>
      <c r="H505" s="8"/>
      <c r="I505" s="8"/>
      <c r="J505" s="8"/>
      <c r="K505" s="4"/>
      <c r="L505" s="8"/>
    </row>
    <row r="506" customFormat="false" ht="15" hidden="false" customHeight="false" outlineLevel="0" collapsed="false">
      <c r="A506" s="4"/>
      <c r="B506" s="8"/>
      <c r="C506" s="8"/>
      <c r="D506" s="8"/>
      <c r="E506" s="8"/>
      <c r="F506" s="8"/>
      <c r="G506" s="8"/>
      <c r="H506" s="8"/>
      <c r="I506" s="8"/>
      <c r="J506" s="8"/>
      <c r="K506" s="4"/>
      <c r="L506" s="8"/>
    </row>
    <row r="507" customFormat="false" ht="15" hidden="false" customHeight="false" outlineLevel="0" collapsed="false">
      <c r="A507" s="4"/>
      <c r="B507" s="8"/>
      <c r="C507" s="8"/>
      <c r="D507" s="8"/>
      <c r="E507" s="8"/>
      <c r="F507" s="8"/>
      <c r="G507" s="8"/>
      <c r="H507" s="8"/>
      <c r="I507" s="8"/>
      <c r="J507" s="8"/>
      <c r="K507" s="4"/>
      <c r="L507" s="8"/>
    </row>
    <row r="508" customFormat="false" ht="15" hidden="false" customHeight="false" outlineLevel="0" collapsed="false">
      <c r="A508" s="4"/>
      <c r="B508" s="8"/>
      <c r="C508" s="8"/>
      <c r="D508" s="8"/>
      <c r="E508" s="8"/>
      <c r="F508" s="8"/>
      <c r="G508" s="8"/>
      <c r="H508" s="8"/>
      <c r="I508" s="8"/>
      <c r="J508" s="8"/>
      <c r="K508" s="4"/>
      <c r="L508" s="8"/>
    </row>
    <row r="509" customFormat="false" ht="15" hidden="false" customHeight="false" outlineLevel="0" collapsed="false">
      <c r="A509" s="4"/>
      <c r="B509" s="8"/>
      <c r="C509" s="8"/>
      <c r="D509" s="8"/>
      <c r="E509" s="8"/>
      <c r="F509" s="8"/>
      <c r="G509" s="8"/>
      <c r="H509" s="8"/>
      <c r="I509" s="8"/>
      <c r="J509" s="8"/>
      <c r="K509" s="4"/>
      <c r="L509" s="8"/>
    </row>
    <row r="510" customFormat="false" ht="15" hidden="false" customHeight="false" outlineLevel="0" collapsed="false">
      <c r="A510" s="4"/>
      <c r="B510" s="8"/>
      <c r="C510" s="8"/>
      <c r="D510" s="8"/>
      <c r="E510" s="8"/>
      <c r="F510" s="8"/>
      <c r="G510" s="8"/>
      <c r="H510" s="8"/>
      <c r="I510" s="8"/>
      <c r="J510" s="8"/>
      <c r="K510" s="4"/>
      <c r="L510" s="8"/>
    </row>
    <row r="511" customFormat="false" ht="15" hidden="false" customHeight="false" outlineLevel="0" collapsed="false">
      <c r="A511" s="4"/>
      <c r="B511" s="8"/>
      <c r="C511" s="8"/>
      <c r="D511" s="8"/>
      <c r="E511" s="8"/>
      <c r="F511" s="8"/>
      <c r="G511" s="8"/>
      <c r="H511" s="8"/>
      <c r="I511" s="8"/>
      <c r="J511" s="8"/>
      <c r="K511" s="4"/>
      <c r="L511" s="8"/>
    </row>
    <row r="512" customFormat="false" ht="15" hidden="false" customHeight="false" outlineLevel="0" collapsed="false">
      <c r="A512" s="4"/>
      <c r="B512" s="8"/>
      <c r="C512" s="8"/>
      <c r="D512" s="8"/>
      <c r="E512" s="8"/>
      <c r="F512" s="8"/>
      <c r="G512" s="8"/>
      <c r="H512" s="8"/>
      <c r="I512" s="8"/>
      <c r="J512" s="8"/>
      <c r="K512" s="4"/>
      <c r="L512" s="8"/>
    </row>
    <row r="513" customFormat="false" ht="15" hidden="false" customHeight="false" outlineLevel="0" collapsed="false">
      <c r="A513" s="4"/>
      <c r="B513" s="8"/>
      <c r="C513" s="8"/>
      <c r="D513" s="8"/>
      <c r="E513" s="8"/>
      <c r="F513" s="8"/>
      <c r="G513" s="8"/>
      <c r="H513" s="8"/>
      <c r="I513" s="8"/>
      <c r="J513" s="8"/>
      <c r="K513" s="4"/>
      <c r="L513" s="8"/>
    </row>
    <row r="514" customFormat="false" ht="15" hidden="false" customHeight="false" outlineLevel="0" collapsed="false">
      <c r="A514" s="4"/>
      <c r="B514" s="8"/>
      <c r="C514" s="8"/>
      <c r="D514" s="8"/>
      <c r="E514" s="8"/>
      <c r="F514" s="8"/>
      <c r="G514" s="8"/>
      <c r="H514" s="8"/>
      <c r="I514" s="8"/>
      <c r="J514" s="8"/>
      <c r="K514" s="4"/>
      <c r="L514" s="8"/>
    </row>
    <row r="515" customFormat="false" ht="15" hidden="false" customHeight="false" outlineLevel="0" collapsed="false">
      <c r="A515" s="4"/>
      <c r="B515" s="8"/>
      <c r="C515" s="8"/>
      <c r="D515" s="8"/>
      <c r="E515" s="8"/>
      <c r="F515" s="8"/>
      <c r="G515" s="8"/>
      <c r="H515" s="8"/>
      <c r="I515" s="8"/>
      <c r="J515" s="8"/>
      <c r="K515" s="4"/>
      <c r="L515" s="8"/>
    </row>
    <row r="516" customFormat="false" ht="15" hidden="false" customHeight="false" outlineLevel="0" collapsed="false">
      <c r="A516" s="4"/>
      <c r="B516" s="8"/>
      <c r="C516" s="8"/>
      <c r="D516" s="8"/>
      <c r="E516" s="8"/>
      <c r="F516" s="8"/>
      <c r="G516" s="8"/>
      <c r="H516" s="8"/>
      <c r="I516" s="8"/>
      <c r="J516" s="8"/>
      <c r="K516" s="4"/>
      <c r="L516" s="8"/>
    </row>
    <row r="517" customFormat="false" ht="15" hidden="false" customHeight="false" outlineLevel="0" collapsed="false">
      <c r="A517" s="4"/>
      <c r="B517" s="8"/>
      <c r="C517" s="8"/>
      <c r="D517" s="8"/>
      <c r="E517" s="8"/>
      <c r="F517" s="8"/>
      <c r="G517" s="8"/>
      <c r="H517" s="8"/>
      <c r="I517" s="8"/>
      <c r="J517" s="8"/>
      <c r="K517" s="4"/>
      <c r="L517" s="8"/>
    </row>
    <row r="518" customFormat="false" ht="15" hidden="false" customHeight="false" outlineLevel="0" collapsed="false">
      <c r="A518" s="4"/>
      <c r="B518" s="8"/>
      <c r="C518" s="8"/>
      <c r="D518" s="8"/>
      <c r="E518" s="8"/>
      <c r="F518" s="8"/>
      <c r="G518" s="8"/>
      <c r="H518" s="8"/>
      <c r="I518" s="8"/>
      <c r="J518" s="8"/>
      <c r="K518" s="4"/>
      <c r="L518" s="8"/>
    </row>
    <row r="519" customFormat="false" ht="15" hidden="false" customHeight="false" outlineLevel="0" collapsed="false">
      <c r="A519" s="4"/>
      <c r="B519" s="8"/>
      <c r="C519" s="8"/>
      <c r="D519" s="8"/>
      <c r="E519" s="8"/>
      <c r="F519" s="8"/>
      <c r="G519" s="8"/>
      <c r="H519" s="8"/>
      <c r="I519" s="8"/>
      <c r="J519" s="8"/>
      <c r="K519" s="4"/>
      <c r="L519" s="8"/>
    </row>
    <row r="520" customFormat="false" ht="15" hidden="false" customHeight="false" outlineLevel="0" collapsed="false">
      <c r="A520" s="4"/>
      <c r="B520" s="8"/>
      <c r="C520" s="8"/>
      <c r="D520" s="8"/>
      <c r="E520" s="8"/>
      <c r="F520" s="8"/>
      <c r="G520" s="8"/>
      <c r="H520" s="8"/>
      <c r="I520" s="8"/>
      <c r="J520" s="8"/>
      <c r="K520" s="4"/>
      <c r="L520" s="8"/>
    </row>
    <row r="521" customFormat="false" ht="15" hidden="false" customHeight="false" outlineLevel="0" collapsed="false">
      <c r="A521" s="4"/>
      <c r="B521" s="8"/>
      <c r="C521" s="8"/>
      <c r="D521" s="8"/>
      <c r="E521" s="8"/>
      <c r="F521" s="8"/>
      <c r="G521" s="8"/>
      <c r="H521" s="8"/>
      <c r="I521" s="8"/>
      <c r="J521" s="8"/>
      <c r="K521" s="4"/>
      <c r="L521" s="8"/>
    </row>
    <row r="522" customFormat="false" ht="15" hidden="false" customHeight="false" outlineLevel="0" collapsed="false">
      <c r="A522" s="4"/>
      <c r="B522" s="8"/>
      <c r="C522" s="8"/>
      <c r="D522" s="8"/>
      <c r="E522" s="8"/>
      <c r="F522" s="8"/>
      <c r="G522" s="8"/>
      <c r="H522" s="8"/>
      <c r="I522" s="8"/>
      <c r="J522" s="8"/>
      <c r="K522" s="4"/>
      <c r="L522" s="8"/>
    </row>
    <row r="523" customFormat="false" ht="15" hidden="false" customHeight="false" outlineLevel="0" collapsed="false">
      <c r="A523" s="4"/>
      <c r="B523" s="8"/>
      <c r="C523" s="8"/>
      <c r="D523" s="8"/>
      <c r="E523" s="8"/>
      <c r="F523" s="8"/>
      <c r="G523" s="8"/>
      <c r="H523" s="8"/>
      <c r="I523" s="8"/>
      <c r="J523" s="8"/>
      <c r="K523" s="4"/>
      <c r="L523" s="8"/>
    </row>
    <row r="524" customFormat="false" ht="15" hidden="false" customHeight="false" outlineLevel="0" collapsed="false">
      <c r="A524" s="4"/>
      <c r="B524" s="8"/>
      <c r="C524" s="8"/>
      <c r="D524" s="8"/>
      <c r="E524" s="8"/>
      <c r="F524" s="8"/>
      <c r="G524" s="8"/>
      <c r="H524" s="8"/>
      <c r="I524" s="8"/>
      <c r="J524" s="8"/>
      <c r="K524" s="4"/>
      <c r="L524" s="8"/>
    </row>
    <row r="525" customFormat="false" ht="15" hidden="false" customHeight="false" outlineLevel="0" collapsed="false">
      <c r="A525" s="4"/>
      <c r="B525" s="8"/>
      <c r="C525" s="8"/>
      <c r="D525" s="8"/>
      <c r="E525" s="8"/>
      <c r="F525" s="8"/>
      <c r="G525" s="8"/>
      <c r="H525" s="8"/>
      <c r="I525" s="8"/>
      <c r="J525" s="8"/>
      <c r="K525" s="4"/>
      <c r="L525" s="8"/>
    </row>
    <row r="526" customFormat="false" ht="15" hidden="false" customHeight="false" outlineLevel="0" collapsed="false">
      <c r="A526" s="4"/>
      <c r="B526" s="8"/>
      <c r="C526" s="8"/>
      <c r="D526" s="8"/>
      <c r="E526" s="8"/>
      <c r="F526" s="8"/>
      <c r="G526" s="8"/>
      <c r="H526" s="8"/>
      <c r="I526" s="8"/>
      <c r="J526" s="8"/>
      <c r="K526" s="4"/>
      <c r="L526" s="8"/>
    </row>
    <row r="527" customFormat="false" ht="15" hidden="false" customHeight="false" outlineLevel="0" collapsed="false">
      <c r="A527" s="4"/>
      <c r="B527" s="8"/>
      <c r="C527" s="8"/>
      <c r="D527" s="8"/>
      <c r="E527" s="8"/>
      <c r="F527" s="8"/>
      <c r="G527" s="8"/>
      <c r="H527" s="8"/>
      <c r="I527" s="8"/>
      <c r="J527" s="8"/>
      <c r="K527" s="4"/>
      <c r="L527" s="8"/>
    </row>
    <row r="528" customFormat="false" ht="15" hidden="false" customHeight="false" outlineLevel="0" collapsed="false">
      <c r="A528" s="4"/>
      <c r="B528" s="8"/>
      <c r="C528" s="8"/>
      <c r="D528" s="8"/>
      <c r="E528" s="8"/>
      <c r="F528" s="8"/>
      <c r="G528" s="8"/>
      <c r="H528" s="8"/>
      <c r="I528" s="8"/>
      <c r="J528" s="8"/>
      <c r="K528" s="4"/>
      <c r="L528" s="8"/>
    </row>
    <row r="529" customFormat="false" ht="15" hidden="false" customHeight="false" outlineLevel="0" collapsed="false">
      <c r="A529" s="4"/>
      <c r="B529" s="8"/>
      <c r="C529" s="8"/>
      <c r="D529" s="8"/>
      <c r="E529" s="8"/>
      <c r="F529" s="8"/>
      <c r="G529" s="8"/>
      <c r="H529" s="8"/>
      <c r="I529" s="8"/>
      <c r="J529" s="8"/>
      <c r="K529" s="4"/>
      <c r="L529" s="8"/>
    </row>
    <row r="530" customFormat="false" ht="15" hidden="false" customHeight="false" outlineLevel="0" collapsed="false">
      <c r="A530" s="4"/>
      <c r="B530" s="8"/>
      <c r="C530" s="8"/>
      <c r="D530" s="8"/>
      <c r="E530" s="8"/>
      <c r="F530" s="8"/>
      <c r="G530" s="8"/>
      <c r="H530" s="8"/>
      <c r="I530" s="8"/>
      <c r="J530" s="8"/>
      <c r="K530" s="4"/>
      <c r="L530" s="8"/>
    </row>
    <row r="531" customFormat="false" ht="15" hidden="false" customHeight="false" outlineLevel="0" collapsed="false">
      <c r="A531" s="4"/>
      <c r="B531" s="8"/>
      <c r="C531" s="8"/>
      <c r="D531" s="8"/>
      <c r="E531" s="8"/>
      <c r="F531" s="8"/>
      <c r="G531" s="8"/>
      <c r="H531" s="8"/>
      <c r="I531" s="8"/>
      <c r="J531" s="8"/>
      <c r="K531" s="4"/>
      <c r="L531" s="8"/>
    </row>
    <row r="532" customFormat="false" ht="15" hidden="false" customHeight="false" outlineLevel="0" collapsed="false">
      <c r="A532" s="4"/>
      <c r="B532" s="8"/>
      <c r="C532" s="8"/>
      <c r="D532" s="8"/>
      <c r="E532" s="8"/>
      <c r="F532" s="8"/>
      <c r="G532" s="8"/>
      <c r="H532" s="8"/>
      <c r="I532" s="8"/>
      <c r="J532" s="8"/>
      <c r="K532" s="4"/>
      <c r="L532" s="8"/>
    </row>
    <row r="533" customFormat="false" ht="15" hidden="false" customHeight="false" outlineLevel="0" collapsed="false">
      <c r="A533" s="4"/>
      <c r="B533" s="8"/>
      <c r="C533" s="8"/>
      <c r="D533" s="8"/>
      <c r="E533" s="8"/>
      <c r="F533" s="8"/>
      <c r="G533" s="8"/>
      <c r="H533" s="8"/>
      <c r="I533" s="8"/>
      <c r="J533" s="8"/>
      <c r="K533" s="4"/>
      <c r="L533" s="8"/>
    </row>
    <row r="534" customFormat="false" ht="15" hidden="false" customHeight="false" outlineLevel="0" collapsed="false">
      <c r="A534" s="4"/>
      <c r="B534" s="8"/>
      <c r="C534" s="8"/>
      <c r="D534" s="8"/>
      <c r="E534" s="8"/>
      <c r="F534" s="8"/>
      <c r="G534" s="8"/>
      <c r="H534" s="8"/>
      <c r="I534" s="8"/>
      <c r="J534" s="8"/>
      <c r="K534" s="4"/>
      <c r="L534" s="8"/>
    </row>
    <row r="535" customFormat="false" ht="15" hidden="false" customHeight="false" outlineLevel="0" collapsed="false">
      <c r="A535" s="4"/>
      <c r="B535" s="8"/>
      <c r="C535" s="8"/>
      <c r="D535" s="8"/>
      <c r="E535" s="8"/>
      <c r="F535" s="8"/>
      <c r="G535" s="8"/>
      <c r="H535" s="8"/>
      <c r="I535" s="8"/>
      <c r="J535" s="8"/>
      <c r="K535" s="4"/>
      <c r="L535" s="8"/>
    </row>
    <row r="536" customFormat="false" ht="15" hidden="false" customHeight="false" outlineLevel="0" collapsed="false">
      <c r="A536" s="4"/>
      <c r="B536" s="8"/>
      <c r="C536" s="8"/>
      <c r="D536" s="8"/>
      <c r="E536" s="8"/>
      <c r="F536" s="8"/>
      <c r="G536" s="8"/>
      <c r="H536" s="8"/>
      <c r="I536" s="8"/>
      <c r="J536" s="8"/>
      <c r="K536" s="4"/>
      <c r="L536" s="8"/>
    </row>
    <row r="537" customFormat="false" ht="15" hidden="false" customHeight="false" outlineLevel="0" collapsed="false">
      <c r="A537" s="4"/>
      <c r="B537" s="8"/>
      <c r="C537" s="8"/>
      <c r="D537" s="8"/>
      <c r="E537" s="8"/>
      <c r="F537" s="8"/>
      <c r="G537" s="8"/>
      <c r="H537" s="8"/>
      <c r="I537" s="8"/>
      <c r="J537" s="8"/>
      <c r="K537" s="4"/>
      <c r="L537" s="8"/>
    </row>
    <row r="538" customFormat="false" ht="15" hidden="false" customHeight="false" outlineLevel="0" collapsed="false">
      <c r="A538" s="4"/>
      <c r="B538" s="8"/>
      <c r="C538" s="8"/>
      <c r="D538" s="8"/>
      <c r="E538" s="8"/>
      <c r="F538" s="8"/>
      <c r="G538" s="8"/>
      <c r="H538" s="8"/>
      <c r="I538" s="8"/>
      <c r="J538" s="8"/>
      <c r="K538" s="4"/>
      <c r="L538" s="8"/>
    </row>
    <row r="539" customFormat="false" ht="15" hidden="false" customHeight="false" outlineLevel="0" collapsed="false">
      <c r="A539" s="4"/>
      <c r="B539" s="8"/>
      <c r="C539" s="8"/>
      <c r="D539" s="8"/>
      <c r="E539" s="8"/>
      <c r="F539" s="8"/>
      <c r="G539" s="8"/>
      <c r="H539" s="8"/>
      <c r="I539" s="8"/>
      <c r="J539" s="8"/>
      <c r="K539" s="4"/>
      <c r="L539" s="8"/>
    </row>
    <row r="540" customFormat="false" ht="15" hidden="false" customHeight="false" outlineLevel="0" collapsed="false">
      <c r="A540" s="4"/>
      <c r="B540" s="8"/>
      <c r="C540" s="8"/>
      <c r="D540" s="8"/>
      <c r="E540" s="8"/>
      <c r="F540" s="8"/>
      <c r="G540" s="8"/>
      <c r="H540" s="8"/>
      <c r="I540" s="8"/>
      <c r="J540" s="8"/>
      <c r="K540" s="4"/>
      <c r="L540" s="8"/>
    </row>
    <row r="541" customFormat="false" ht="15" hidden="false" customHeight="false" outlineLevel="0" collapsed="false">
      <c r="A541" s="4"/>
      <c r="B541" s="8"/>
      <c r="C541" s="8"/>
      <c r="D541" s="8"/>
      <c r="E541" s="8"/>
      <c r="F541" s="8"/>
      <c r="G541" s="8"/>
      <c r="H541" s="8"/>
      <c r="I541" s="8"/>
      <c r="J541" s="8"/>
      <c r="K541" s="4"/>
      <c r="L541" s="8"/>
    </row>
    <row r="542" customFormat="false" ht="15" hidden="false" customHeight="false" outlineLevel="0" collapsed="false">
      <c r="A542" s="4"/>
      <c r="B542" s="8"/>
      <c r="C542" s="8"/>
      <c r="D542" s="8"/>
      <c r="E542" s="8"/>
      <c r="F542" s="8"/>
      <c r="G542" s="8"/>
      <c r="H542" s="8"/>
      <c r="I542" s="8"/>
      <c r="J542" s="8"/>
      <c r="K542" s="4"/>
      <c r="L542" s="8"/>
    </row>
    <row r="543" customFormat="false" ht="15" hidden="false" customHeight="false" outlineLevel="0" collapsed="false">
      <c r="A543" s="4"/>
      <c r="B543" s="8"/>
      <c r="C543" s="8"/>
      <c r="D543" s="8"/>
      <c r="E543" s="8"/>
      <c r="F543" s="8"/>
      <c r="G543" s="8"/>
      <c r="H543" s="8"/>
      <c r="I543" s="8"/>
      <c r="J543" s="8"/>
      <c r="K543" s="4"/>
      <c r="L543" s="8"/>
    </row>
    <row r="544" customFormat="false" ht="15" hidden="false" customHeight="false" outlineLevel="0" collapsed="false">
      <c r="A544" s="4"/>
      <c r="B544" s="8"/>
      <c r="C544" s="8"/>
      <c r="D544" s="8"/>
      <c r="E544" s="8"/>
      <c r="F544" s="8"/>
      <c r="G544" s="8"/>
      <c r="H544" s="8"/>
      <c r="I544" s="8"/>
      <c r="J544" s="8"/>
      <c r="K544" s="4"/>
      <c r="L544" s="8"/>
    </row>
    <row r="545" customFormat="false" ht="15" hidden="false" customHeight="false" outlineLevel="0" collapsed="false">
      <c r="A545" s="4"/>
      <c r="B545" s="8"/>
      <c r="C545" s="8"/>
      <c r="D545" s="8"/>
      <c r="E545" s="8"/>
      <c r="F545" s="8"/>
      <c r="G545" s="8"/>
      <c r="H545" s="8"/>
      <c r="I545" s="8"/>
      <c r="J545" s="8"/>
      <c r="K545" s="4"/>
      <c r="L545" s="8"/>
    </row>
    <row r="546" customFormat="false" ht="15" hidden="false" customHeight="false" outlineLevel="0" collapsed="false">
      <c r="A546" s="4"/>
      <c r="B546" s="8"/>
      <c r="C546" s="8"/>
      <c r="D546" s="8"/>
      <c r="E546" s="8"/>
      <c r="F546" s="8"/>
      <c r="G546" s="8"/>
      <c r="H546" s="8"/>
      <c r="I546" s="8"/>
      <c r="J546" s="8"/>
      <c r="K546" s="4"/>
      <c r="L546" s="8"/>
    </row>
    <row r="547" customFormat="false" ht="15" hidden="false" customHeight="false" outlineLevel="0" collapsed="false">
      <c r="A547" s="4"/>
      <c r="B547" s="8"/>
      <c r="C547" s="8"/>
      <c r="D547" s="8"/>
      <c r="E547" s="8"/>
      <c r="F547" s="8"/>
      <c r="G547" s="8"/>
      <c r="H547" s="8"/>
      <c r="I547" s="8"/>
      <c r="J547" s="8"/>
      <c r="K547" s="4"/>
      <c r="L547" s="8"/>
    </row>
    <row r="548" customFormat="false" ht="15" hidden="false" customHeight="false" outlineLevel="0" collapsed="false">
      <c r="A548" s="4"/>
      <c r="B548" s="8"/>
      <c r="C548" s="8"/>
      <c r="D548" s="8"/>
      <c r="E548" s="8"/>
      <c r="F548" s="8"/>
      <c r="G548" s="8"/>
      <c r="H548" s="8"/>
      <c r="I548" s="8"/>
      <c r="J548" s="8"/>
      <c r="K548" s="4"/>
      <c r="L548" s="8"/>
    </row>
    <row r="549" customFormat="false" ht="15" hidden="false" customHeight="false" outlineLevel="0" collapsed="false">
      <c r="A549" s="4"/>
      <c r="B549" s="8"/>
      <c r="C549" s="8"/>
      <c r="D549" s="8"/>
      <c r="E549" s="8"/>
      <c r="F549" s="8"/>
      <c r="G549" s="8"/>
      <c r="H549" s="8"/>
      <c r="I549" s="8"/>
      <c r="J549" s="8"/>
      <c r="K549" s="4"/>
      <c r="L549" s="8"/>
    </row>
    <row r="550" customFormat="false" ht="15" hidden="false" customHeight="false" outlineLevel="0" collapsed="false">
      <c r="A550" s="4"/>
      <c r="B550" s="8"/>
      <c r="C550" s="8"/>
      <c r="D550" s="8"/>
      <c r="E550" s="8"/>
      <c r="F550" s="8"/>
      <c r="G550" s="8"/>
      <c r="H550" s="8"/>
      <c r="I550" s="8"/>
      <c r="J550" s="8"/>
      <c r="K550" s="4"/>
      <c r="L550" s="8"/>
    </row>
    <row r="551" customFormat="false" ht="15" hidden="false" customHeight="false" outlineLevel="0" collapsed="false">
      <c r="A551" s="4"/>
      <c r="B551" s="8"/>
      <c r="C551" s="8"/>
      <c r="D551" s="8"/>
      <c r="E551" s="8"/>
      <c r="F551" s="8"/>
      <c r="G551" s="8"/>
      <c r="H551" s="8"/>
      <c r="I551" s="8"/>
      <c r="J551" s="8"/>
      <c r="K551" s="4"/>
      <c r="L551" s="8"/>
    </row>
    <row r="552" customFormat="false" ht="15" hidden="false" customHeight="false" outlineLevel="0" collapsed="false">
      <c r="A552" s="4"/>
      <c r="B552" s="8"/>
      <c r="C552" s="8"/>
      <c r="D552" s="8"/>
      <c r="E552" s="8"/>
      <c r="F552" s="8"/>
      <c r="G552" s="8"/>
      <c r="H552" s="8"/>
      <c r="I552" s="8"/>
      <c r="J552" s="8"/>
      <c r="K552" s="4"/>
      <c r="L552" s="8"/>
    </row>
    <row r="553" customFormat="false" ht="15" hidden="false" customHeight="false" outlineLevel="0" collapsed="false">
      <c r="A553" s="4"/>
      <c r="B553" s="8"/>
      <c r="C553" s="8"/>
      <c r="D553" s="8"/>
      <c r="E553" s="8"/>
      <c r="F553" s="8"/>
      <c r="G553" s="8"/>
      <c r="H553" s="8"/>
      <c r="I553" s="8"/>
      <c r="J553" s="8"/>
      <c r="K553" s="4"/>
      <c r="L553" s="8"/>
    </row>
    <row r="554" customFormat="false" ht="15" hidden="false" customHeight="false" outlineLevel="0" collapsed="false">
      <c r="A554" s="4"/>
      <c r="B554" s="8"/>
      <c r="C554" s="8"/>
      <c r="D554" s="8"/>
      <c r="E554" s="8"/>
      <c r="F554" s="8"/>
      <c r="G554" s="8"/>
      <c r="H554" s="8"/>
      <c r="I554" s="8"/>
      <c r="J554" s="8"/>
      <c r="K554" s="4"/>
      <c r="L554" s="8"/>
    </row>
    <row r="555" customFormat="false" ht="15" hidden="false" customHeight="false" outlineLevel="0" collapsed="false">
      <c r="A555" s="4"/>
      <c r="B555" s="8"/>
      <c r="C555" s="8"/>
      <c r="D555" s="8"/>
      <c r="E555" s="8"/>
      <c r="F555" s="8"/>
      <c r="G555" s="8"/>
      <c r="H555" s="8"/>
      <c r="I555" s="8"/>
      <c r="J555" s="8"/>
      <c r="K555" s="4"/>
      <c r="L555" s="8"/>
    </row>
    <row r="556" customFormat="false" ht="15" hidden="false" customHeight="false" outlineLevel="0" collapsed="false">
      <c r="A556" s="4"/>
      <c r="B556" s="8"/>
      <c r="C556" s="8"/>
      <c r="D556" s="8"/>
      <c r="E556" s="8"/>
      <c r="F556" s="8"/>
      <c r="G556" s="8"/>
      <c r="H556" s="8"/>
      <c r="I556" s="8"/>
      <c r="J556" s="8"/>
      <c r="K556" s="4"/>
      <c r="L556" s="8"/>
    </row>
    <row r="557" customFormat="false" ht="15" hidden="false" customHeight="false" outlineLevel="0" collapsed="false">
      <c r="A557" s="4"/>
      <c r="B557" s="8"/>
      <c r="C557" s="8"/>
      <c r="D557" s="8"/>
      <c r="E557" s="8"/>
      <c r="F557" s="8"/>
      <c r="G557" s="8"/>
      <c r="H557" s="8"/>
      <c r="I557" s="8"/>
      <c r="J557" s="8"/>
      <c r="K557" s="4"/>
      <c r="L557" s="8"/>
    </row>
    <row r="558" customFormat="false" ht="15" hidden="false" customHeight="false" outlineLevel="0" collapsed="false">
      <c r="A558" s="4"/>
      <c r="B558" s="8"/>
      <c r="C558" s="8"/>
      <c r="D558" s="8"/>
      <c r="E558" s="8"/>
      <c r="F558" s="8"/>
      <c r="G558" s="8"/>
      <c r="H558" s="8"/>
      <c r="I558" s="8"/>
      <c r="J558" s="8"/>
      <c r="K558" s="4"/>
      <c r="L558" s="8"/>
    </row>
    <row r="559" customFormat="false" ht="15" hidden="false" customHeight="false" outlineLevel="0" collapsed="false">
      <c r="A559" s="4"/>
      <c r="B559" s="8"/>
      <c r="C559" s="8"/>
      <c r="D559" s="8"/>
      <c r="E559" s="8"/>
      <c r="F559" s="8"/>
      <c r="G559" s="8"/>
      <c r="H559" s="8"/>
      <c r="I559" s="8"/>
      <c r="J559" s="8"/>
      <c r="K559" s="4"/>
      <c r="L559" s="8"/>
    </row>
    <row r="560" customFormat="false" ht="15" hidden="false" customHeight="false" outlineLevel="0" collapsed="false">
      <c r="A560" s="4"/>
      <c r="B560" s="8"/>
      <c r="C560" s="8"/>
      <c r="D560" s="8"/>
      <c r="E560" s="8"/>
      <c r="F560" s="8"/>
      <c r="G560" s="8"/>
      <c r="H560" s="8"/>
      <c r="I560" s="8"/>
      <c r="J560" s="8"/>
      <c r="K560" s="4"/>
      <c r="L560" s="8"/>
    </row>
    <row r="561" customFormat="false" ht="15" hidden="false" customHeight="false" outlineLevel="0" collapsed="false">
      <c r="A561" s="4"/>
      <c r="B561" s="8"/>
      <c r="C561" s="8"/>
      <c r="D561" s="8"/>
      <c r="E561" s="8"/>
      <c r="F561" s="8"/>
      <c r="G561" s="8"/>
      <c r="H561" s="8"/>
      <c r="I561" s="8"/>
      <c r="J561" s="8"/>
      <c r="K561" s="4"/>
      <c r="L561" s="8"/>
    </row>
    <row r="562" customFormat="false" ht="15" hidden="false" customHeight="false" outlineLevel="0" collapsed="false">
      <c r="A562" s="4"/>
      <c r="B562" s="8"/>
      <c r="C562" s="8"/>
      <c r="D562" s="8"/>
      <c r="E562" s="8"/>
      <c r="F562" s="8"/>
      <c r="G562" s="8"/>
      <c r="H562" s="8"/>
      <c r="I562" s="8"/>
      <c r="J562" s="8"/>
      <c r="K562" s="4"/>
      <c r="L562" s="8"/>
    </row>
    <row r="563" customFormat="false" ht="15" hidden="false" customHeight="false" outlineLevel="0" collapsed="false">
      <c r="A563" s="4"/>
      <c r="B563" s="8"/>
      <c r="C563" s="8"/>
      <c r="D563" s="8"/>
      <c r="E563" s="8"/>
      <c r="F563" s="8"/>
      <c r="G563" s="8"/>
      <c r="H563" s="8"/>
      <c r="I563" s="8"/>
      <c r="J563" s="8"/>
      <c r="K563" s="4"/>
      <c r="L563" s="8"/>
    </row>
    <row r="564" customFormat="false" ht="15" hidden="false" customHeight="false" outlineLevel="0" collapsed="false">
      <c r="A564" s="4"/>
      <c r="B564" s="8"/>
      <c r="C564" s="8"/>
      <c r="D564" s="8"/>
      <c r="E564" s="8"/>
      <c r="F564" s="8"/>
      <c r="G564" s="8"/>
      <c r="H564" s="8"/>
      <c r="I564" s="8"/>
      <c r="J564" s="8"/>
      <c r="K564" s="4"/>
      <c r="L564" s="8"/>
    </row>
    <row r="565" customFormat="false" ht="15" hidden="false" customHeight="false" outlineLevel="0" collapsed="false">
      <c r="A565" s="4"/>
      <c r="B565" s="8"/>
      <c r="C565" s="8"/>
      <c r="D565" s="8"/>
      <c r="E565" s="8"/>
      <c r="F565" s="8"/>
      <c r="G565" s="8"/>
      <c r="H565" s="8"/>
      <c r="I565" s="8"/>
      <c r="J565" s="8"/>
      <c r="K565" s="4"/>
      <c r="L565" s="8"/>
    </row>
    <row r="566" customFormat="false" ht="15" hidden="false" customHeight="false" outlineLevel="0" collapsed="false">
      <c r="A566" s="4"/>
      <c r="B566" s="8"/>
      <c r="C566" s="8"/>
      <c r="D566" s="8"/>
      <c r="E566" s="8"/>
      <c r="F566" s="8"/>
      <c r="G566" s="8"/>
      <c r="H566" s="8"/>
      <c r="I566" s="8"/>
      <c r="J566" s="8"/>
      <c r="K566" s="4"/>
      <c r="L566" s="8"/>
    </row>
    <row r="567" customFormat="false" ht="15" hidden="false" customHeight="false" outlineLevel="0" collapsed="false">
      <c r="A567" s="4"/>
      <c r="B567" s="8"/>
      <c r="C567" s="8"/>
      <c r="D567" s="8"/>
      <c r="E567" s="8"/>
      <c r="F567" s="8"/>
      <c r="G567" s="8"/>
      <c r="H567" s="8"/>
      <c r="I567" s="8"/>
      <c r="J567" s="8"/>
      <c r="K567" s="4"/>
      <c r="L567" s="8"/>
    </row>
    <row r="568" customFormat="false" ht="15" hidden="false" customHeight="false" outlineLevel="0" collapsed="false">
      <c r="A568" s="4"/>
      <c r="B568" s="8"/>
      <c r="C568" s="8"/>
      <c r="D568" s="8"/>
      <c r="E568" s="8"/>
      <c r="F568" s="8"/>
      <c r="G568" s="8"/>
      <c r="H568" s="8"/>
      <c r="I568" s="8"/>
      <c r="J568" s="8"/>
      <c r="K568" s="4"/>
      <c r="L568" s="8"/>
    </row>
    <row r="569" customFormat="false" ht="15" hidden="false" customHeight="false" outlineLevel="0" collapsed="false">
      <c r="A569" s="4"/>
      <c r="B569" s="8"/>
      <c r="C569" s="8"/>
      <c r="D569" s="8"/>
      <c r="E569" s="8"/>
      <c r="F569" s="8"/>
      <c r="G569" s="8"/>
      <c r="H569" s="8"/>
      <c r="I569" s="8"/>
      <c r="J569" s="8"/>
      <c r="K569" s="4"/>
      <c r="L569" s="8"/>
    </row>
    <row r="570" customFormat="false" ht="15" hidden="false" customHeight="false" outlineLevel="0" collapsed="false">
      <c r="A570" s="4"/>
      <c r="B570" s="8"/>
      <c r="C570" s="8"/>
      <c r="D570" s="8"/>
      <c r="E570" s="8"/>
      <c r="F570" s="8"/>
      <c r="G570" s="8"/>
      <c r="H570" s="8"/>
      <c r="I570" s="8"/>
      <c r="J570" s="8"/>
      <c r="K570" s="4"/>
      <c r="L570" s="8"/>
    </row>
    <row r="571" customFormat="false" ht="15" hidden="false" customHeight="false" outlineLevel="0" collapsed="false">
      <c r="A571" s="4"/>
      <c r="B571" s="8"/>
      <c r="C571" s="8"/>
      <c r="D571" s="8"/>
      <c r="E571" s="8"/>
      <c r="F571" s="8"/>
      <c r="G571" s="8"/>
      <c r="H571" s="8"/>
      <c r="I571" s="8"/>
      <c r="J571" s="8"/>
      <c r="K571" s="4"/>
      <c r="L571" s="8"/>
    </row>
    <row r="572" customFormat="false" ht="15" hidden="false" customHeight="false" outlineLevel="0" collapsed="false">
      <c r="A572" s="4"/>
      <c r="B572" s="8"/>
      <c r="C572" s="8"/>
      <c r="D572" s="8"/>
      <c r="E572" s="8"/>
      <c r="F572" s="8"/>
      <c r="G572" s="8"/>
      <c r="H572" s="8"/>
      <c r="I572" s="8"/>
      <c r="J572" s="8"/>
      <c r="K572" s="4"/>
      <c r="L572" s="8"/>
    </row>
    <row r="573" customFormat="false" ht="15" hidden="false" customHeight="false" outlineLevel="0" collapsed="false">
      <c r="A573" s="4"/>
      <c r="B573" s="8"/>
      <c r="C573" s="8"/>
      <c r="D573" s="8"/>
      <c r="E573" s="8"/>
      <c r="F573" s="8"/>
      <c r="G573" s="8"/>
      <c r="H573" s="8"/>
      <c r="I573" s="8"/>
      <c r="J573" s="8"/>
      <c r="K573" s="4"/>
      <c r="L573" s="8"/>
    </row>
    <row r="574" customFormat="false" ht="15" hidden="false" customHeight="false" outlineLevel="0" collapsed="false">
      <c r="A574" s="4"/>
      <c r="B574" s="8"/>
      <c r="C574" s="8"/>
      <c r="D574" s="8"/>
      <c r="E574" s="8"/>
      <c r="F574" s="8"/>
      <c r="G574" s="8"/>
      <c r="H574" s="8"/>
      <c r="I574" s="8"/>
      <c r="J574" s="8"/>
      <c r="K574" s="4"/>
      <c r="L574" s="8"/>
    </row>
    <row r="575" customFormat="false" ht="15" hidden="false" customHeight="false" outlineLevel="0" collapsed="false">
      <c r="A575" s="4"/>
      <c r="B575" s="8"/>
      <c r="C575" s="8"/>
      <c r="D575" s="8"/>
      <c r="E575" s="8"/>
      <c r="F575" s="8"/>
      <c r="G575" s="8"/>
      <c r="H575" s="8"/>
      <c r="I575" s="8"/>
      <c r="J575" s="8"/>
      <c r="K575" s="4"/>
      <c r="L575" s="8"/>
    </row>
    <row r="576" customFormat="false" ht="15" hidden="false" customHeight="false" outlineLevel="0" collapsed="false">
      <c r="A576" s="4"/>
      <c r="B576" s="8"/>
      <c r="C576" s="8"/>
      <c r="D576" s="8"/>
      <c r="E576" s="8"/>
      <c r="F576" s="8"/>
      <c r="G576" s="8"/>
      <c r="H576" s="8"/>
      <c r="I576" s="8"/>
      <c r="J576" s="8"/>
      <c r="K576" s="4"/>
      <c r="L576" s="8"/>
    </row>
    <row r="577" customFormat="false" ht="15" hidden="false" customHeight="false" outlineLevel="0" collapsed="false">
      <c r="A577" s="4"/>
      <c r="B577" s="8"/>
      <c r="C577" s="8"/>
      <c r="D577" s="8"/>
      <c r="E577" s="8"/>
      <c r="F577" s="8"/>
      <c r="G577" s="8"/>
      <c r="H577" s="8"/>
      <c r="I577" s="8"/>
      <c r="J577" s="8"/>
      <c r="K577" s="4"/>
      <c r="L577" s="8"/>
    </row>
    <row r="578" customFormat="false" ht="15" hidden="false" customHeight="false" outlineLevel="0" collapsed="false">
      <c r="A578" s="4"/>
      <c r="B578" s="8"/>
      <c r="C578" s="8"/>
      <c r="D578" s="8"/>
      <c r="E578" s="8"/>
      <c r="F578" s="8"/>
      <c r="G578" s="8"/>
      <c r="H578" s="8"/>
      <c r="I578" s="8"/>
      <c r="J578" s="8"/>
      <c r="K578" s="4"/>
      <c r="L578" s="8"/>
    </row>
    <row r="579" customFormat="false" ht="15" hidden="false" customHeight="false" outlineLevel="0" collapsed="false">
      <c r="A579" s="4"/>
      <c r="B579" s="8"/>
      <c r="C579" s="8"/>
      <c r="D579" s="8"/>
      <c r="E579" s="8"/>
      <c r="F579" s="8"/>
      <c r="G579" s="8"/>
      <c r="H579" s="8"/>
      <c r="I579" s="8"/>
      <c r="J579" s="8"/>
      <c r="K579" s="4"/>
      <c r="L579" s="8"/>
    </row>
    <row r="580" customFormat="false" ht="15" hidden="false" customHeight="false" outlineLevel="0" collapsed="false">
      <c r="A580" s="4"/>
      <c r="B580" s="8"/>
      <c r="C580" s="8"/>
      <c r="D580" s="8"/>
      <c r="E580" s="8"/>
      <c r="F580" s="8"/>
      <c r="G580" s="8"/>
      <c r="H580" s="8"/>
      <c r="I580" s="8"/>
      <c r="J580" s="8"/>
      <c r="K580" s="4"/>
      <c r="L580" s="8"/>
    </row>
    <row r="581" customFormat="false" ht="15" hidden="false" customHeight="false" outlineLevel="0" collapsed="false">
      <c r="A581" s="4"/>
      <c r="B581" s="8"/>
      <c r="C581" s="8"/>
      <c r="D581" s="8"/>
      <c r="E581" s="8"/>
      <c r="F581" s="8"/>
      <c r="G581" s="8"/>
      <c r="H581" s="8"/>
      <c r="I581" s="8"/>
      <c r="J581" s="8"/>
      <c r="K581" s="4"/>
      <c r="L581" s="8"/>
    </row>
    <row r="582" customFormat="false" ht="15" hidden="false" customHeight="false" outlineLevel="0" collapsed="false">
      <c r="A582" s="4"/>
      <c r="B582" s="8"/>
      <c r="C582" s="8"/>
      <c r="D582" s="8"/>
      <c r="E582" s="8"/>
      <c r="F582" s="8"/>
      <c r="G582" s="8"/>
      <c r="H582" s="8"/>
      <c r="I582" s="8"/>
      <c r="J582" s="8"/>
      <c r="K582" s="4"/>
      <c r="L582" s="8"/>
    </row>
    <row r="583" customFormat="false" ht="15" hidden="false" customHeight="false" outlineLevel="0" collapsed="false">
      <c r="A583" s="4"/>
      <c r="B583" s="8"/>
      <c r="C583" s="8"/>
      <c r="D583" s="8"/>
      <c r="E583" s="8"/>
      <c r="F583" s="8"/>
      <c r="G583" s="8"/>
      <c r="H583" s="8"/>
      <c r="I583" s="8"/>
      <c r="J583" s="8"/>
      <c r="K583" s="4"/>
      <c r="L583" s="8"/>
    </row>
    <row r="584" customFormat="false" ht="15" hidden="false" customHeight="false" outlineLevel="0" collapsed="false">
      <c r="A584" s="4"/>
      <c r="B584" s="8"/>
      <c r="C584" s="8"/>
      <c r="D584" s="8"/>
      <c r="E584" s="8"/>
      <c r="F584" s="8"/>
      <c r="G584" s="8"/>
      <c r="H584" s="8"/>
      <c r="I584" s="8"/>
      <c r="J584" s="8"/>
      <c r="K584" s="4"/>
      <c r="L584" s="8"/>
    </row>
    <row r="585" customFormat="false" ht="15" hidden="false" customHeight="false" outlineLevel="0" collapsed="false">
      <c r="A585" s="4"/>
      <c r="B585" s="8"/>
      <c r="C585" s="8"/>
      <c r="D585" s="8"/>
      <c r="E585" s="8"/>
      <c r="F585" s="8"/>
      <c r="G585" s="8"/>
      <c r="H585" s="8"/>
      <c r="I585" s="8"/>
      <c r="J585" s="8"/>
      <c r="K585" s="4"/>
      <c r="L585" s="8"/>
    </row>
    <row r="586" customFormat="false" ht="15" hidden="false" customHeight="false" outlineLevel="0" collapsed="false">
      <c r="A586" s="4"/>
      <c r="B586" s="8"/>
      <c r="C586" s="8"/>
      <c r="D586" s="8"/>
      <c r="E586" s="8"/>
      <c r="F586" s="8"/>
      <c r="G586" s="8"/>
      <c r="H586" s="8"/>
      <c r="I586" s="8"/>
      <c r="J586" s="8"/>
      <c r="K586" s="4"/>
      <c r="L586" s="8"/>
    </row>
    <row r="587" customFormat="false" ht="15" hidden="false" customHeight="false" outlineLevel="0" collapsed="false">
      <c r="A587" s="4"/>
      <c r="B587" s="8"/>
      <c r="C587" s="8"/>
      <c r="D587" s="8"/>
      <c r="E587" s="8"/>
      <c r="F587" s="8"/>
      <c r="G587" s="8"/>
      <c r="H587" s="8"/>
      <c r="I587" s="8"/>
      <c r="J587" s="8"/>
      <c r="K587" s="4"/>
      <c r="L587" s="8"/>
    </row>
    <row r="588" customFormat="false" ht="15" hidden="false" customHeight="false" outlineLevel="0" collapsed="false">
      <c r="A588" s="4"/>
      <c r="B588" s="8"/>
      <c r="C588" s="8"/>
      <c r="D588" s="8"/>
      <c r="E588" s="8"/>
      <c r="F588" s="8"/>
      <c r="G588" s="8"/>
      <c r="H588" s="8"/>
      <c r="I588" s="8"/>
      <c r="J588" s="8"/>
      <c r="K588" s="4"/>
      <c r="L588" s="8"/>
    </row>
    <row r="589" customFormat="false" ht="15" hidden="false" customHeight="false" outlineLevel="0" collapsed="false">
      <c r="A589" s="4"/>
      <c r="B589" s="8"/>
      <c r="C589" s="8"/>
      <c r="D589" s="8"/>
      <c r="E589" s="8"/>
      <c r="F589" s="8"/>
      <c r="G589" s="8"/>
      <c r="H589" s="8"/>
      <c r="I589" s="8"/>
      <c r="J589" s="8"/>
      <c r="K589" s="4"/>
      <c r="L589" s="8"/>
    </row>
    <row r="590" customFormat="false" ht="15" hidden="false" customHeight="false" outlineLevel="0" collapsed="false">
      <c r="A590" s="4"/>
      <c r="B590" s="8"/>
      <c r="C590" s="8"/>
      <c r="D590" s="8"/>
      <c r="E590" s="8"/>
      <c r="F590" s="8"/>
      <c r="G590" s="8"/>
      <c r="H590" s="8"/>
      <c r="I590" s="8"/>
      <c r="J590" s="8"/>
      <c r="K590" s="4"/>
      <c r="L590" s="8"/>
    </row>
    <row r="591" customFormat="false" ht="15" hidden="false" customHeight="false" outlineLevel="0" collapsed="false">
      <c r="A591" s="4"/>
      <c r="B591" s="8"/>
      <c r="C591" s="8"/>
      <c r="D591" s="8"/>
      <c r="E591" s="8"/>
      <c r="F591" s="8"/>
      <c r="G591" s="8"/>
      <c r="H591" s="8"/>
      <c r="I591" s="8"/>
      <c r="J591" s="8"/>
      <c r="K591" s="4"/>
      <c r="L591" s="8"/>
    </row>
    <row r="592" customFormat="false" ht="15" hidden="false" customHeight="false" outlineLevel="0" collapsed="false">
      <c r="A592" s="4"/>
      <c r="B592" s="8"/>
      <c r="C592" s="8"/>
      <c r="D592" s="8"/>
      <c r="E592" s="8"/>
      <c r="F592" s="8"/>
      <c r="G592" s="8"/>
      <c r="H592" s="8"/>
      <c r="I592" s="8"/>
      <c r="J592" s="8"/>
      <c r="K592" s="4"/>
      <c r="L592" s="8"/>
    </row>
    <row r="593" customFormat="false" ht="15" hidden="false" customHeight="false" outlineLevel="0" collapsed="false">
      <c r="A593" s="4"/>
      <c r="B593" s="8"/>
      <c r="C593" s="8"/>
      <c r="D593" s="8"/>
      <c r="E593" s="8"/>
      <c r="F593" s="8"/>
      <c r="G593" s="8"/>
      <c r="H593" s="8"/>
      <c r="I593" s="8"/>
      <c r="J593" s="8"/>
      <c r="K593" s="4"/>
      <c r="L593" s="8"/>
    </row>
    <row r="594" customFormat="false" ht="15" hidden="false" customHeight="false" outlineLevel="0" collapsed="false">
      <c r="A594" s="4"/>
      <c r="B594" s="8"/>
      <c r="C594" s="8"/>
      <c r="D594" s="8"/>
      <c r="E594" s="8"/>
      <c r="F594" s="8"/>
      <c r="G594" s="8"/>
      <c r="H594" s="8"/>
      <c r="I594" s="8"/>
      <c r="J594" s="8"/>
      <c r="K594" s="4"/>
      <c r="L594" s="8"/>
    </row>
    <row r="595" customFormat="false" ht="15" hidden="false" customHeight="false" outlineLevel="0" collapsed="false">
      <c r="A595" s="4"/>
      <c r="B595" s="8"/>
      <c r="C595" s="8"/>
      <c r="D595" s="8"/>
      <c r="E595" s="8"/>
      <c r="F595" s="8"/>
      <c r="G595" s="8"/>
      <c r="H595" s="8"/>
      <c r="I595" s="8"/>
      <c r="J595" s="8"/>
      <c r="K595" s="4"/>
      <c r="L595" s="8"/>
    </row>
    <row r="596" customFormat="false" ht="15" hidden="false" customHeight="false" outlineLevel="0" collapsed="false">
      <c r="A596" s="4"/>
      <c r="B596" s="8"/>
      <c r="C596" s="8"/>
      <c r="D596" s="8"/>
      <c r="E596" s="8"/>
      <c r="F596" s="8"/>
      <c r="G596" s="8"/>
      <c r="H596" s="8"/>
      <c r="I596" s="8"/>
      <c r="J596" s="8"/>
      <c r="K596" s="4"/>
      <c r="L596" s="8"/>
    </row>
    <row r="597" customFormat="false" ht="15" hidden="false" customHeight="false" outlineLevel="0" collapsed="false">
      <c r="A597" s="4"/>
      <c r="B597" s="8"/>
      <c r="C597" s="8"/>
      <c r="D597" s="8"/>
      <c r="E597" s="8"/>
      <c r="F597" s="8"/>
      <c r="G597" s="8"/>
      <c r="H597" s="8"/>
      <c r="I597" s="8"/>
      <c r="J597" s="8"/>
      <c r="K597" s="4"/>
      <c r="L597" s="8"/>
    </row>
    <row r="598" customFormat="false" ht="15" hidden="false" customHeight="false" outlineLevel="0" collapsed="false">
      <c r="A598" s="4"/>
      <c r="B598" s="8"/>
      <c r="C598" s="8"/>
      <c r="D598" s="8"/>
      <c r="E598" s="8"/>
      <c r="F598" s="8"/>
      <c r="G598" s="8"/>
      <c r="H598" s="8"/>
      <c r="I598" s="8"/>
      <c r="J598" s="8"/>
      <c r="K598" s="4"/>
      <c r="L598" s="8"/>
    </row>
    <row r="599" customFormat="false" ht="15" hidden="false" customHeight="false" outlineLevel="0" collapsed="false">
      <c r="A599" s="4"/>
      <c r="B599" s="8"/>
      <c r="C599" s="8"/>
      <c r="D599" s="8"/>
      <c r="E599" s="8"/>
      <c r="F599" s="8"/>
      <c r="G599" s="8"/>
      <c r="H599" s="8"/>
      <c r="I599" s="8"/>
      <c r="J599" s="8"/>
      <c r="K599" s="4"/>
      <c r="L599" s="8"/>
    </row>
    <row r="600" customFormat="false" ht="15" hidden="false" customHeight="false" outlineLevel="0" collapsed="false">
      <c r="A600" s="4"/>
      <c r="B600" s="8"/>
      <c r="C600" s="8"/>
      <c r="D600" s="8"/>
      <c r="E600" s="8"/>
      <c r="F600" s="8"/>
      <c r="G600" s="8"/>
      <c r="H600" s="8"/>
      <c r="I600" s="8"/>
      <c r="J600" s="8"/>
      <c r="K600" s="4"/>
      <c r="L600" s="8"/>
    </row>
    <row r="601" customFormat="false" ht="15" hidden="false" customHeight="false" outlineLevel="0" collapsed="false">
      <c r="A601" s="4"/>
      <c r="B601" s="8"/>
      <c r="C601" s="8"/>
      <c r="D601" s="8"/>
      <c r="E601" s="8"/>
      <c r="F601" s="8"/>
      <c r="G601" s="8"/>
      <c r="H601" s="8"/>
      <c r="I601" s="8"/>
      <c r="J601" s="8"/>
      <c r="K601" s="4"/>
      <c r="L601" s="8"/>
    </row>
    <row r="602" customFormat="false" ht="15" hidden="false" customHeight="false" outlineLevel="0" collapsed="false">
      <c r="A602" s="4"/>
      <c r="B602" s="8"/>
      <c r="C602" s="8"/>
      <c r="D602" s="8"/>
      <c r="E602" s="8"/>
      <c r="F602" s="8"/>
      <c r="G602" s="8"/>
      <c r="H602" s="8"/>
      <c r="I602" s="8"/>
      <c r="J602" s="8"/>
      <c r="K602" s="4"/>
      <c r="L602" s="8"/>
    </row>
    <row r="603" customFormat="false" ht="15" hidden="false" customHeight="false" outlineLevel="0" collapsed="false">
      <c r="A603" s="4"/>
      <c r="B603" s="8"/>
      <c r="C603" s="8"/>
      <c r="D603" s="8"/>
      <c r="E603" s="8"/>
      <c r="F603" s="8"/>
      <c r="G603" s="8"/>
      <c r="H603" s="8"/>
      <c r="I603" s="8"/>
      <c r="J603" s="8"/>
      <c r="K603" s="4"/>
      <c r="L603" s="8"/>
    </row>
    <row r="604" customFormat="false" ht="15" hidden="false" customHeight="false" outlineLevel="0" collapsed="false">
      <c r="A604" s="4"/>
      <c r="B604" s="8"/>
      <c r="C604" s="8"/>
      <c r="D604" s="8"/>
      <c r="E604" s="8"/>
      <c r="F604" s="8"/>
      <c r="G604" s="8"/>
      <c r="H604" s="8"/>
      <c r="I604" s="8"/>
      <c r="J604" s="8"/>
      <c r="K604" s="4"/>
      <c r="L604" s="8"/>
    </row>
    <row r="605" customFormat="false" ht="15" hidden="false" customHeight="false" outlineLevel="0" collapsed="false">
      <c r="A605" s="4"/>
      <c r="B605" s="8"/>
      <c r="C605" s="8"/>
      <c r="D605" s="8"/>
      <c r="E605" s="8"/>
      <c r="F605" s="8"/>
      <c r="G605" s="8"/>
      <c r="H605" s="8"/>
      <c r="I605" s="8"/>
      <c r="J605" s="8"/>
      <c r="K605" s="4"/>
      <c r="L605" s="8"/>
    </row>
    <row r="606" customFormat="false" ht="15" hidden="false" customHeight="false" outlineLevel="0" collapsed="false">
      <c r="A606" s="4"/>
      <c r="B606" s="8"/>
      <c r="C606" s="8"/>
      <c r="D606" s="8"/>
      <c r="E606" s="8"/>
      <c r="F606" s="8"/>
      <c r="G606" s="8"/>
      <c r="H606" s="8"/>
      <c r="I606" s="8"/>
      <c r="J606" s="8"/>
      <c r="K606" s="4"/>
      <c r="L606" s="8"/>
    </row>
    <row r="607" customFormat="false" ht="15" hidden="false" customHeight="false" outlineLevel="0" collapsed="false">
      <c r="A607" s="4"/>
      <c r="B607" s="8"/>
      <c r="C607" s="8"/>
      <c r="D607" s="8"/>
      <c r="E607" s="8"/>
      <c r="F607" s="8"/>
      <c r="G607" s="8"/>
      <c r="H607" s="8"/>
      <c r="I607" s="8"/>
      <c r="J607" s="8"/>
      <c r="K607" s="4"/>
      <c r="L607" s="8"/>
    </row>
    <row r="608" customFormat="false" ht="15" hidden="false" customHeight="false" outlineLevel="0" collapsed="false">
      <c r="A608" s="4"/>
      <c r="B608" s="8"/>
      <c r="C608" s="8"/>
      <c r="D608" s="8"/>
      <c r="E608" s="8"/>
      <c r="F608" s="8"/>
      <c r="G608" s="8"/>
      <c r="H608" s="8"/>
      <c r="I608" s="8"/>
      <c r="J608" s="8"/>
      <c r="K608" s="4"/>
      <c r="L608" s="8"/>
    </row>
    <row r="609" customFormat="false" ht="15" hidden="false" customHeight="false" outlineLevel="0" collapsed="false">
      <c r="A609" s="4"/>
      <c r="B609" s="8"/>
      <c r="C609" s="8"/>
      <c r="D609" s="8"/>
      <c r="E609" s="8"/>
      <c r="F609" s="8"/>
      <c r="G609" s="8"/>
      <c r="H609" s="8"/>
      <c r="I609" s="8"/>
      <c r="J609" s="8"/>
      <c r="K609" s="4"/>
      <c r="L609" s="8"/>
    </row>
    <row r="610" customFormat="false" ht="15" hidden="false" customHeight="false" outlineLevel="0" collapsed="false">
      <c r="A610" s="4"/>
      <c r="B610" s="8"/>
      <c r="C610" s="8"/>
      <c r="D610" s="8"/>
      <c r="E610" s="8"/>
      <c r="F610" s="8"/>
      <c r="G610" s="8"/>
      <c r="H610" s="8"/>
      <c r="I610" s="8"/>
      <c r="J610" s="8"/>
      <c r="K610" s="4"/>
      <c r="L610" s="8"/>
    </row>
    <row r="611" customFormat="false" ht="15" hidden="false" customHeight="false" outlineLevel="0" collapsed="false">
      <c r="A611" s="4"/>
      <c r="B611" s="8"/>
      <c r="C611" s="8"/>
      <c r="D611" s="8"/>
      <c r="E611" s="8"/>
      <c r="F611" s="8"/>
      <c r="G611" s="8"/>
      <c r="H611" s="8"/>
      <c r="I611" s="8"/>
      <c r="J611" s="8"/>
      <c r="K611" s="4"/>
      <c r="L611" s="8"/>
    </row>
    <row r="612" customFormat="false" ht="15" hidden="false" customHeight="false" outlineLevel="0" collapsed="false">
      <c r="A612" s="4"/>
      <c r="B612" s="8"/>
      <c r="C612" s="8"/>
      <c r="D612" s="8"/>
      <c r="E612" s="8"/>
      <c r="F612" s="8"/>
      <c r="G612" s="8"/>
      <c r="H612" s="8"/>
      <c r="I612" s="8"/>
      <c r="J612" s="8"/>
      <c r="K612" s="4"/>
      <c r="L612" s="8"/>
    </row>
    <row r="613" customFormat="false" ht="15" hidden="false" customHeight="false" outlineLevel="0" collapsed="false">
      <c r="A613" s="4"/>
      <c r="B613" s="8"/>
      <c r="C613" s="8"/>
      <c r="D613" s="8"/>
      <c r="E613" s="8"/>
      <c r="F613" s="8"/>
      <c r="G613" s="8"/>
      <c r="H613" s="8"/>
      <c r="I613" s="8"/>
      <c r="J613" s="8"/>
      <c r="K613" s="4"/>
      <c r="L613" s="8"/>
    </row>
    <row r="614" customFormat="false" ht="15" hidden="false" customHeight="false" outlineLevel="0" collapsed="false">
      <c r="A614" s="4"/>
      <c r="B614" s="8"/>
      <c r="C614" s="8"/>
      <c r="D614" s="8"/>
      <c r="E614" s="8"/>
      <c r="F614" s="8"/>
      <c r="G614" s="8"/>
      <c r="H614" s="8"/>
      <c r="I614" s="8"/>
      <c r="J614" s="8"/>
      <c r="K614" s="4"/>
      <c r="L614" s="8"/>
    </row>
    <row r="615" customFormat="false" ht="15" hidden="false" customHeight="false" outlineLevel="0" collapsed="false">
      <c r="A615" s="4"/>
      <c r="B615" s="8"/>
      <c r="C615" s="8"/>
      <c r="D615" s="8"/>
      <c r="E615" s="8"/>
      <c r="F615" s="8"/>
      <c r="G615" s="8"/>
      <c r="H615" s="8"/>
      <c r="I615" s="8"/>
      <c r="J615" s="8"/>
      <c r="K615" s="4"/>
      <c r="L615" s="8"/>
    </row>
    <row r="616" customFormat="false" ht="15" hidden="false" customHeight="false" outlineLevel="0" collapsed="false">
      <c r="A616" s="4"/>
      <c r="B616" s="8"/>
      <c r="C616" s="8"/>
      <c r="D616" s="8"/>
      <c r="E616" s="8"/>
      <c r="F616" s="8"/>
      <c r="G616" s="8"/>
      <c r="H616" s="8"/>
      <c r="I616" s="8"/>
      <c r="J616" s="8"/>
      <c r="K616" s="4"/>
      <c r="L616" s="8"/>
    </row>
    <row r="617" customFormat="false" ht="15" hidden="false" customHeight="false" outlineLevel="0" collapsed="false">
      <c r="A617" s="4"/>
      <c r="B617" s="8"/>
      <c r="C617" s="8"/>
      <c r="D617" s="8"/>
      <c r="E617" s="8"/>
      <c r="F617" s="8"/>
      <c r="G617" s="8"/>
      <c r="H617" s="8"/>
      <c r="I617" s="8"/>
      <c r="J617" s="8"/>
      <c r="K617" s="4"/>
      <c r="L617" s="8"/>
    </row>
    <row r="618" customFormat="false" ht="15" hidden="false" customHeight="false" outlineLevel="0" collapsed="false">
      <c r="A618" s="4"/>
      <c r="B618" s="8"/>
      <c r="C618" s="8"/>
      <c r="D618" s="8"/>
      <c r="E618" s="8"/>
      <c r="F618" s="8"/>
      <c r="G618" s="8"/>
      <c r="H618" s="8"/>
      <c r="I618" s="8"/>
      <c r="J618" s="8"/>
      <c r="K618" s="4"/>
      <c r="L618" s="8"/>
    </row>
    <row r="619" customFormat="false" ht="15" hidden="false" customHeight="false" outlineLevel="0" collapsed="false">
      <c r="A619" s="4"/>
      <c r="B619" s="8"/>
      <c r="C619" s="8"/>
      <c r="D619" s="8"/>
      <c r="E619" s="8"/>
      <c r="F619" s="8"/>
      <c r="G619" s="8"/>
      <c r="H619" s="8"/>
      <c r="I619" s="8"/>
      <c r="J619" s="8"/>
      <c r="K619" s="4"/>
      <c r="L619" s="8"/>
    </row>
    <row r="620" customFormat="false" ht="15" hidden="false" customHeight="false" outlineLevel="0" collapsed="false">
      <c r="A620" s="4"/>
      <c r="B620" s="8"/>
      <c r="C620" s="8"/>
      <c r="D620" s="8"/>
      <c r="E620" s="8"/>
      <c r="F620" s="8"/>
      <c r="G620" s="8"/>
      <c r="H620" s="8"/>
      <c r="I620" s="8"/>
      <c r="J620" s="8"/>
      <c r="K620" s="4"/>
      <c r="L620" s="8"/>
    </row>
    <row r="621" customFormat="false" ht="15" hidden="false" customHeight="false" outlineLevel="0" collapsed="false">
      <c r="A621" s="4"/>
      <c r="B621" s="8"/>
      <c r="C621" s="8"/>
      <c r="D621" s="8"/>
      <c r="E621" s="8"/>
      <c r="F621" s="8"/>
      <c r="G621" s="8"/>
      <c r="H621" s="8"/>
      <c r="I621" s="8"/>
      <c r="J621" s="8"/>
      <c r="K621" s="4"/>
      <c r="L621" s="8"/>
    </row>
    <row r="622" customFormat="false" ht="15" hidden="false" customHeight="false" outlineLevel="0" collapsed="false">
      <c r="A622" s="4"/>
      <c r="B622" s="8"/>
      <c r="C622" s="8"/>
      <c r="D622" s="8"/>
      <c r="E622" s="8"/>
      <c r="F622" s="8"/>
      <c r="G622" s="8"/>
      <c r="H622" s="8"/>
      <c r="I622" s="8"/>
      <c r="J622" s="8"/>
      <c r="K622" s="4"/>
      <c r="L622" s="8"/>
    </row>
    <row r="623" customFormat="false" ht="15" hidden="false" customHeight="false" outlineLevel="0" collapsed="false">
      <c r="A623" s="4"/>
      <c r="B623" s="8"/>
      <c r="C623" s="8"/>
      <c r="D623" s="8"/>
      <c r="E623" s="8"/>
      <c r="F623" s="8"/>
      <c r="G623" s="8"/>
      <c r="H623" s="8"/>
      <c r="I623" s="8"/>
      <c r="J623" s="8"/>
      <c r="K623" s="4"/>
      <c r="L623" s="8"/>
    </row>
    <row r="624" customFormat="false" ht="15" hidden="false" customHeight="false" outlineLevel="0" collapsed="false">
      <c r="A624" s="4"/>
      <c r="B624" s="8"/>
      <c r="C624" s="8"/>
      <c r="D624" s="8"/>
      <c r="E624" s="8"/>
      <c r="F624" s="8"/>
      <c r="G624" s="8"/>
      <c r="H624" s="8"/>
      <c r="I624" s="8"/>
      <c r="J624" s="8"/>
      <c r="K624" s="4"/>
      <c r="L624" s="8"/>
    </row>
    <row r="625" customFormat="false" ht="15" hidden="false" customHeight="false" outlineLevel="0" collapsed="false">
      <c r="A625" s="4"/>
      <c r="B625" s="8"/>
      <c r="C625" s="8"/>
      <c r="D625" s="8"/>
      <c r="E625" s="8"/>
      <c r="F625" s="8"/>
      <c r="G625" s="8"/>
      <c r="H625" s="8"/>
      <c r="I625" s="8"/>
      <c r="J625" s="8"/>
      <c r="K625" s="4"/>
      <c r="L625" s="8"/>
    </row>
    <row r="626" customFormat="false" ht="15" hidden="false" customHeight="false" outlineLevel="0" collapsed="false">
      <c r="A626" s="4"/>
      <c r="B626" s="8"/>
      <c r="C626" s="8"/>
      <c r="D626" s="8"/>
      <c r="E626" s="8"/>
      <c r="F626" s="8"/>
      <c r="G626" s="8"/>
      <c r="H626" s="8"/>
      <c r="I626" s="8"/>
      <c r="J626" s="8"/>
      <c r="K626" s="4"/>
      <c r="L626" s="8"/>
    </row>
    <row r="627" customFormat="false" ht="15" hidden="false" customHeight="false" outlineLevel="0" collapsed="false">
      <c r="A627" s="4"/>
      <c r="B627" s="8"/>
      <c r="C627" s="8"/>
      <c r="D627" s="8"/>
      <c r="E627" s="8"/>
      <c r="F627" s="8"/>
      <c r="G627" s="8"/>
      <c r="H627" s="8"/>
      <c r="I627" s="8"/>
      <c r="J627" s="8"/>
      <c r="K627" s="4"/>
      <c r="L627" s="8"/>
    </row>
    <row r="628" customFormat="false" ht="15" hidden="false" customHeight="false" outlineLevel="0" collapsed="false">
      <c r="A628" s="4"/>
      <c r="B628" s="8"/>
      <c r="C628" s="8"/>
      <c r="D628" s="8"/>
      <c r="E628" s="8"/>
      <c r="F628" s="8"/>
      <c r="G628" s="8"/>
      <c r="H628" s="8"/>
      <c r="I628" s="8"/>
      <c r="J628" s="8"/>
      <c r="K628" s="4"/>
      <c r="L628" s="8"/>
    </row>
    <row r="629" customFormat="false" ht="15" hidden="false" customHeight="false" outlineLevel="0" collapsed="false">
      <c r="A629" s="4"/>
      <c r="B629" s="8"/>
      <c r="C629" s="8"/>
      <c r="D629" s="8"/>
      <c r="E629" s="8"/>
      <c r="F629" s="8"/>
      <c r="G629" s="8"/>
      <c r="H629" s="8"/>
      <c r="I629" s="8"/>
      <c r="J629" s="8"/>
      <c r="K629" s="4"/>
      <c r="L629" s="8"/>
    </row>
    <row r="630" customFormat="false" ht="15" hidden="false" customHeight="false" outlineLevel="0" collapsed="false">
      <c r="A630" s="4"/>
      <c r="B630" s="8"/>
      <c r="C630" s="8"/>
      <c r="D630" s="8"/>
      <c r="E630" s="8"/>
      <c r="F630" s="8"/>
      <c r="G630" s="8"/>
      <c r="H630" s="8"/>
      <c r="I630" s="8"/>
      <c r="J630" s="8"/>
      <c r="K630" s="4"/>
      <c r="L630" s="8"/>
    </row>
    <row r="631" customFormat="false" ht="15" hidden="false" customHeight="false" outlineLevel="0" collapsed="false">
      <c r="A631" s="4"/>
      <c r="B631" s="8"/>
      <c r="C631" s="8"/>
      <c r="D631" s="8"/>
      <c r="E631" s="8"/>
      <c r="F631" s="8"/>
      <c r="G631" s="8"/>
      <c r="H631" s="8"/>
      <c r="I631" s="8"/>
      <c r="J631" s="8"/>
      <c r="K631" s="4"/>
      <c r="L631" s="8"/>
    </row>
    <row r="632" customFormat="false" ht="15" hidden="false" customHeight="false" outlineLevel="0" collapsed="false">
      <c r="A632" s="4"/>
      <c r="B632" s="8"/>
      <c r="C632" s="8"/>
      <c r="D632" s="8"/>
      <c r="E632" s="8"/>
      <c r="F632" s="8"/>
      <c r="G632" s="8"/>
      <c r="H632" s="8"/>
      <c r="I632" s="8"/>
      <c r="J632" s="8"/>
      <c r="K632" s="4"/>
      <c r="L632" s="8"/>
    </row>
    <row r="633" customFormat="false" ht="15" hidden="false" customHeight="false" outlineLevel="0" collapsed="false">
      <c r="A633" s="4"/>
      <c r="B633" s="8"/>
      <c r="C633" s="8"/>
      <c r="D633" s="8"/>
      <c r="E633" s="8"/>
      <c r="F633" s="8"/>
      <c r="G633" s="8"/>
      <c r="H633" s="8"/>
      <c r="I633" s="8"/>
      <c r="J633" s="8"/>
      <c r="K633" s="4"/>
      <c r="L633" s="8"/>
    </row>
    <row r="634" customFormat="false" ht="15" hidden="false" customHeight="false" outlineLevel="0" collapsed="false">
      <c r="A634" s="4"/>
      <c r="B634" s="8"/>
      <c r="C634" s="8"/>
      <c r="D634" s="8"/>
      <c r="E634" s="8"/>
      <c r="F634" s="8"/>
      <c r="G634" s="8"/>
      <c r="H634" s="8"/>
      <c r="I634" s="8"/>
      <c r="J634" s="8"/>
      <c r="K634" s="4"/>
      <c r="L634" s="8"/>
    </row>
    <row r="635" customFormat="false" ht="15" hidden="false" customHeight="false" outlineLevel="0" collapsed="false">
      <c r="A635" s="4"/>
      <c r="B635" s="8"/>
      <c r="C635" s="8"/>
      <c r="D635" s="8"/>
      <c r="E635" s="8"/>
      <c r="F635" s="8"/>
      <c r="G635" s="8"/>
      <c r="H635" s="8"/>
      <c r="I635" s="8"/>
      <c r="J635" s="8"/>
      <c r="K635" s="4"/>
      <c r="L635" s="8"/>
    </row>
    <row r="636" customFormat="false" ht="15" hidden="false" customHeight="false" outlineLevel="0" collapsed="false">
      <c r="A636" s="4"/>
      <c r="B636" s="8"/>
      <c r="C636" s="8"/>
      <c r="D636" s="8"/>
      <c r="E636" s="8"/>
      <c r="F636" s="8"/>
      <c r="G636" s="8"/>
      <c r="H636" s="8"/>
      <c r="I636" s="8"/>
      <c r="J636" s="8"/>
      <c r="K636" s="4"/>
      <c r="L636" s="8"/>
    </row>
    <row r="637" customFormat="false" ht="15" hidden="false" customHeight="false" outlineLevel="0" collapsed="false">
      <c r="A637" s="4"/>
      <c r="B637" s="8"/>
      <c r="C637" s="8"/>
      <c r="D637" s="8"/>
      <c r="E637" s="8"/>
      <c r="F637" s="8"/>
      <c r="G637" s="8"/>
      <c r="H637" s="8"/>
      <c r="I637" s="8"/>
      <c r="J637" s="8"/>
      <c r="K637" s="4"/>
      <c r="L637" s="8"/>
    </row>
    <row r="638" customFormat="false" ht="15" hidden="false" customHeight="false" outlineLevel="0" collapsed="false">
      <c r="A638" s="4"/>
      <c r="B638" s="8"/>
      <c r="C638" s="8"/>
      <c r="D638" s="8"/>
      <c r="E638" s="8"/>
      <c r="F638" s="8"/>
      <c r="G638" s="8"/>
      <c r="H638" s="8"/>
      <c r="I638" s="8"/>
      <c r="J638" s="8"/>
      <c r="K638" s="4"/>
      <c r="L638" s="8"/>
    </row>
    <row r="639" customFormat="false" ht="15" hidden="false" customHeight="false" outlineLevel="0" collapsed="false">
      <c r="A639" s="4"/>
      <c r="B639" s="8"/>
      <c r="C639" s="8"/>
      <c r="D639" s="8"/>
      <c r="E639" s="8"/>
      <c r="F639" s="8"/>
      <c r="G639" s="8"/>
      <c r="H639" s="8"/>
      <c r="I639" s="8"/>
      <c r="J639" s="8"/>
      <c r="K639" s="4"/>
      <c r="L639" s="8"/>
    </row>
    <row r="640" customFormat="false" ht="15" hidden="false" customHeight="false" outlineLevel="0" collapsed="false">
      <c r="A640" s="4"/>
      <c r="B640" s="8"/>
      <c r="C640" s="8"/>
      <c r="D640" s="8"/>
      <c r="E640" s="8"/>
      <c r="F640" s="8"/>
      <c r="G640" s="8"/>
      <c r="H640" s="8"/>
      <c r="I640" s="8"/>
      <c r="J640" s="8"/>
      <c r="K640" s="4"/>
      <c r="L640" s="8"/>
    </row>
    <row r="641" customFormat="false" ht="15" hidden="false" customHeight="false" outlineLevel="0" collapsed="false">
      <c r="A641" s="4"/>
      <c r="B641" s="8"/>
      <c r="C641" s="8"/>
      <c r="D641" s="8"/>
      <c r="E641" s="8"/>
      <c r="F641" s="8"/>
      <c r="G641" s="8"/>
      <c r="H641" s="8"/>
      <c r="I641" s="8"/>
      <c r="J641" s="8"/>
      <c r="K641" s="4"/>
      <c r="L641" s="8"/>
    </row>
    <row r="642" customFormat="false" ht="15" hidden="false" customHeight="false" outlineLevel="0" collapsed="false">
      <c r="A642" s="4"/>
      <c r="B642" s="8"/>
      <c r="C642" s="8"/>
      <c r="D642" s="8"/>
      <c r="E642" s="8"/>
      <c r="F642" s="8"/>
      <c r="G642" s="8"/>
      <c r="H642" s="8"/>
      <c r="I642" s="8"/>
      <c r="J642" s="8"/>
      <c r="K642" s="4"/>
      <c r="L642" s="8"/>
    </row>
    <row r="643" customFormat="false" ht="15" hidden="false" customHeight="false" outlineLevel="0" collapsed="false">
      <c r="A643" s="4"/>
      <c r="B643" s="8"/>
      <c r="C643" s="8"/>
      <c r="D643" s="8"/>
      <c r="E643" s="8"/>
      <c r="F643" s="8"/>
      <c r="G643" s="8"/>
      <c r="H643" s="8"/>
      <c r="I643" s="8"/>
      <c r="J643" s="8"/>
      <c r="K643" s="4"/>
      <c r="L643" s="8"/>
    </row>
    <row r="644" customFormat="false" ht="15" hidden="false" customHeight="false" outlineLevel="0" collapsed="false">
      <c r="A644" s="4"/>
      <c r="B644" s="8"/>
      <c r="C644" s="8"/>
      <c r="D644" s="8"/>
      <c r="E644" s="8"/>
      <c r="F644" s="8"/>
      <c r="G644" s="8"/>
      <c r="H644" s="8"/>
      <c r="I644" s="8"/>
      <c r="J644" s="8"/>
      <c r="K644" s="4"/>
      <c r="L644" s="8"/>
    </row>
    <row r="645" customFormat="false" ht="15" hidden="false" customHeight="false" outlineLevel="0" collapsed="false">
      <c r="A645" s="4"/>
      <c r="B645" s="8"/>
      <c r="C645" s="8"/>
      <c r="D645" s="8"/>
      <c r="E645" s="8"/>
      <c r="F645" s="8"/>
      <c r="G645" s="8"/>
      <c r="H645" s="8"/>
      <c r="I645" s="8"/>
      <c r="J645" s="8"/>
      <c r="K645" s="4"/>
      <c r="L645" s="8"/>
    </row>
    <row r="646" customFormat="false" ht="15" hidden="false" customHeight="false" outlineLevel="0" collapsed="false">
      <c r="A646" s="4"/>
      <c r="B646" s="8"/>
      <c r="C646" s="8"/>
      <c r="D646" s="8"/>
      <c r="E646" s="8"/>
      <c r="F646" s="8"/>
      <c r="G646" s="8"/>
      <c r="H646" s="8"/>
      <c r="I646" s="8"/>
      <c r="J646" s="8"/>
      <c r="K646" s="4"/>
      <c r="L646" s="8"/>
    </row>
    <row r="647" customFormat="false" ht="15" hidden="false" customHeight="false" outlineLevel="0" collapsed="false">
      <c r="A647" s="4"/>
      <c r="B647" s="8"/>
      <c r="C647" s="8"/>
      <c r="D647" s="8"/>
      <c r="E647" s="8"/>
      <c r="F647" s="8"/>
      <c r="G647" s="8"/>
      <c r="H647" s="8"/>
      <c r="I647" s="8"/>
      <c r="J647" s="8"/>
      <c r="K647" s="4"/>
      <c r="L647" s="8"/>
    </row>
    <row r="648" customFormat="false" ht="15" hidden="false" customHeight="false" outlineLevel="0" collapsed="false">
      <c r="A648" s="4"/>
      <c r="B648" s="8"/>
      <c r="C648" s="8"/>
      <c r="D648" s="8"/>
      <c r="E648" s="8"/>
      <c r="F648" s="8"/>
      <c r="G648" s="8"/>
      <c r="H648" s="8"/>
      <c r="I648" s="8"/>
      <c r="J648" s="8"/>
      <c r="K648" s="4"/>
      <c r="L648" s="8"/>
    </row>
    <row r="649" customFormat="false" ht="15" hidden="false" customHeight="false" outlineLevel="0" collapsed="false">
      <c r="A649" s="4"/>
      <c r="B649" s="8"/>
      <c r="C649" s="8"/>
      <c r="D649" s="8"/>
      <c r="E649" s="8"/>
      <c r="F649" s="8"/>
      <c r="G649" s="8"/>
      <c r="H649" s="8"/>
      <c r="I649" s="8"/>
      <c r="J649" s="8"/>
      <c r="K649" s="4"/>
      <c r="L649" s="8"/>
    </row>
    <row r="650" customFormat="false" ht="15" hidden="false" customHeight="false" outlineLevel="0" collapsed="false">
      <c r="A650" s="4"/>
      <c r="B650" s="8"/>
      <c r="C650" s="8"/>
      <c r="D650" s="8"/>
      <c r="E650" s="8"/>
      <c r="F650" s="8"/>
      <c r="G650" s="8"/>
      <c r="H650" s="8"/>
      <c r="I650" s="8"/>
      <c r="J650" s="8"/>
      <c r="K650" s="4"/>
      <c r="L650" s="8"/>
    </row>
    <row r="651" customFormat="false" ht="15" hidden="false" customHeight="false" outlineLevel="0" collapsed="false">
      <c r="A651" s="4"/>
      <c r="B651" s="8"/>
      <c r="C651" s="8"/>
      <c r="D651" s="8"/>
      <c r="E651" s="8"/>
      <c r="F651" s="8"/>
      <c r="G651" s="8"/>
      <c r="H651" s="8"/>
      <c r="I651" s="8"/>
      <c r="J651" s="8"/>
      <c r="K651" s="4"/>
      <c r="L651" s="8"/>
    </row>
    <row r="652" customFormat="false" ht="15" hidden="false" customHeight="false" outlineLevel="0" collapsed="false">
      <c r="A652" s="4"/>
      <c r="B652" s="8"/>
      <c r="C652" s="8"/>
      <c r="D652" s="8"/>
      <c r="E652" s="8"/>
      <c r="F652" s="8"/>
      <c r="G652" s="8"/>
      <c r="H652" s="8"/>
      <c r="I652" s="8"/>
      <c r="J652" s="8"/>
      <c r="K652" s="4"/>
      <c r="L652" s="8"/>
    </row>
    <row r="653" customFormat="false" ht="15" hidden="false" customHeight="false" outlineLevel="0" collapsed="false">
      <c r="A653" s="4"/>
      <c r="B653" s="8"/>
      <c r="C653" s="8"/>
      <c r="D653" s="8"/>
      <c r="E653" s="8"/>
      <c r="F653" s="8"/>
      <c r="G653" s="8"/>
      <c r="H653" s="8"/>
      <c r="I653" s="8"/>
      <c r="J653" s="8"/>
      <c r="K653" s="4"/>
      <c r="L653" s="8"/>
    </row>
    <row r="654" customFormat="false" ht="15" hidden="false" customHeight="false" outlineLevel="0" collapsed="false">
      <c r="A654" s="4"/>
      <c r="B654" s="8"/>
      <c r="C654" s="8"/>
      <c r="D654" s="8"/>
      <c r="E654" s="8"/>
      <c r="F654" s="8"/>
      <c r="G654" s="8"/>
      <c r="H654" s="8"/>
      <c r="I654" s="8"/>
      <c r="J654" s="8"/>
      <c r="K654" s="4"/>
      <c r="L654" s="8"/>
    </row>
    <row r="655" customFormat="false" ht="15" hidden="false" customHeight="false" outlineLevel="0" collapsed="false">
      <c r="A655" s="4"/>
      <c r="B655" s="8"/>
      <c r="C655" s="8"/>
      <c r="D655" s="8"/>
      <c r="E655" s="8"/>
      <c r="F655" s="8"/>
      <c r="G655" s="8"/>
      <c r="H655" s="8"/>
      <c r="I655" s="8"/>
      <c r="J655" s="8"/>
      <c r="K655" s="4"/>
      <c r="L655" s="8"/>
    </row>
    <row r="656" customFormat="false" ht="15" hidden="false" customHeight="false" outlineLevel="0" collapsed="false">
      <c r="A656" s="4"/>
      <c r="B656" s="8"/>
      <c r="C656" s="8"/>
      <c r="D656" s="8"/>
      <c r="E656" s="8"/>
      <c r="F656" s="8"/>
      <c r="G656" s="8"/>
      <c r="H656" s="8"/>
      <c r="I656" s="8"/>
      <c r="J656" s="8"/>
      <c r="K656" s="4"/>
      <c r="L656" s="8"/>
    </row>
    <row r="657" customFormat="false" ht="15" hidden="false" customHeight="false" outlineLevel="0" collapsed="false">
      <c r="A657" s="4"/>
      <c r="B657" s="8"/>
      <c r="C657" s="8"/>
      <c r="D657" s="8"/>
      <c r="E657" s="8"/>
      <c r="F657" s="8"/>
      <c r="G657" s="8"/>
      <c r="H657" s="8"/>
      <c r="I657" s="8"/>
      <c r="J657" s="8"/>
      <c r="K657" s="4"/>
      <c r="L657" s="8"/>
    </row>
    <row r="658" customFormat="false" ht="15" hidden="false" customHeight="false" outlineLevel="0" collapsed="false">
      <c r="A658" s="4"/>
      <c r="B658" s="8"/>
      <c r="C658" s="8"/>
      <c r="D658" s="8"/>
      <c r="E658" s="8"/>
      <c r="F658" s="8"/>
      <c r="G658" s="8"/>
      <c r="H658" s="8"/>
      <c r="I658" s="8"/>
      <c r="J658" s="8"/>
      <c r="K658" s="4"/>
      <c r="L658" s="8"/>
    </row>
    <row r="659" customFormat="false" ht="15" hidden="false" customHeight="false" outlineLevel="0" collapsed="false">
      <c r="A659" s="4"/>
      <c r="B659" s="8"/>
      <c r="C659" s="8"/>
      <c r="D659" s="8"/>
      <c r="E659" s="8"/>
      <c r="F659" s="8"/>
      <c r="G659" s="8"/>
      <c r="H659" s="8"/>
      <c r="I659" s="8"/>
      <c r="J659" s="8"/>
      <c r="K659" s="4"/>
      <c r="L659" s="8"/>
    </row>
    <row r="660" customFormat="false" ht="15" hidden="false" customHeight="false" outlineLevel="0" collapsed="false">
      <c r="A660" s="4"/>
      <c r="B660" s="8"/>
      <c r="C660" s="8"/>
      <c r="D660" s="8"/>
      <c r="E660" s="8"/>
      <c r="F660" s="8"/>
      <c r="G660" s="8"/>
      <c r="H660" s="8"/>
      <c r="I660" s="8"/>
      <c r="J660" s="8"/>
      <c r="K660" s="4"/>
      <c r="L660" s="8"/>
    </row>
    <row r="661" customFormat="false" ht="15" hidden="false" customHeight="false" outlineLevel="0" collapsed="false">
      <c r="A661" s="4"/>
      <c r="B661" s="8"/>
      <c r="C661" s="8"/>
      <c r="D661" s="8"/>
      <c r="E661" s="8"/>
      <c r="F661" s="8"/>
      <c r="G661" s="8"/>
      <c r="H661" s="8"/>
      <c r="I661" s="8"/>
      <c r="J661" s="8"/>
      <c r="K661" s="4"/>
      <c r="L661" s="8"/>
    </row>
    <row r="662" customFormat="false" ht="15" hidden="false" customHeight="false" outlineLevel="0" collapsed="false">
      <c r="A662" s="4"/>
      <c r="B662" s="8"/>
      <c r="C662" s="8"/>
      <c r="D662" s="8"/>
      <c r="E662" s="8"/>
      <c r="F662" s="8"/>
      <c r="G662" s="8"/>
      <c r="H662" s="8"/>
      <c r="I662" s="8"/>
      <c r="J662" s="8"/>
      <c r="K662" s="4"/>
      <c r="L662" s="8"/>
    </row>
    <row r="663" customFormat="false" ht="15" hidden="false" customHeight="false" outlineLevel="0" collapsed="false">
      <c r="A663" s="4"/>
      <c r="B663" s="8"/>
      <c r="C663" s="8"/>
      <c r="D663" s="8"/>
      <c r="E663" s="8"/>
      <c r="F663" s="8"/>
      <c r="G663" s="8"/>
      <c r="H663" s="8"/>
      <c r="I663" s="8"/>
      <c r="J663" s="8"/>
      <c r="K663" s="4"/>
      <c r="L663" s="8"/>
    </row>
    <row r="664" customFormat="false" ht="15" hidden="false" customHeight="false" outlineLevel="0" collapsed="false">
      <c r="A664" s="4"/>
      <c r="B664" s="8"/>
      <c r="C664" s="8"/>
      <c r="D664" s="8"/>
      <c r="E664" s="8"/>
      <c r="F664" s="8"/>
      <c r="G664" s="8"/>
      <c r="H664" s="8"/>
      <c r="I664" s="8"/>
      <c r="J664" s="8"/>
      <c r="K664" s="4"/>
      <c r="L664" s="8"/>
    </row>
    <row r="665" customFormat="false" ht="15" hidden="false" customHeight="false" outlineLevel="0" collapsed="false">
      <c r="A665" s="4"/>
      <c r="B665" s="8"/>
      <c r="C665" s="8"/>
      <c r="D665" s="8"/>
      <c r="E665" s="8"/>
      <c r="F665" s="8"/>
      <c r="G665" s="8"/>
      <c r="H665" s="8"/>
      <c r="I665" s="8"/>
      <c r="J665" s="8"/>
      <c r="K665" s="4"/>
      <c r="L665" s="8"/>
    </row>
    <row r="666" customFormat="false" ht="15" hidden="false" customHeight="false" outlineLevel="0" collapsed="false">
      <c r="A666" s="4"/>
      <c r="B666" s="8"/>
      <c r="C666" s="8"/>
      <c r="D666" s="8"/>
      <c r="E666" s="8"/>
      <c r="F666" s="8"/>
      <c r="G666" s="8"/>
      <c r="H666" s="8"/>
      <c r="I666" s="8"/>
      <c r="J666" s="8"/>
      <c r="K666" s="4"/>
      <c r="L666" s="8"/>
    </row>
    <row r="667" customFormat="false" ht="15" hidden="false" customHeight="false" outlineLevel="0" collapsed="false">
      <c r="A667" s="4"/>
      <c r="B667" s="8"/>
      <c r="C667" s="8"/>
      <c r="D667" s="8"/>
      <c r="E667" s="8"/>
      <c r="F667" s="8"/>
      <c r="G667" s="8"/>
      <c r="H667" s="8"/>
      <c r="I667" s="8"/>
      <c r="J667" s="8"/>
      <c r="K667" s="4"/>
      <c r="L667" s="8"/>
    </row>
    <row r="668" customFormat="false" ht="15" hidden="false" customHeight="false" outlineLevel="0" collapsed="false">
      <c r="A668" s="4"/>
      <c r="B668" s="8"/>
      <c r="C668" s="8"/>
      <c r="D668" s="8"/>
      <c r="E668" s="8"/>
      <c r="F668" s="8"/>
      <c r="G668" s="8"/>
      <c r="H668" s="8"/>
      <c r="I668" s="8"/>
      <c r="J668" s="8"/>
      <c r="K668" s="4"/>
      <c r="L668" s="8"/>
    </row>
    <row r="669" customFormat="false" ht="15" hidden="false" customHeight="false" outlineLevel="0" collapsed="false">
      <c r="A669" s="4"/>
      <c r="B669" s="8"/>
      <c r="C669" s="8"/>
      <c r="D669" s="8"/>
      <c r="E669" s="8"/>
      <c r="F669" s="8"/>
      <c r="G669" s="8"/>
      <c r="H669" s="8"/>
      <c r="I669" s="8"/>
      <c r="J669" s="8"/>
      <c r="K669" s="4"/>
      <c r="L669" s="8"/>
    </row>
    <row r="670" customFormat="false" ht="15" hidden="false" customHeight="false" outlineLevel="0" collapsed="false">
      <c r="A670" s="4"/>
      <c r="B670" s="8"/>
      <c r="C670" s="8"/>
      <c r="D670" s="8"/>
      <c r="E670" s="8"/>
      <c r="F670" s="8"/>
      <c r="G670" s="8"/>
      <c r="H670" s="8"/>
      <c r="I670" s="8"/>
      <c r="J670" s="8"/>
      <c r="K670" s="4"/>
      <c r="L670" s="8"/>
    </row>
    <row r="671" customFormat="false" ht="15" hidden="false" customHeight="false" outlineLevel="0" collapsed="false">
      <c r="A671" s="4"/>
      <c r="B671" s="8"/>
      <c r="C671" s="8"/>
      <c r="D671" s="8"/>
      <c r="E671" s="8"/>
      <c r="F671" s="8"/>
      <c r="G671" s="8"/>
      <c r="H671" s="8"/>
      <c r="I671" s="8"/>
      <c r="J671" s="8"/>
      <c r="K671" s="4"/>
      <c r="L671" s="8"/>
    </row>
    <row r="672" customFormat="false" ht="15" hidden="false" customHeight="false" outlineLevel="0" collapsed="false">
      <c r="A672" s="4"/>
      <c r="B672" s="8"/>
      <c r="C672" s="8"/>
      <c r="D672" s="8"/>
      <c r="E672" s="8"/>
      <c r="F672" s="8"/>
      <c r="G672" s="8"/>
      <c r="H672" s="8"/>
      <c r="I672" s="8"/>
      <c r="J672" s="8"/>
      <c r="K672" s="4"/>
      <c r="L672" s="8"/>
    </row>
    <row r="673" customFormat="false" ht="15" hidden="false" customHeight="false" outlineLevel="0" collapsed="false">
      <c r="A673" s="4"/>
      <c r="B673" s="8"/>
      <c r="C673" s="8"/>
      <c r="D673" s="8"/>
      <c r="E673" s="8"/>
      <c r="F673" s="8"/>
      <c r="G673" s="8"/>
      <c r="H673" s="8"/>
      <c r="I673" s="8"/>
      <c r="J673" s="8"/>
      <c r="K673" s="4"/>
      <c r="L673" s="8"/>
    </row>
    <row r="674" customFormat="false" ht="15" hidden="false" customHeight="false" outlineLevel="0" collapsed="false">
      <c r="A674" s="4"/>
      <c r="B674" s="8"/>
      <c r="C674" s="8"/>
      <c r="D674" s="8"/>
      <c r="E674" s="8"/>
      <c r="F674" s="8"/>
      <c r="G674" s="8"/>
      <c r="H674" s="8"/>
      <c r="I674" s="8"/>
      <c r="J674" s="8"/>
      <c r="K674" s="4"/>
      <c r="L674" s="8"/>
    </row>
    <row r="675" customFormat="false" ht="15" hidden="false" customHeight="false" outlineLevel="0" collapsed="false">
      <c r="A675" s="4"/>
      <c r="B675" s="8"/>
      <c r="C675" s="8"/>
      <c r="D675" s="8"/>
      <c r="E675" s="8"/>
      <c r="F675" s="8"/>
      <c r="G675" s="8"/>
      <c r="H675" s="8"/>
      <c r="I675" s="8"/>
      <c r="J675" s="8"/>
      <c r="K675" s="4"/>
      <c r="L675" s="8"/>
    </row>
    <row r="676" customFormat="false" ht="15" hidden="false" customHeight="false" outlineLevel="0" collapsed="false">
      <c r="A676" s="4"/>
      <c r="B676" s="8"/>
      <c r="C676" s="8"/>
      <c r="D676" s="8"/>
      <c r="E676" s="8"/>
      <c r="F676" s="8"/>
      <c r="G676" s="8"/>
      <c r="H676" s="8"/>
      <c r="I676" s="8"/>
      <c r="J676" s="8"/>
      <c r="K676" s="4"/>
      <c r="L676" s="8"/>
    </row>
    <row r="677" customFormat="false" ht="15" hidden="false" customHeight="false" outlineLevel="0" collapsed="false">
      <c r="A677" s="4"/>
      <c r="B677" s="8"/>
      <c r="C677" s="8"/>
      <c r="D677" s="8"/>
      <c r="E677" s="8"/>
      <c r="F677" s="8"/>
      <c r="G677" s="8"/>
      <c r="H677" s="8"/>
      <c r="I677" s="8"/>
      <c r="J677" s="8"/>
      <c r="K677" s="4"/>
      <c r="L677" s="8"/>
    </row>
    <row r="678" customFormat="false" ht="15" hidden="false" customHeight="false" outlineLevel="0" collapsed="false">
      <c r="A678" s="4"/>
      <c r="B678" s="8"/>
      <c r="C678" s="8"/>
      <c r="D678" s="8"/>
      <c r="E678" s="8"/>
      <c r="F678" s="8"/>
      <c r="G678" s="8"/>
      <c r="H678" s="8"/>
      <c r="I678" s="8"/>
      <c r="J678" s="8"/>
      <c r="K678" s="4"/>
      <c r="L678" s="8"/>
    </row>
    <row r="679" customFormat="false" ht="15" hidden="false" customHeight="false" outlineLevel="0" collapsed="false">
      <c r="A679" s="4"/>
      <c r="B679" s="8"/>
      <c r="C679" s="8"/>
      <c r="D679" s="8"/>
      <c r="E679" s="8"/>
      <c r="F679" s="8"/>
      <c r="G679" s="8"/>
      <c r="H679" s="8"/>
      <c r="I679" s="8"/>
      <c r="J679" s="8"/>
      <c r="K679" s="4"/>
      <c r="L679" s="8"/>
    </row>
    <row r="680" customFormat="false" ht="15" hidden="false" customHeight="false" outlineLevel="0" collapsed="false">
      <c r="A680" s="4"/>
      <c r="B680" s="8"/>
      <c r="C680" s="8"/>
      <c r="D680" s="8"/>
      <c r="E680" s="8"/>
      <c r="F680" s="8"/>
      <c r="G680" s="8"/>
      <c r="H680" s="8"/>
      <c r="I680" s="8"/>
      <c r="J680" s="8"/>
      <c r="K680" s="4"/>
      <c r="L680" s="8"/>
    </row>
    <row r="681" customFormat="false" ht="15" hidden="false" customHeight="false" outlineLevel="0" collapsed="false">
      <c r="A681" s="4"/>
      <c r="B681" s="8"/>
      <c r="C681" s="8"/>
      <c r="D681" s="8"/>
      <c r="E681" s="8"/>
      <c r="F681" s="8"/>
      <c r="G681" s="8"/>
      <c r="H681" s="8"/>
      <c r="I681" s="8"/>
      <c r="J681" s="8"/>
      <c r="K681" s="4"/>
      <c r="L681" s="8"/>
    </row>
    <row r="682" customFormat="false" ht="15" hidden="false" customHeight="false" outlineLevel="0" collapsed="false">
      <c r="A682" s="4"/>
      <c r="B682" s="8"/>
      <c r="C682" s="8"/>
      <c r="D682" s="8"/>
      <c r="E682" s="8"/>
      <c r="F682" s="8"/>
      <c r="G682" s="8"/>
      <c r="H682" s="8"/>
      <c r="I682" s="8"/>
      <c r="J682" s="8"/>
      <c r="K682" s="4"/>
      <c r="L682" s="8"/>
    </row>
    <row r="683" customFormat="false" ht="15" hidden="false" customHeight="false" outlineLevel="0" collapsed="false">
      <c r="A683" s="4"/>
      <c r="B683" s="8"/>
      <c r="C683" s="8"/>
      <c r="D683" s="8"/>
      <c r="E683" s="8"/>
      <c r="F683" s="8"/>
      <c r="G683" s="8"/>
      <c r="H683" s="8"/>
      <c r="I683" s="8"/>
      <c r="J683" s="8"/>
      <c r="K683" s="4"/>
      <c r="L683" s="8"/>
    </row>
    <row r="684" customFormat="false" ht="15" hidden="false" customHeight="false" outlineLevel="0" collapsed="false">
      <c r="A684" s="4"/>
      <c r="B684" s="8"/>
      <c r="C684" s="8"/>
      <c r="D684" s="8"/>
      <c r="E684" s="8"/>
      <c r="F684" s="8"/>
      <c r="G684" s="8"/>
      <c r="H684" s="8"/>
      <c r="I684" s="8"/>
      <c r="J684" s="8"/>
      <c r="K684" s="4"/>
      <c r="L684" s="8"/>
    </row>
    <row r="685" customFormat="false" ht="15" hidden="false" customHeight="false" outlineLevel="0" collapsed="false">
      <c r="A685" s="4"/>
      <c r="B685" s="8"/>
      <c r="C685" s="8"/>
      <c r="D685" s="8"/>
      <c r="E685" s="8"/>
      <c r="F685" s="8"/>
      <c r="G685" s="8"/>
      <c r="H685" s="8"/>
      <c r="I685" s="8"/>
      <c r="J685" s="8"/>
      <c r="K685" s="4"/>
      <c r="L685" s="8"/>
    </row>
    <row r="686" customFormat="false" ht="15" hidden="false" customHeight="false" outlineLevel="0" collapsed="false">
      <c r="A686" s="4"/>
      <c r="B686" s="8"/>
      <c r="C686" s="8"/>
      <c r="D686" s="8"/>
      <c r="E686" s="8"/>
      <c r="F686" s="8"/>
      <c r="G686" s="8"/>
      <c r="H686" s="8"/>
      <c r="I686" s="8"/>
      <c r="J686" s="8"/>
      <c r="K686" s="4"/>
      <c r="L686" s="8"/>
    </row>
    <row r="687" customFormat="false" ht="15" hidden="false" customHeight="false" outlineLevel="0" collapsed="false">
      <c r="A687" s="4"/>
      <c r="B687" s="8"/>
      <c r="C687" s="8"/>
      <c r="D687" s="8"/>
      <c r="E687" s="8"/>
      <c r="F687" s="8"/>
      <c r="G687" s="8"/>
      <c r="H687" s="8"/>
      <c r="I687" s="8"/>
      <c r="J687" s="8"/>
      <c r="K687" s="4"/>
      <c r="L687" s="8"/>
    </row>
    <row r="688" customFormat="false" ht="15" hidden="false" customHeight="false" outlineLevel="0" collapsed="false">
      <c r="A688" s="4"/>
      <c r="B688" s="8"/>
      <c r="C688" s="8"/>
      <c r="D688" s="8"/>
      <c r="E688" s="8"/>
      <c r="F688" s="8"/>
      <c r="G688" s="8"/>
      <c r="H688" s="8"/>
      <c r="I688" s="8"/>
      <c r="J688" s="8"/>
      <c r="K688" s="4"/>
      <c r="L688" s="8"/>
    </row>
    <row r="689" customFormat="false" ht="15" hidden="false" customHeight="false" outlineLevel="0" collapsed="false">
      <c r="A689" s="4"/>
      <c r="B689" s="8"/>
      <c r="C689" s="8"/>
      <c r="D689" s="8"/>
      <c r="E689" s="8"/>
      <c r="F689" s="8"/>
      <c r="G689" s="8"/>
      <c r="H689" s="8"/>
      <c r="I689" s="8"/>
      <c r="J689" s="8"/>
      <c r="K689" s="4"/>
      <c r="L689" s="8"/>
    </row>
    <row r="690" customFormat="false" ht="15" hidden="false" customHeight="false" outlineLevel="0" collapsed="false">
      <c r="A690" s="4"/>
      <c r="B690" s="8"/>
      <c r="C690" s="8"/>
      <c r="D690" s="8"/>
      <c r="E690" s="8"/>
      <c r="F690" s="8"/>
      <c r="G690" s="8"/>
      <c r="H690" s="8"/>
      <c r="I690" s="8"/>
      <c r="J690" s="8"/>
      <c r="K690" s="4"/>
      <c r="L690" s="8"/>
    </row>
    <row r="691" customFormat="false" ht="15" hidden="false" customHeight="false" outlineLevel="0" collapsed="false">
      <c r="A691" s="4"/>
      <c r="B691" s="8"/>
      <c r="C691" s="8"/>
      <c r="D691" s="8"/>
      <c r="E691" s="8"/>
      <c r="F691" s="8"/>
      <c r="G691" s="8"/>
      <c r="H691" s="8"/>
      <c r="I691" s="8"/>
      <c r="J691" s="8"/>
      <c r="K691" s="4"/>
      <c r="L691" s="8"/>
    </row>
    <row r="692" customFormat="false" ht="15" hidden="false" customHeight="false" outlineLevel="0" collapsed="false">
      <c r="A692" s="4"/>
      <c r="B692" s="8"/>
      <c r="C692" s="8"/>
      <c r="D692" s="8"/>
      <c r="E692" s="8"/>
      <c r="F692" s="8"/>
      <c r="G692" s="8"/>
      <c r="H692" s="8"/>
      <c r="I692" s="8"/>
      <c r="J692" s="8"/>
      <c r="K692" s="4"/>
      <c r="L692" s="8"/>
    </row>
    <row r="693" customFormat="false" ht="15" hidden="false" customHeight="false" outlineLevel="0" collapsed="false">
      <c r="A693" s="4"/>
      <c r="B693" s="8"/>
      <c r="C693" s="8"/>
      <c r="D693" s="8"/>
      <c r="E693" s="8"/>
      <c r="F693" s="8"/>
      <c r="G693" s="8"/>
      <c r="H693" s="8"/>
      <c r="I693" s="8"/>
      <c r="J693" s="8"/>
      <c r="K693" s="4"/>
      <c r="L693" s="8"/>
    </row>
    <row r="694" customFormat="false" ht="15" hidden="false" customHeight="false" outlineLevel="0" collapsed="false">
      <c r="A694" s="4"/>
      <c r="B694" s="8"/>
      <c r="C694" s="8"/>
      <c r="D694" s="8"/>
      <c r="E694" s="8"/>
      <c r="F694" s="8"/>
      <c r="G694" s="8"/>
      <c r="H694" s="8"/>
      <c r="I694" s="8"/>
      <c r="J694" s="8"/>
      <c r="K694" s="4"/>
      <c r="L694" s="8"/>
    </row>
    <row r="695" customFormat="false" ht="15" hidden="false" customHeight="false" outlineLevel="0" collapsed="false">
      <c r="A695" s="4"/>
      <c r="B695" s="8"/>
      <c r="C695" s="8"/>
      <c r="D695" s="8"/>
      <c r="E695" s="8"/>
      <c r="F695" s="8"/>
      <c r="G695" s="8"/>
      <c r="H695" s="8"/>
      <c r="I695" s="8"/>
      <c r="J695" s="8"/>
      <c r="K695" s="4"/>
      <c r="L695" s="8"/>
    </row>
    <row r="696" customFormat="false" ht="15" hidden="false" customHeight="false" outlineLevel="0" collapsed="false">
      <c r="A696" s="4"/>
      <c r="B696" s="8"/>
      <c r="C696" s="8"/>
      <c r="D696" s="8"/>
      <c r="E696" s="8"/>
      <c r="F696" s="8"/>
      <c r="G696" s="8"/>
      <c r="H696" s="8"/>
      <c r="I696" s="8"/>
      <c r="J696" s="8"/>
      <c r="K696" s="4"/>
      <c r="L696" s="8"/>
    </row>
    <row r="697" customFormat="false" ht="15" hidden="false" customHeight="false" outlineLevel="0" collapsed="false">
      <c r="A697" s="4"/>
      <c r="B697" s="8"/>
      <c r="C697" s="8"/>
      <c r="D697" s="8"/>
      <c r="E697" s="8"/>
      <c r="F697" s="8"/>
      <c r="G697" s="8"/>
      <c r="H697" s="8"/>
      <c r="I697" s="8"/>
      <c r="J697" s="8"/>
      <c r="K697" s="4"/>
      <c r="L697" s="8"/>
    </row>
    <row r="698" customFormat="false" ht="15" hidden="false" customHeight="false" outlineLevel="0" collapsed="false">
      <c r="A698" s="4"/>
      <c r="B698" s="8"/>
      <c r="C698" s="8"/>
      <c r="D698" s="8"/>
      <c r="E698" s="8"/>
      <c r="F698" s="8"/>
      <c r="G698" s="8"/>
      <c r="H698" s="8"/>
      <c r="I698" s="8"/>
      <c r="J698" s="8"/>
      <c r="K698" s="4"/>
      <c r="L698" s="8"/>
    </row>
    <row r="699" customFormat="false" ht="15" hidden="false" customHeight="false" outlineLevel="0" collapsed="false">
      <c r="A699" s="4"/>
      <c r="B699" s="8"/>
      <c r="C699" s="8"/>
      <c r="D699" s="8"/>
      <c r="E699" s="8"/>
      <c r="F699" s="8"/>
      <c r="G699" s="8"/>
      <c r="H699" s="8"/>
      <c r="I699" s="8"/>
      <c r="J699" s="8"/>
      <c r="K699" s="4"/>
      <c r="L699" s="8"/>
    </row>
    <row r="700" customFormat="false" ht="15" hidden="false" customHeight="false" outlineLevel="0" collapsed="false">
      <c r="A700" s="4"/>
      <c r="B700" s="8"/>
      <c r="C700" s="8"/>
      <c r="D700" s="8"/>
      <c r="E700" s="8"/>
      <c r="F700" s="8"/>
      <c r="G700" s="8"/>
      <c r="H700" s="8"/>
      <c r="I700" s="8"/>
      <c r="J700" s="8"/>
      <c r="K700" s="4"/>
      <c r="L700" s="8"/>
    </row>
    <row r="701" customFormat="false" ht="15" hidden="false" customHeight="false" outlineLevel="0" collapsed="false">
      <c r="A701" s="4"/>
      <c r="B701" s="8"/>
      <c r="C701" s="8"/>
      <c r="D701" s="8"/>
      <c r="E701" s="8"/>
      <c r="F701" s="8"/>
      <c r="G701" s="8"/>
      <c r="H701" s="8"/>
      <c r="I701" s="8"/>
      <c r="J701" s="8"/>
      <c r="K701" s="4"/>
      <c r="L701" s="8"/>
    </row>
    <row r="702" customFormat="false" ht="15" hidden="false" customHeight="false" outlineLevel="0" collapsed="false">
      <c r="A702" s="4"/>
      <c r="B702" s="8"/>
      <c r="C702" s="8"/>
      <c r="D702" s="8"/>
      <c r="E702" s="8"/>
      <c r="F702" s="8"/>
      <c r="G702" s="8"/>
      <c r="H702" s="8"/>
      <c r="I702" s="8"/>
      <c r="J702" s="8"/>
      <c r="K702" s="4"/>
      <c r="L702" s="8"/>
    </row>
    <row r="703" customFormat="false" ht="15" hidden="false" customHeight="false" outlineLevel="0" collapsed="false">
      <c r="A703" s="4"/>
      <c r="B703" s="8"/>
      <c r="C703" s="8"/>
      <c r="D703" s="8"/>
      <c r="E703" s="8"/>
      <c r="F703" s="8"/>
      <c r="G703" s="8"/>
      <c r="H703" s="8"/>
      <c r="I703" s="8"/>
      <c r="J703" s="8"/>
      <c r="K703" s="4"/>
      <c r="L703" s="8"/>
    </row>
    <row r="704" customFormat="false" ht="15" hidden="false" customHeight="false" outlineLevel="0" collapsed="false">
      <c r="A704" s="4"/>
      <c r="B704" s="8"/>
      <c r="C704" s="8"/>
      <c r="D704" s="8"/>
      <c r="E704" s="8"/>
      <c r="F704" s="8"/>
      <c r="G704" s="8"/>
      <c r="H704" s="8"/>
      <c r="I704" s="8"/>
      <c r="J704" s="8"/>
      <c r="K704" s="4"/>
      <c r="L704" s="8"/>
    </row>
    <row r="705" customFormat="false" ht="15" hidden="false" customHeight="false" outlineLevel="0" collapsed="false">
      <c r="A705" s="4"/>
      <c r="B705" s="8"/>
      <c r="C705" s="8"/>
      <c r="D705" s="8"/>
      <c r="E705" s="8"/>
      <c r="F705" s="8"/>
      <c r="G705" s="8"/>
      <c r="H705" s="8"/>
      <c r="I705" s="8"/>
      <c r="J705" s="8"/>
      <c r="K705" s="4"/>
      <c r="L705" s="8"/>
    </row>
    <row r="706" customFormat="false" ht="15" hidden="false" customHeight="false" outlineLevel="0" collapsed="false">
      <c r="A706" s="4"/>
      <c r="B706" s="8"/>
      <c r="C706" s="8"/>
      <c r="D706" s="8"/>
      <c r="E706" s="8"/>
      <c r="F706" s="8"/>
      <c r="G706" s="8"/>
      <c r="H706" s="8"/>
      <c r="I706" s="8"/>
      <c r="J706" s="8"/>
      <c r="K706" s="4"/>
      <c r="L706" s="8"/>
    </row>
    <row r="707" customFormat="false" ht="15" hidden="false" customHeight="false" outlineLevel="0" collapsed="false">
      <c r="A707" s="4"/>
      <c r="B707" s="8"/>
      <c r="C707" s="8"/>
      <c r="D707" s="8"/>
      <c r="E707" s="8"/>
      <c r="F707" s="8"/>
      <c r="G707" s="8"/>
      <c r="H707" s="8"/>
      <c r="I707" s="8"/>
      <c r="J707" s="8"/>
      <c r="K707" s="4"/>
      <c r="L707" s="8"/>
    </row>
    <row r="708" customFormat="false" ht="15" hidden="false" customHeight="false" outlineLevel="0" collapsed="false">
      <c r="A708" s="4"/>
      <c r="B708" s="8"/>
      <c r="C708" s="8"/>
      <c r="D708" s="8"/>
      <c r="E708" s="8"/>
      <c r="F708" s="8"/>
      <c r="G708" s="8"/>
      <c r="H708" s="8"/>
      <c r="I708" s="8"/>
      <c r="J708" s="8"/>
      <c r="K708" s="4"/>
      <c r="L708" s="8"/>
    </row>
    <row r="709" customFormat="false" ht="15" hidden="false" customHeight="false" outlineLevel="0" collapsed="false">
      <c r="A709" s="4"/>
      <c r="B709" s="8"/>
      <c r="C709" s="8"/>
      <c r="D709" s="8"/>
      <c r="E709" s="8"/>
      <c r="F709" s="8"/>
      <c r="G709" s="8"/>
      <c r="H709" s="8"/>
      <c r="I709" s="8"/>
      <c r="J709" s="8"/>
      <c r="K709" s="4"/>
      <c r="L709" s="8"/>
    </row>
    <row r="710" customFormat="false" ht="15" hidden="false" customHeight="false" outlineLevel="0" collapsed="false">
      <c r="A710" s="4"/>
      <c r="B710" s="8"/>
      <c r="C710" s="8"/>
      <c r="D710" s="8"/>
      <c r="E710" s="8"/>
      <c r="F710" s="8"/>
      <c r="G710" s="8"/>
      <c r="H710" s="8"/>
      <c r="I710" s="8"/>
      <c r="J710" s="8"/>
      <c r="K710" s="4"/>
      <c r="L710" s="8"/>
    </row>
    <row r="711" customFormat="false" ht="15" hidden="false" customHeight="false" outlineLevel="0" collapsed="false">
      <c r="A711" s="4"/>
      <c r="B711" s="8"/>
      <c r="C711" s="8"/>
      <c r="D711" s="8"/>
      <c r="E711" s="8"/>
      <c r="F711" s="8"/>
      <c r="G711" s="8"/>
      <c r="H711" s="8"/>
      <c r="I711" s="8"/>
      <c r="J711" s="8"/>
      <c r="K711" s="4"/>
      <c r="L711" s="8"/>
    </row>
    <row r="712" customFormat="false" ht="15" hidden="false" customHeight="false" outlineLevel="0" collapsed="false">
      <c r="A712" s="4"/>
      <c r="B712" s="8"/>
      <c r="C712" s="8"/>
      <c r="D712" s="8"/>
      <c r="E712" s="8"/>
      <c r="F712" s="8"/>
      <c r="G712" s="8"/>
      <c r="H712" s="8"/>
      <c r="I712" s="8"/>
      <c r="J712" s="8"/>
      <c r="K712" s="4"/>
      <c r="L712" s="8"/>
    </row>
    <row r="713" customFormat="false" ht="15" hidden="false" customHeight="false" outlineLevel="0" collapsed="false">
      <c r="A713" s="4"/>
      <c r="B713" s="8"/>
      <c r="C713" s="8"/>
      <c r="D713" s="8"/>
      <c r="E713" s="8"/>
      <c r="F713" s="8"/>
      <c r="G713" s="8"/>
      <c r="H713" s="8"/>
      <c r="I713" s="8"/>
      <c r="J713" s="8"/>
      <c r="K713" s="4"/>
      <c r="L713" s="8"/>
    </row>
    <row r="714" customFormat="false" ht="15" hidden="false" customHeight="false" outlineLevel="0" collapsed="false">
      <c r="A714" s="4"/>
      <c r="B714" s="8"/>
      <c r="C714" s="8"/>
      <c r="D714" s="8"/>
      <c r="E714" s="8"/>
      <c r="F714" s="8"/>
      <c r="G714" s="8"/>
      <c r="H714" s="8"/>
      <c r="I714" s="8"/>
      <c r="J714" s="8"/>
      <c r="K714" s="4"/>
      <c r="L714" s="8"/>
    </row>
    <row r="715" customFormat="false" ht="15" hidden="false" customHeight="false" outlineLevel="0" collapsed="false">
      <c r="A715" s="4"/>
      <c r="B715" s="8"/>
      <c r="C715" s="8"/>
      <c r="D715" s="8"/>
      <c r="E715" s="8"/>
      <c r="F715" s="8"/>
      <c r="G715" s="8"/>
      <c r="H715" s="8"/>
      <c r="I715" s="8"/>
      <c r="J715" s="8"/>
      <c r="K715" s="4"/>
      <c r="L715" s="8"/>
    </row>
    <row r="716" customFormat="false" ht="15" hidden="false" customHeight="false" outlineLevel="0" collapsed="false">
      <c r="A716" s="4"/>
      <c r="B716" s="8"/>
      <c r="C716" s="8"/>
      <c r="D716" s="8"/>
      <c r="E716" s="8"/>
      <c r="F716" s="8"/>
      <c r="G716" s="8"/>
      <c r="H716" s="8"/>
      <c r="I716" s="8"/>
      <c r="J716" s="8"/>
      <c r="K716" s="4"/>
      <c r="L716" s="8"/>
    </row>
    <row r="717" customFormat="false" ht="15" hidden="false" customHeight="false" outlineLevel="0" collapsed="false">
      <c r="A717" s="4"/>
      <c r="B717" s="8"/>
      <c r="C717" s="8"/>
      <c r="D717" s="8"/>
      <c r="E717" s="8"/>
      <c r="F717" s="8"/>
      <c r="G717" s="8"/>
      <c r="H717" s="8"/>
      <c r="I717" s="8"/>
      <c r="J717" s="8"/>
      <c r="K717" s="4"/>
      <c r="L717" s="8"/>
    </row>
    <row r="718" customFormat="false" ht="15" hidden="false" customHeight="false" outlineLevel="0" collapsed="false">
      <c r="A718" s="4"/>
      <c r="B718" s="8"/>
      <c r="C718" s="8"/>
      <c r="D718" s="8"/>
      <c r="E718" s="8"/>
      <c r="F718" s="8"/>
      <c r="G718" s="8"/>
      <c r="H718" s="8"/>
      <c r="I718" s="8"/>
      <c r="J718" s="8"/>
      <c r="K718" s="4"/>
      <c r="L718" s="8"/>
    </row>
    <row r="719" customFormat="false" ht="15" hidden="false" customHeight="false" outlineLevel="0" collapsed="false">
      <c r="A719" s="4"/>
      <c r="B719" s="8"/>
      <c r="C719" s="8"/>
      <c r="D719" s="8"/>
      <c r="E719" s="8"/>
      <c r="F719" s="8"/>
      <c r="G719" s="8"/>
      <c r="H719" s="8"/>
      <c r="I719" s="8"/>
      <c r="J719" s="8"/>
      <c r="K719" s="4"/>
      <c r="L719" s="8"/>
    </row>
    <row r="720" customFormat="false" ht="15" hidden="false" customHeight="false" outlineLevel="0" collapsed="false">
      <c r="A720" s="4"/>
      <c r="B720" s="8"/>
      <c r="C720" s="8"/>
      <c r="D720" s="8"/>
      <c r="E720" s="8"/>
      <c r="F720" s="8"/>
      <c r="G720" s="8"/>
      <c r="H720" s="8"/>
      <c r="I720" s="8"/>
      <c r="J720" s="8"/>
      <c r="K720" s="4"/>
      <c r="L720" s="8"/>
    </row>
    <row r="721" customFormat="false" ht="15" hidden="false" customHeight="false" outlineLevel="0" collapsed="false">
      <c r="A721" s="4"/>
      <c r="B721" s="8"/>
      <c r="C721" s="8"/>
      <c r="D721" s="8"/>
      <c r="E721" s="8"/>
      <c r="F721" s="8"/>
      <c r="G721" s="8"/>
      <c r="H721" s="8"/>
      <c r="I721" s="8"/>
      <c r="J721" s="8"/>
      <c r="K721" s="4"/>
      <c r="L721" s="8"/>
    </row>
    <row r="722" customFormat="false" ht="15" hidden="false" customHeight="false" outlineLevel="0" collapsed="false">
      <c r="A722" s="4"/>
      <c r="B722" s="8"/>
      <c r="C722" s="8"/>
      <c r="D722" s="8"/>
      <c r="E722" s="8"/>
      <c r="F722" s="8"/>
      <c r="G722" s="8"/>
      <c r="H722" s="8"/>
      <c r="I722" s="8"/>
      <c r="J722" s="8"/>
      <c r="K722" s="4"/>
      <c r="L722" s="8"/>
    </row>
    <row r="723" customFormat="false" ht="15" hidden="false" customHeight="false" outlineLevel="0" collapsed="false">
      <c r="A723" s="4"/>
      <c r="B723" s="8"/>
      <c r="C723" s="8"/>
      <c r="D723" s="8"/>
      <c r="E723" s="8"/>
      <c r="F723" s="8"/>
      <c r="G723" s="8"/>
      <c r="H723" s="8"/>
      <c r="I723" s="8"/>
      <c r="J723" s="8"/>
      <c r="K723" s="4"/>
      <c r="L723" s="8"/>
    </row>
    <row r="724" customFormat="false" ht="15" hidden="false" customHeight="false" outlineLevel="0" collapsed="false">
      <c r="A724" s="4"/>
      <c r="B724" s="8"/>
      <c r="C724" s="8"/>
      <c r="D724" s="8"/>
      <c r="E724" s="8"/>
      <c r="F724" s="8"/>
      <c r="G724" s="8"/>
      <c r="H724" s="8"/>
      <c r="I724" s="8"/>
      <c r="J724" s="8"/>
      <c r="K724" s="4"/>
      <c r="L724" s="8"/>
    </row>
    <row r="725" customFormat="false" ht="15" hidden="false" customHeight="false" outlineLevel="0" collapsed="false">
      <c r="A725" s="4"/>
      <c r="B725" s="8"/>
      <c r="C725" s="8"/>
      <c r="D725" s="8"/>
      <c r="E725" s="8"/>
      <c r="F725" s="8"/>
      <c r="G725" s="8"/>
      <c r="H725" s="8"/>
      <c r="I725" s="8"/>
      <c r="J725" s="8"/>
      <c r="K725" s="4"/>
      <c r="L725" s="8"/>
    </row>
    <row r="726" customFormat="false" ht="15" hidden="false" customHeight="false" outlineLevel="0" collapsed="false">
      <c r="A726" s="4"/>
      <c r="B726" s="8"/>
      <c r="C726" s="8"/>
      <c r="D726" s="8"/>
      <c r="E726" s="8"/>
      <c r="F726" s="8"/>
      <c r="G726" s="8"/>
      <c r="H726" s="8"/>
      <c r="I726" s="8"/>
      <c r="J726" s="8"/>
      <c r="K726" s="4"/>
      <c r="L726" s="8"/>
    </row>
    <row r="727" customFormat="false" ht="15" hidden="false" customHeight="false" outlineLevel="0" collapsed="false">
      <c r="A727" s="4"/>
      <c r="B727" s="8"/>
      <c r="C727" s="8"/>
      <c r="D727" s="8"/>
      <c r="E727" s="8"/>
      <c r="F727" s="8"/>
      <c r="G727" s="8"/>
      <c r="H727" s="8"/>
      <c r="I727" s="8"/>
      <c r="J727" s="8"/>
      <c r="K727" s="4"/>
      <c r="L727" s="8"/>
    </row>
    <row r="728" customFormat="false" ht="15" hidden="false" customHeight="false" outlineLevel="0" collapsed="false">
      <c r="A728" s="4"/>
      <c r="B728" s="8"/>
      <c r="C728" s="8"/>
      <c r="D728" s="8"/>
      <c r="E728" s="8"/>
      <c r="F728" s="8"/>
      <c r="G728" s="8"/>
      <c r="H728" s="8"/>
      <c r="I728" s="8"/>
      <c r="J728" s="8"/>
      <c r="K728" s="4"/>
      <c r="L728" s="8"/>
    </row>
    <row r="729" customFormat="false" ht="15" hidden="false" customHeight="false" outlineLevel="0" collapsed="false">
      <c r="A729" s="4"/>
      <c r="B729" s="8"/>
      <c r="C729" s="8"/>
      <c r="D729" s="8"/>
      <c r="E729" s="8"/>
      <c r="F729" s="8"/>
      <c r="G729" s="8"/>
      <c r="H729" s="8"/>
      <c r="I729" s="8"/>
      <c r="J729" s="8"/>
      <c r="K729" s="4"/>
      <c r="L729" s="8"/>
    </row>
    <row r="730" customFormat="false" ht="15" hidden="false" customHeight="false" outlineLevel="0" collapsed="false">
      <c r="A730" s="4"/>
      <c r="B730" s="8"/>
      <c r="C730" s="8"/>
      <c r="D730" s="8"/>
      <c r="E730" s="8"/>
      <c r="F730" s="8"/>
      <c r="G730" s="8"/>
      <c r="H730" s="8"/>
      <c r="I730" s="8"/>
      <c r="J730" s="8"/>
      <c r="K730" s="4"/>
      <c r="L730" s="8"/>
    </row>
    <row r="731" customFormat="false" ht="15" hidden="false" customHeight="false" outlineLevel="0" collapsed="false">
      <c r="A731" s="4"/>
      <c r="B731" s="8"/>
      <c r="C731" s="8"/>
      <c r="D731" s="8"/>
      <c r="E731" s="8"/>
      <c r="F731" s="8"/>
      <c r="G731" s="8"/>
      <c r="H731" s="8"/>
      <c r="I731" s="8"/>
      <c r="J731" s="8"/>
      <c r="K731" s="4"/>
      <c r="L731" s="8"/>
    </row>
    <row r="732" customFormat="false" ht="15" hidden="false" customHeight="false" outlineLevel="0" collapsed="false">
      <c r="A732" s="4"/>
      <c r="B732" s="8"/>
      <c r="C732" s="8"/>
      <c r="D732" s="8"/>
      <c r="E732" s="8"/>
      <c r="F732" s="8"/>
      <c r="G732" s="8"/>
      <c r="H732" s="8"/>
      <c r="I732" s="8"/>
      <c r="J732" s="8"/>
      <c r="K732" s="4"/>
      <c r="L732" s="8"/>
    </row>
    <row r="733" customFormat="false" ht="15" hidden="false" customHeight="false" outlineLevel="0" collapsed="false">
      <c r="A733" s="4"/>
      <c r="B733" s="8"/>
      <c r="C733" s="8"/>
      <c r="D733" s="8"/>
      <c r="E733" s="8"/>
      <c r="F733" s="8"/>
      <c r="G733" s="8"/>
      <c r="H733" s="8"/>
      <c r="I733" s="8"/>
      <c r="J733" s="8"/>
      <c r="K733" s="4"/>
      <c r="L733" s="8"/>
    </row>
    <row r="734" customFormat="false" ht="15" hidden="false" customHeight="false" outlineLevel="0" collapsed="false">
      <c r="A734" s="4"/>
      <c r="B734" s="8"/>
      <c r="C734" s="8"/>
      <c r="D734" s="8"/>
      <c r="E734" s="8"/>
      <c r="F734" s="8"/>
      <c r="G734" s="8"/>
      <c r="H734" s="8"/>
      <c r="I734" s="8"/>
      <c r="J734" s="8"/>
      <c r="K734" s="4"/>
      <c r="L734" s="8"/>
    </row>
    <row r="735" customFormat="false" ht="15" hidden="false" customHeight="false" outlineLevel="0" collapsed="false">
      <c r="A735" s="4"/>
      <c r="B735" s="8"/>
      <c r="C735" s="8"/>
      <c r="D735" s="8"/>
      <c r="E735" s="8"/>
      <c r="F735" s="8"/>
      <c r="G735" s="8"/>
      <c r="H735" s="8"/>
      <c r="I735" s="8"/>
      <c r="J735" s="8"/>
      <c r="K735" s="4"/>
      <c r="L735" s="8"/>
    </row>
    <row r="736" customFormat="false" ht="15" hidden="false" customHeight="false" outlineLevel="0" collapsed="false">
      <c r="A736" s="4"/>
      <c r="B736" s="8"/>
      <c r="C736" s="8"/>
      <c r="D736" s="8"/>
      <c r="E736" s="8"/>
      <c r="F736" s="8"/>
      <c r="G736" s="8"/>
      <c r="H736" s="8"/>
      <c r="I736" s="8"/>
      <c r="J736" s="8"/>
      <c r="K736" s="4"/>
      <c r="L736" s="8"/>
    </row>
    <row r="737" customFormat="false" ht="15" hidden="false" customHeight="false" outlineLevel="0" collapsed="false">
      <c r="A737" s="4"/>
      <c r="B737" s="8"/>
      <c r="C737" s="8"/>
      <c r="D737" s="8"/>
      <c r="E737" s="8"/>
      <c r="F737" s="8"/>
      <c r="G737" s="8"/>
      <c r="H737" s="8"/>
      <c r="I737" s="8"/>
      <c r="J737" s="8"/>
      <c r="K737" s="4"/>
      <c r="L737" s="8"/>
    </row>
    <row r="738" customFormat="false" ht="15" hidden="false" customHeight="false" outlineLevel="0" collapsed="false">
      <c r="A738" s="4"/>
      <c r="B738" s="8"/>
      <c r="C738" s="8"/>
      <c r="D738" s="8"/>
      <c r="E738" s="8"/>
      <c r="F738" s="8"/>
      <c r="G738" s="8"/>
      <c r="H738" s="8"/>
      <c r="I738" s="8"/>
      <c r="J738" s="8"/>
      <c r="K738" s="4"/>
      <c r="L738" s="8"/>
    </row>
    <row r="739" customFormat="false" ht="15" hidden="false" customHeight="false" outlineLevel="0" collapsed="false">
      <c r="A739" s="4"/>
      <c r="B739" s="8"/>
      <c r="C739" s="8"/>
      <c r="D739" s="8"/>
      <c r="E739" s="8"/>
      <c r="F739" s="8"/>
      <c r="G739" s="8"/>
      <c r="H739" s="8"/>
      <c r="I739" s="8"/>
      <c r="J739" s="8"/>
      <c r="K739" s="4"/>
      <c r="L739" s="8"/>
    </row>
    <row r="740" customFormat="false" ht="15" hidden="false" customHeight="false" outlineLevel="0" collapsed="false">
      <c r="A740" s="4"/>
      <c r="B740" s="8"/>
      <c r="C740" s="8"/>
      <c r="D740" s="8"/>
      <c r="E740" s="8"/>
      <c r="F740" s="8"/>
      <c r="G740" s="8"/>
      <c r="H740" s="8"/>
      <c r="I740" s="8"/>
      <c r="J740" s="8"/>
      <c r="K740" s="4"/>
      <c r="L740" s="8"/>
    </row>
    <row r="741" customFormat="false" ht="15" hidden="false" customHeight="false" outlineLevel="0" collapsed="false">
      <c r="A741" s="4"/>
      <c r="B741" s="8"/>
      <c r="C741" s="8"/>
      <c r="D741" s="8"/>
      <c r="E741" s="8"/>
      <c r="F741" s="8"/>
      <c r="G741" s="8"/>
      <c r="H741" s="8"/>
      <c r="I741" s="8"/>
      <c r="J741" s="8"/>
      <c r="K741" s="4"/>
      <c r="L741" s="8"/>
    </row>
    <row r="742" customFormat="false" ht="15" hidden="false" customHeight="false" outlineLevel="0" collapsed="false">
      <c r="A742" s="4"/>
      <c r="B742" s="8"/>
      <c r="C742" s="8"/>
      <c r="D742" s="8"/>
      <c r="E742" s="8"/>
      <c r="F742" s="8"/>
      <c r="G742" s="8"/>
      <c r="H742" s="8"/>
      <c r="I742" s="8"/>
      <c r="J742" s="8"/>
      <c r="K742" s="4"/>
      <c r="L742" s="8"/>
    </row>
    <row r="743" customFormat="false" ht="15" hidden="false" customHeight="false" outlineLevel="0" collapsed="false">
      <c r="A743" s="4"/>
      <c r="B743" s="8"/>
      <c r="C743" s="8"/>
      <c r="D743" s="8"/>
      <c r="E743" s="8"/>
      <c r="F743" s="8"/>
      <c r="G743" s="8"/>
      <c r="H743" s="8"/>
      <c r="I743" s="8"/>
      <c r="J743" s="8"/>
      <c r="K743" s="4"/>
      <c r="L743" s="8"/>
    </row>
    <row r="744" customFormat="false" ht="15" hidden="false" customHeight="false" outlineLevel="0" collapsed="false">
      <c r="A744" s="4"/>
      <c r="B744" s="8"/>
      <c r="C744" s="8"/>
      <c r="D744" s="8"/>
      <c r="E744" s="8"/>
      <c r="F744" s="8"/>
      <c r="G744" s="8"/>
      <c r="H744" s="8"/>
      <c r="I744" s="8"/>
      <c r="J744" s="8"/>
      <c r="K744" s="4"/>
      <c r="L744" s="8"/>
    </row>
    <row r="745" customFormat="false" ht="15" hidden="false" customHeight="false" outlineLevel="0" collapsed="false">
      <c r="A745" s="4"/>
      <c r="B745" s="8"/>
      <c r="C745" s="8"/>
      <c r="D745" s="8"/>
      <c r="E745" s="8"/>
      <c r="F745" s="8"/>
      <c r="G745" s="8"/>
      <c r="H745" s="8"/>
      <c r="I745" s="8"/>
      <c r="J745" s="8"/>
      <c r="K745" s="4"/>
      <c r="L745" s="8"/>
    </row>
    <row r="746" customFormat="false" ht="15" hidden="false" customHeight="false" outlineLevel="0" collapsed="false">
      <c r="A746" s="4"/>
      <c r="B746" s="8"/>
      <c r="C746" s="8"/>
      <c r="D746" s="8"/>
      <c r="E746" s="8"/>
      <c r="F746" s="8"/>
      <c r="G746" s="8"/>
      <c r="H746" s="8"/>
      <c r="I746" s="8"/>
      <c r="J746" s="8"/>
      <c r="K746" s="4"/>
      <c r="L746" s="8"/>
    </row>
    <row r="747" customFormat="false" ht="15" hidden="false" customHeight="false" outlineLevel="0" collapsed="false">
      <c r="A747" s="4"/>
      <c r="B747" s="8"/>
      <c r="C747" s="8"/>
      <c r="D747" s="8"/>
      <c r="E747" s="8"/>
      <c r="F747" s="8"/>
      <c r="G747" s="8"/>
      <c r="H747" s="8"/>
      <c r="I747" s="8"/>
      <c r="J747" s="8"/>
      <c r="K747" s="4"/>
      <c r="L747" s="8"/>
    </row>
    <row r="748" customFormat="false" ht="15" hidden="false" customHeight="false" outlineLevel="0" collapsed="false">
      <c r="A748" s="4"/>
      <c r="B748" s="8"/>
      <c r="C748" s="8"/>
      <c r="D748" s="8"/>
      <c r="E748" s="8"/>
      <c r="F748" s="8"/>
      <c r="G748" s="8"/>
      <c r="H748" s="8"/>
      <c r="I748" s="8"/>
      <c r="J748" s="8"/>
      <c r="K748" s="4"/>
      <c r="L748" s="8"/>
    </row>
    <row r="749" customFormat="false" ht="15" hidden="false" customHeight="false" outlineLevel="0" collapsed="false">
      <c r="A749" s="4"/>
      <c r="B749" s="8"/>
      <c r="C749" s="8"/>
      <c r="D749" s="8"/>
      <c r="E749" s="8"/>
      <c r="F749" s="8"/>
      <c r="G749" s="8"/>
      <c r="H749" s="8"/>
      <c r="I749" s="8"/>
      <c r="J749" s="8"/>
      <c r="K749" s="4"/>
      <c r="L749" s="8"/>
    </row>
    <row r="750" customFormat="false" ht="15" hidden="false" customHeight="false" outlineLevel="0" collapsed="false">
      <c r="A750" s="4"/>
      <c r="B750" s="8"/>
      <c r="C750" s="8"/>
      <c r="D750" s="8"/>
      <c r="E750" s="8"/>
      <c r="F750" s="8"/>
      <c r="G750" s="8"/>
      <c r="H750" s="8"/>
      <c r="I750" s="8"/>
      <c r="J750" s="8"/>
      <c r="K750" s="4"/>
      <c r="L750" s="8"/>
    </row>
    <row r="751" customFormat="false" ht="15" hidden="false" customHeight="false" outlineLevel="0" collapsed="false">
      <c r="A751" s="4"/>
      <c r="B751" s="8"/>
      <c r="C751" s="8"/>
      <c r="D751" s="8"/>
      <c r="E751" s="8"/>
      <c r="F751" s="8"/>
      <c r="G751" s="8"/>
      <c r="H751" s="8"/>
      <c r="I751" s="8"/>
      <c r="J751" s="8"/>
      <c r="K751" s="4"/>
      <c r="L751" s="8"/>
    </row>
    <row r="752" customFormat="false" ht="15" hidden="false" customHeight="false" outlineLevel="0" collapsed="false">
      <c r="A752" s="4"/>
      <c r="B752" s="8"/>
      <c r="C752" s="8"/>
      <c r="D752" s="8"/>
      <c r="E752" s="8"/>
      <c r="F752" s="8"/>
      <c r="G752" s="8"/>
      <c r="H752" s="8"/>
      <c r="I752" s="8"/>
      <c r="J752" s="8"/>
      <c r="K752" s="4"/>
      <c r="L752" s="8"/>
    </row>
    <row r="753" customFormat="false" ht="15" hidden="false" customHeight="false" outlineLevel="0" collapsed="false">
      <c r="A753" s="4"/>
      <c r="B753" s="8"/>
      <c r="C753" s="8"/>
      <c r="D753" s="8"/>
      <c r="E753" s="8"/>
      <c r="F753" s="8"/>
      <c r="G753" s="8"/>
      <c r="H753" s="8"/>
      <c r="I753" s="8"/>
      <c r="J753" s="8"/>
      <c r="K753" s="4"/>
      <c r="L753" s="8"/>
    </row>
    <row r="754" customFormat="false" ht="15" hidden="false" customHeight="false" outlineLevel="0" collapsed="false">
      <c r="A754" s="4"/>
      <c r="B754" s="8"/>
      <c r="C754" s="8"/>
      <c r="D754" s="8"/>
      <c r="E754" s="8"/>
      <c r="F754" s="8"/>
      <c r="G754" s="8"/>
      <c r="H754" s="8"/>
      <c r="I754" s="8"/>
      <c r="J754" s="8"/>
      <c r="K754" s="4"/>
      <c r="L754" s="8"/>
    </row>
    <row r="755" customFormat="false" ht="15" hidden="false" customHeight="false" outlineLevel="0" collapsed="false">
      <c r="A755" s="4"/>
      <c r="B755" s="8"/>
      <c r="C755" s="8"/>
      <c r="D755" s="8"/>
      <c r="E755" s="8"/>
      <c r="F755" s="8"/>
      <c r="G755" s="8"/>
      <c r="H755" s="8"/>
      <c r="I755" s="8"/>
      <c r="J755" s="8"/>
      <c r="K755" s="4"/>
      <c r="L755" s="8"/>
    </row>
    <row r="756" customFormat="false" ht="15" hidden="false" customHeight="false" outlineLevel="0" collapsed="false">
      <c r="A756" s="4"/>
      <c r="B756" s="8"/>
      <c r="C756" s="8"/>
      <c r="D756" s="8"/>
      <c r="E756" s="8"/>
      <c r="F756" s="8"/>
      <c r="G756" s="8"/>
      <c r="H756" s="8"/>
      <c r="I756" s="8"/>
      <c r="J756" s="8"/>
      <c r="K756" s="4"/>
      <c r="L756" s="8"/>
    </row>
    <row r="757" customFormat="false" ht="15" hidden="false" customHeight="false" outlineLevel="0" collapsed="false">
      <c r="A757" s="4"/>
      <c r="B757" s="8"/>
      <c r="C757" s="8"/>
      <c r="D757" s="8"/>
      <c r="E757" s="8"/>
      <c r="F757" s="8"/>
      <c r="G757" s="8"/>
      <c r="H757" s="8"/>
      <c r="I757" s="8"/>
      <c r="J757" s="8"/>
      <c r="K757" s="4"/>
      <c r="L757" s="8"/>
    </row>
    <row r="758" customFormat="false" ht="15" hidden="false" customHeight="false" outlineLevel="0" collapsed="false">
      <c r="A758" s="4"/>
      <c r="B758" s="8"/>
      <c r="C758" s="8"/>
      <c r="D758" s="8"/>
      <c r="E758" s="8"/>
      <c r="F758" s="8"/>
      <c r="G758" s="8"/>
      <c r="H758" s="8"/>
      <c r="I758" s="8"/>
      <c r="J758" s="8"/>
      <c r="K758" s="4"/>
      <c r="L758" s="8"/>
    </row>
    <row r="759" customFormat="false" ht="15" hidden="false" customHeight="false" outlineLevel="0" collapsed="false">
      <c r="A759" s="4"/>
      <c r="B759" s="8"/>
      <c r="C759" s="8"/>
      <c r="D759" s="8"/>
      <c r="E759" s="8"/>
      <c r="F759" s="8"/>
      <c r="G759" s="8"/>
      <c r="H759" s="8"/>
      <c r="I759" s="8"/>
      <c r="J759" s="8"/>
      <c r="K759" s="4"/>
      <c r="L759" s="8"/>
    </row>
    <row r="760" customFormat="false" ht="15" hidden="false" customHeight="false" outlineLevel="0" collapsed="false">
      <c r="A760" s="4"/>
      <c r="B760" s="8"/>
      <c r="C760" s="8"/>
      <c r="D760" s="8"/>
      <c r="E760" s="8"/>
      <c r="F760" s="8"/>
      <c r="G760" s="8"/>
      <c r="H760" s="8"/>
      <c r="I760" s="8"/>
      <c r="J760" s="8"/>
      <c r="K760" s="4"/>
      <c r="L760" s="8"/>
    </row>
    <row r="761" customFormat="false" ht="15" hidden="false" customHeight="false" outlineLevel="0" collapsed="false">
      <c r="A761" s="4"/>
      <c r="B761" s="8"/>
      <c r="C761" s="8"/>
      <c r="D761" s="8"/>
      <c r="E761" s="8"/>
      <c r="F761" s="8"/>
      <c r="G761" s="8"/>
      <c r="H761" s="8"/>
      <c r="I761" s="8"/>
      <c r="J761" s="8"/>
      <c r="K761" s="4"/>
      <c r="L761" s="8"/>
    </row>
    <row r="762" customFormat="false" ht="15" hidden="false" customHeight="false" outlineLevel="0" collapsed="false">
      <c r="A762" s="4"/>
      <c r="B762" s="8"/>
      <c r="C762" s="8"/>
      <c r="D762" s="8"/>
      <c r="E762" s="8"/>
      <c r="F762" s="8"/>
      <c r="G762" s="8"/>
      <c r="H762" s="8"/>
      <c r="I762" s="8"/>
      <c r="J762" s="8"/>
      <c r="K762" s="4"/>
      <c r="L762" s="8"/>
    </row>
    <row r="763" customFormat="false" ht="15" hidden="false" customHeight="false" outlineLevel="0" collapsed="false">
      <c r="A763" s="4"/>
      <c r="B763" s="8"/>
      <c r="C763" s="8"/>
      <c r="D763" s="8"/>
      <c r="E763" s="8"/>
      <c r="F763" s="8"/>
      <c r="G763" s="8"/>
      <c r="H763" s="8"/>
      <c r="I763" s="8"/>
      <c r="J763" s="8"/>
      <c r="K763" s="4"/>
      <c r="L763" s="8"/>
    </row>
    <row r="764" customFormat="false" ht="15" hidden="false" customHeight="false" outlineLevel="0" collapsed="false">
      <c r="A764" s="4"/>
      <c r="B764" s="8"/>
      <c r="C764" s="8"/>
      <c r="D764" s="8"/>
      <c r="E764" s="8"/>
      <c r="F764" s="8"/>
      <c r="G764" s="8"/>
      <c r="H764" s="8"/>
      <c r="I764" s="8"/>
      <c r="J764" s="8"/>
      <c r="K764" s="4"/>
      <c r="L764" s="8"/>
    </row>
    <row r="765" customFormat="false" ht="15" hidden="false" customHeight="false" outlineLevel="0" collapsed="false">
      <c r="A765" s="4"/>
      <c r="B765" s="8"/>
      <c r="C765" s="8"/>
      <c r="D765" s="8"/>
      <c r="E765" s="8"/>
      <c r="F765" s="8"/>
      <c r="G765" s="8"/>
      <c r="H765" s="8"/>
      <c r="I765" s="8"/>
      <c r="J765" s="8"/>
      <c r="K765" s="4"/>
      <c r="L765" s="8"/>
    </row>
    <row r="766" customFormat="false" ht="15" hidden="false" customHeight="false" outlineLevel="0" collapsed="false">
      <c r="A766" s="4"/>
      <c r="B766" s="8"/>
      <c r="C766" s="8"/>
      <c r="D766" s="8"/>
      <c r="E766" s="8"/>
      <c r="F766" s="8"/>
      <c r="G766" s="8"/>
      <c r="H766" s="8"/>
      <c r="I766" s="8"/>
      <c r="J766" s="8"/>
      <c r="K766" s="4"/>
      <c r="L766" s="8"/>
    </row>
    <row r="767" customFormat="false" ht="15" hidden="false" customHeight="false" outlineLevel="0" collapsed="false">
      <c r="A767" s="4"/>
      <c r="B767" s="8"/>
      <c r="C767" s="8"/>
      <c r="D767" s="8"/>
      <c r="E767" s="8"/>
      <c r="F767" s="8"/>
      <c r="G767" s="8"/>
      <c r="H767" s="8"/>
      <c r="I767" s="8"/>
      <c r="J767" s="8"/>
      <c r="K767" s="4"/>
      <c r="L767" s="8"/>
    </row>
    <row r="768" customFormat="false" ht="15" hidden="false" customHeight="false" outlineLevel="0" collapsed="false">
      <c r="A768" s="4"/>
      <c r="B768" s="8"/>
      <c r="C768" s="8"/>
      <c r="D768" s="8"/>
      <c r="E768" s="8"/>
      <c r="F768" s="8"/>
      <c r="G768" s="8"/>
      <c r="H768" s="8"/>
      <c r="I768" s="8"/>
      <c r="J768" s="8"/>
      <c r="K768" s="4"/>
      <c r="L768" s="8"/>
    </row>
    <row r="769" customFormat="false" ht="15" hidden="false" customHeight="false" outlineLevel="0" collapsed="false">
      <c r="A769" s="4"/>
      <c r="B769" s="8"/>
      <c r="C769" s="8"/>
      <c r="D769" s="8"/>
      <c r="E769" s="8"/>
      <c r="F769" s="8"/>
      <c r="G769" s="8"/>
      <c r="H769" s="8"/>
      <c r="I769" s="8"/>
      <c r="J769" s="8"/>
      <c r="K769" s="4"/>
      <c r="L769" s="8"/>
    </row>
    <row r="770" customFormat="false" ht="15" hidden="false" customHeight="false" outlineLevel="0" collapsed="false">
      <c r="A770" s="4"/>
      <c r="B770" s="8"/>
      <c r="C770" s="8"/>
      <c r="D770" s="8"/>
      <c r="E770" s="8"/>
      <c r="F770" s="8"/>
      <c r="G770" s="8"/>
      <c r="H770" s="8"/>
      <c r="I770" s="8"/>
      <c r="J770" s="8"/>
      <c r="K770" s="4"/>
      <c r="L770" s="8"/>
    </row>
    <row r="771" customFormat="false" ht="15" hidden="false" customHeight="false" outlineLevel="0" collapsed="false">
      <c r="A771" s="4"/>
      <c r="B771" s="8"/>
      <c r="C771" s="8"/>
      <c r="D771" s="8"/>
      <c r="E771" s="8"/>
      <c r="F771" s="8"/>
      <c r="G771" s="8"/>
      <c r="H771" s="8"/>
      <c r="I771" s="8"/>
      <c r="J771" s="8"/>
      <c r="K771" s="4"/>
      <c r="L771" s="8"/>
    </row>
    <row r="772" customFormat="false" ht="15" hidden="false" customHeight="false" outlineLevel="0" collapsed="false">
      <c r="A772" s="4"/>
      <c r="B772" s="8"/>
      <c r="C772" s="8"/>
      <c r="D772" s="8"/>
      <c r="E772" s="8"/>
      <c r="F772" s="8"/>
      <c r="G772" s="8"/>
      <c r="H772" s="8"/>
      <c r="I772" s="8"/>
      <c r="J772" s="8"/>
      <c r="K772" s="4"/>
      <c r="L772" s="8"/>
    </row>
    <row r="773" customFormat="false" ht="15" hidden="false" customHeight="false" outlineLevel="0" collapsed="false">
      <c r="A773" s="4"/>
      <c r="B773" s="8"/>
      <c r="C773" s="8"/>
      <c r="D773" s="8"/>
      <c r="E773" s="8"/>
      <c r="F773" s="8"/>
      <c r="G773" s="8"/>
      <c r="H773" s="8"/>
      <c r="I773" s="8"/>
      <c r="J773" s="8"/>
      <c r="K773" s="4"/>
      <c r="L773" s="8"/>
    </row>
    <row r="774" customFormat="false" ht="15" hidden="false" customHeight="false" outlineLevel="0" collapsed="false">
      <c r="A774" s="4"/>
      <c r="B774" s="8"/>
      <c r="C774" s="8"/>
      <c r="D774" s="8"/>
      <c r="E774" s="8"/>
      <c r="F774" s="8"/>
      <c r="G774" s="8"/>
      <c r="H774" s="8"/>
      <c r="I774" s="8"/>
      <c r="J774" s="8"/>
      <c r="K774" s="4"/>
      <c r="L774" s="8"/>
    </row>
    <row r="775" customFormat="false" ht="15" hidden="false" customHeight="false" outlineLevel="0" collapsed="false">
      <c r="A775" s="4"/>
      <c r="B775" s="8"/>
      <c r="C775" s="8"/>
      <c r="D775" s="8"/>
      <c r="E775" s="8"/>
      <c r="F775" s="8"/>
      <c r="G775" s="8"/>
      <c r="H775" s="8"/>
      <c r="I775" s="8"/>
      <c r="J775" s="8"/>
      <c r="K775" s="4"/>
      <c r="L775" s="8"/>
    </row>
    <row r="776" customFormat="false" ht="15" hidden="false" customHeight="false" outlineLevel="0" collapsed="false">
      <c r="A776" s="4"/>
      <c r="B776" s="8"/>
      <c r="C776" s="8"/>
      <c r="D776" s="8"/>
      <c r="E776" s="8"/>
      <c r="F776" s="8"/>
      <c r="G776" s="8"/>
      <c r="H776" s="8"/>
      <c r="I776" s="8"/>
      <c r="J776" s="8"/>
      <c r="K776" s="4"/>
      <c r="L776" s="8"/>
    </row>
    <row r="777" customFormat="false" ht="15" hidden="false" customHeight="false" outlineLevel="0" collapsed="false">
      <c r="A777" s="4"/>
      <c r="B777" s="8"/>
      <c r="C777" s="8"/>
      <c r="D777" s="8"/>
      <c r="E777" s="8"/>
      <c r="F777" s="8"/>
      <c r="G777" s="8"/>
      <c r="H777" s="8"/>
      <c r="I777" s="8"/>
      <c r="J777" s="8"/>
      <c r="K777" s="4"/>
      <c r="L777" s="8"/>
    </row>
    <row r="778" customFormat="false" ht="15" hidden="false" customHeight="false" outlineLevel="0" collapsed="false">
      <c r="A778" s="4"/>
      <c r="B778" s="8"/>
      <c r="C778" s="8"/>
      <c r="D778" s="8"/>
      <c r="E778" s="8"/>
      <c r="F778" s="8"/>
      <c r="G778" s="8"/>
      <c r="H778" s="8"/>
      <c r="I778" s="8"/>
      <c r="J778" s="8"/>
      <c r="K778" s="4"/>
      <c r="L778" s="8"/>
    </row>
    <row r="779" customFormat="false" ht="15" hidden="false" customHeight="false" outlineLevel="0" collapsed="false">
      <c r="A779" s="4"/>
      <c r="B779" s="8"/>
      <c r="C779" s="8"/>
      <c r="D779" s="8"/>
      <c r="E779" s="8"/>
      <c r="F779" s="8"/>
      <c r="G779" s="8"/>
      <c r="H779" s="8"/>
      <c r="I779" s="8"/>
      <c r="J779" s="8"/>
      <c r="K779" s="4"/>
      <c r="L779" s="8"/>
    </row>
    <row r="780" customFormat="false" ht="15" hidden="false" customHeight="false" outlineLevel="0" collapsed="false">
      <c r="A780" s="4"/>
      <c r="B780" s="8"/>
      <c r="C780" s="8"/>
      <c r="D780" s="8"/>
      <c r="E780" s="8"/>
      <c r="F780" s="8"/>
      <c r="G780" s="8"/>
      <c r="H780" s="8"/>
      <c r="I780" s="8"/>
      <c r="J780" s="8"/>
      <c r="K780" s="4"/>
      <c r="L780" s="8"/>
    </row>
    <row r="781" customFormat="false" ht="15" hidden="false" customHeight="false" outlineLevel="0" collapsed="false">
      <c r="A781" s="4"/>
      <c r="B781" s="8"/>
      <c r="C781" s="8"/>
      <c r="D781" s="8"/>
      <c r="E781" s="8"/>
      <c r="F781" s="8"/>
      <c r="G781" s="8"/>
      <c r="H781" s="8"/>
      <c r="I781" s="8"/>
      <c r="J781" s="8"/>
      <c r="K781" s="4"/>
      <c r="L781" s="8"/>
    </row>
    <row r="782" customFormat="false" ht="15" hidden="false" customHeight="false" outlineLevel="0" collapsed="false">
      <c r="A782" s="4"/>
      <c r="B782" s="8"/>
      <c r="C782" s="8"/>
      <c r="D782" s="8"/>
      <c r="E782" s="8"/>
      <c r="F782" s="8"/>
      <c r="G782" s="8"/>
      <c r="H782" s="8"/>
      <c r="I782" s="8"/>
      <c r="J782" s="8"/>
      <c r="K782" s="4"/>
      <c r="L782" s="8"/>
    </row>
    <row r="783" customFormat="false" ht="15" hidden="false" customHeight="false" outlineLevel="0" collapsed="false">
      <c r="A783" s="4"/>
      <c r="B783" s="8"/>
      <c r="C783" s="8"/>
      <c r="D783" s="8"/>
      <c r="E783" s="8"/>
      <c r="F783" s="8"/>
      <c r="G783" s="8"/>
      <c r="H783" s="8"/>
      <c r="I783" s="8"/>
      <c r="J783" s="8"/>
      <c r="K783" s="4"/>
      <c r="L783" s="8"/>
    </row>
    <row r="784" customFormat="false" ht="15" hidden="false" customHeight="false" outlineLevel="0" collapsed="false">
      <c r="A784" s="4"/>
      <c r="B784" s="8"/>
      <c r="C784" s="8"/>
      <c r="D784" s="8"/>
      <c r="E784" s="8"/>
      <c r="F784" s="8"/>
      <c r="G784" s="8"/>
      <c r="H784" s="8"/>
      <c r="I784" s="8"/>
      <c r="J784" s="8"/>
      <c r="K784" s="4"/>
      <c r="L784" s="8"/>
    </row>
    <row r="785" customFormat="false" ht="15" hidden="false" customHeight="false" outlineLevel="0" collapsed="false">
      <c r="A785" s="4"/>
      <c r="B785" s="8"/>
      <c r="C785" s="8"/>
      <c r="D785" s="8"/>
      <c r="E785" s="8"/>
      <c r="F785" s="8"/>
      <c r="G785" s="8"/>
      <c r="H785" s="8"/>
      <c r="I785" s="8"/>
      <c r="J785" s="8"/>
      <c r="K785" s="4"/>
      <c r="L785" s="8"/>
    </row>
    <row r="786" customFormat="false" ht="15" hidden="false" customHeight="false" outlineLevel="0" collapsed="false">
      <c r="A786" s="4"/>
      <c r="B786" s="8"/>
      <c r="C786" s="8"/>
      <c r="D786" s="8"/>
      <c r="E786" s="8"/>
      <c r="F786" s="8"/>
      <c r="G786" s="8"/>
      <c r="H786" s="8"/>
      <c r="I786" s="8"/>
      <c r="J786" s="8"/>
      <c r="K786" s="4"/>
      <c r="L786" s="8"/>
    </row>
    <row r="787" customFormat="false" ht="15" hidden="false" customHeight="false" outlineLevel="0" collapsed="false">
      <c r="A787" s="4"/>
      <c r="B787" s="8"/>
      <c r="C787" s="8"/>
      <c r="D787" s="8"/>
      <c r="E787" s="8"/>
      <c r="F787" s="8"/>
      <c r="G787" s="8"/>
      <c r="H787" s="8"/>
      <c r="I787" s="8"/>
      <c r="J787" s="8"/>
      <c r="K787" s="4"/>
      <c r="L787" s="8"/>
    </row>
    <row r="788" customFormat="false" ht="15" hidden="false" customHeight="false" outlineLevel="0" collapsed="false">
      <c r="A788" s="4"/>
      <c r="B788" s="8"/>
      <c r="C788" s="8"/>
      <c r="D788" s="8"/>
      <c r="E788" s="8"/>
      <c r="F788" s="8"/>
      <c r="G788" s="8"/>
      <c r="H788" s="8"/>
      <c r="I788" s="8"/>
      <c r="J788" s="8"/>
      <c r="K788" s="4"/>
      <c r="L788" s="8"/>
    </row>
    <row r="789" customFormat="false" ht="15" hidden="false" customHeight="false" outlineLevel="0" collapsed="false">
      <c r="A789" s="4"/>
      <c r="B789" s="8"/>
      <c r="C789" s="8"/>
      <c r="D789" s="8"/>
      <c r="E789" s="8"/>
      <c r="F789" s="8"/>
      <c r="G789" s="8"/>
      <c r="H789" s="8"/>
      <c r="I789" s="8"/>
      <c r="J789" s="8"/>
      <c r="K789" s="4"/>
      <c r="L789" s="8"/>
    </row>
    <row r="790" customFormat="false" ht="15" hidden="false" customHeight="false" outlineLevel="0" collapsed="false">
      <c r="A790" s="4"/>
      <c r="B790" s="8"/>
      <c r="C790" s="8"/>
      <c r="D790" s="8"/>
      <c r="E790" s="8"/>
      <c r="F790" s="8"/>
      <c r="G790" s="8"/>
      <c r="H790" s="8"/>
      <c r="I790" s="8"/>
      <c r="J790" s="8"/>
      <c r="K790" s="4"/>
      <c r="L790" s="8"/>
    </row>
    <row r="791" customFormat="false" ht="15" hidden="false" customHeight="false" outlineLevel="0" collapsed="false">
      <c r="A791" s="4"/>
      <c r="B791" s="8"/>
      <c r="C791" s="8"/>
      <c r="D791" s="8"/>
      <c r="E791" s="8"/>
      <c r="F791" s="8"/>
      <c r="G791" s="8"/>
      <c r="H791" s="8"/>
      <c r="I791" s="8"/>
      <c r="J791" s="8"/>
      <c r="K791" s="4"/>
      <c r="L791" s="8"/>
    </row>
    <row r="792" customFormat="false" ht="15" hidden="false" customHeight="false" outlineLevel="0" collapsed="false">
      <c r="A792" s="4"/>
      <c r="B792" s="8"/>
      <c r="C792" s="8"/>
      <c r="D792" s="8"/>
      <c r="E792" s="8"/>
      <c r="F792" s="8"/>
      <c r="G792" s="8"/>
      <c r="H792" s="8"/>
      <c r="I792" s="8"/>
      <c r="J792" s="8"/>
      <c r="K792" s="4"/>
      <c r="L792" s="8"/>
    </row>
    <row r="793" customFormat="false" ht="15" hidden="false" customHeight="false" outlineLevel="0" collapsed="false">
      <c r="A793" s="4"/>
      <c r="B793" s="8"/>
      <c r="C793" s="8"/>
      <c r="D793" s="8"/>
      <c r="E793" s="8"/>
      <c r="F793" s="8"/>
      <c r="G793" s="8"/>
      <c r="H793" s="8"/>
      <c r="I793" s="8"/>
      <c r="J793" s="8"/>
      <c r="K793" s="4"/>
      <c r="L793" s="8"/>
    </row>
    <row r="794" customFormat="false" ht="15" hidden="false" customHeight="false" outlineLevel="0" collapsed="false">
      <c r="A794" s="4"/>
      <c r="B794" s="8"/>
      <c r="C794" s="8"/>
      <c r="D794" s="8"/>
      <c r="E794" s="8"/>
      <c r="F794" s="8"/>
      <c r="G794" s="8"/>
      <c r="H794" s="8"/>
      <c r="I794" s="8"/>
      <c r="J794" s="8"/>
      <c r="K794" s="4"/>
      <c r="L794" s="8"/>
    </row>
    <row r="795" customFormat="false" ht="15" hidden="false" customHeight="false" outlineLevel="0" collapsed="false">
      <c r="A795" s="4"/>
      <c r="B795" s="8"/>
      <c r="C795" s="8"/>
      <c r="D795" s="8"/>
      <c r="E795" s="8"/>
      <c r="F795" s="8"/>
      <c r="G795" s="8"/>
      <c r="H795" s="8"/>
      <c r="I795" s="8"/>
      <c r="J795" s="8"/>
      <c r="K795" s="4"/>
      <c r="L795" s="8"/>
    </row>
    <row r="796" customFormat="false" ht="15" hidden="false" customHeight="false" outlineLevel="0" collapsed="false">
      <c r="A796" s="4"/>
      <c r="B796" s="8"/>
      <c r="C796" s="8"/>
      <c r="D796" s="8"/>
      <c r="E796" s="8"/>
      <c r="F796" s="8"/>
      <c r="G796" s="8"/>
      <c r="H796" s="8"/>
      <c r="I796" s="8"/>
      <c r="J796" s="8"/>
      <c r="K796" s="4"/>
      <c r="L796" s="8"/>
    </row>
    <row r="797" customFormat="false" ht="15" hidden="false" customHeight="false" outlineLevel="0" collapsed="false">
      <c r="A797" s="4"/>
      <c r="B797" s="8"/>
      <c r="C797" s="8"/>
      <c r="D797" s="8"/>
      <c r="E797" s="8"/>
      <c r="F797" s="8"/>
      <c r="G797" s="8"/>
      <c r="H797" s="8"/>
      <c r="I797" s="8"/>
      <c r="J797" s="8"/>
      <c r="K797" s="4"/>
      <c r="L797" s="8"/>
    </row>
    <row r="798" customFormat="false" ht="15" hidden="false" customHeight="false" outlineLevel="0" collapsed="false">
      <c r="A798" s="4"/>
      <c r="B798" s="8"/>
      <c r="C798" s="8"/>
      <c r="D798" s="8"/>
      <c r="E798" s="8"/>
      <c r="F798" s="8"/>
      <c r="G798" s="8"/>
      <c r="H798" s="8"/>
      <c r="I798" s="8"/>
      <c r="J798" s="8"/>
      <c r="K798" s="4"/>
      <c r="L798" s="8"/>
    </row>
    <row r="799" customFormat="false" ht="15" hidden="false" customHeight="false" outlineLevel="0" collapsed="false">
      <c r="A799" s="4"/>
      <c r="B799" s="8"/>
      <c r="C799" s="8"/>
      <c r="D799" s="8"/>
      <c r="E799" s="8"/>
      <c r="F799" s="8"/>
      <c r="G799" s="8"/>
      <c r="H799" s="8"/>
      <c r="I799" s="8"/>
      <c r="J799" s="8"/>
      <c r="K799" s="4"/>
      <c r="L799" s="8"/>
    </row>
    <row r="800" customFormat="false" ht="15" hidden="false" customHeight="false" outlineLevel="0" collapsed="false">
      <c r="A800" s="4"/>
      <c r="B800" s="8"/>
      <c r="C800" s="8"/>
      <c r="D800" s="8"/>
      <c r="E800" s="8"/>
      <c r="F800" s="8"/>
      <c r="G800" s="8"/>
      <c r="H800" s="8"/>
      <c r="I800" s="8"/>
      <c r="J800" s="8"/>
      <c r="K800" s="4"/>
      <c r="L800" s="8"/>
    </row>
  </sheetData>
  <autoFilter ref="A1:L800"/>
  <dataValidations count="4">
    <dataValidation allowBlank="true" error="Choose a value from the Context list (Lists sheet), or leave blank." errorStyle="stop" errorTitle="Not on the list" operator="between" showDropDown="false" showErrorMessage="true" showInputMessage="false" sqref="D2:D800" type="list">
      <formula1>Lists!$G$2:$G$5</formula1>
      <formula2>0</formula2>
    </dataValidation>
    <dataValidation allowBlank="true" error="Choose a value from the Tier list (Lists sheet), or leave blank." errorStyle="stop" errorTitle="Not on the list" operator="between" showDropDown="false" showErrorMessage="true" showInputMessage="false" sqref="F2:F800" type="list">
      <formula1>Lists!$D$2:$D$3</formula1>
      <formula2>0</formula2>
    </dataValidation>
    <dataValidation allowBlank="true" error="Choose a value from the Status list (Lists sheet), or leave blank." errorStyle="stop" errorTitle="Not on the list" operator="between" showDropDown="false" showErrorMessage="true" showInputMessage="false" sqref="I2:I800" type="list">
      <formula1>Lists!$E$2:$E$6</formula1>
      <formula2>0</formula2>
    </dataValidation>
    <dataValidation allowBlank="true" error="Choose a value from the Origin list (Lists sheet), or leave blank." errorStyle="stop" errorTitle="Not on the list" operator="between" showDropDown="false" showErrorMessage="true" showInputMessage="false" sqref="J2:J800" type="list">
      <formula1>Lists!$F$2:$F$3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28"/>
    <col collapsed="false" customWidth="true" hidden="false" outlineLevel="0" max="4" min="4" style="0" width="40"/>
    <col collapsed="false" customWidth="true" hidden="false" outlineLevel="0" max="5" min="5" style="0" width="52"/>
    <col collapsed="false" customWidth="true" hidden="false" outlineLevel="0" max="7" min="6" style="0" width="10"/>
    <col collapsed="false" customWidth="true" hidden="false" outlineLevel="0" max="8" min="8" style="0" width="12"/>
    <col collapsed="false" customWidth="true" hidden="false" outlineLevel="0" max="9" min="9" style="0" width="8"/>
    <col collapsed="false" customWidth="true" hidden="false" outlineLevel="0" max="10" min="10" style="0" width="36"/>
  </cols>
  <sheetData>
    <row r="1" customFormat="false" ht="31.5" hidden="false" customHeight="true" outlineLevel="0" collapsed="false">
      <c r="A1" s="7" t="s">
        <v>88</v>
      </c>
      <c r="B1" s="7" t="s">
        <v>54</v>
      </c>
      <c r="C1" s="7" t="s">
        <v>8062</v>
      </c>
      <c r="D1" s="7" t="s">
        <v>8063</v>
      </c>
      <c r="E1" s="7" t="s">
        <v>8064</v>
      </c>
      <c r="F1" s="7" t="s">
        <v>8065</v>
      </c>
      <c r="G1" s="7" t="s">
        <v>5</v>
      </c>
      <c r="H1" s="7" t="s">
        <v>55</v>
      </c>
      <c r="I1" s="7" t="s">
        <v>96</v>
      </c>
      <c r="J1" s="7" t="s">
        <v>97</v>
      </c>
    </row>
    <row r="2" customFormat="false" ht="15" hidden="false" customHeight="false" outlineLevel="0" collapsed="false">
      <c r="A2" s="4" t="s">
        <v>8066</v>
      </c>
      <c r="B2" s="8" t="s">
        <v>65</v>
      </c>
      <c r="C2" s="8" t="s">
        <v>8067</v>
      </c>
      <c r="D2" s="8" t="s">
        <v>8068</v>
      </c>
      <c r="E2" s="8" t="s">
        <v>8069</v>
      </c>
      <c r="F2" s="8"/>
      <c r="G2" s="8" t="s">
        <v>62</v>
      </c>
      <c r="H2" s="8" t="s">
        <v>63</v>
      </c>
      <c r="I2" s="4" t="n">
        <v>15</v>
      </c>
      <c r="J2" s="8"/>
    </row>
    <row r="3" customFormat="false" ht="15" hidden="false" customHeight="false" outlineLevel="0" collapsed="false">
      <c r="A3" s="4" t="s">
        <v>8070</v>
      </c>
      <c r="B3" s="8" t="s">
        <v>65</v>
      </c>
      <c r="C3" s="8" t="s">
        <v>8067</v>
      </c>
      <c r="D3" s="8" t="s">
        <v>8071</v>
      </c>
      <c r="E3" s="8" t="s">
        <v>8072</v>
      </c>
      <c r="F3" s="8"/>
      <c r="G3" s="8" t="s">
        <v>62</v>
      </c>
      <c r="H3" s="8" t="s">
        <v>63</v>
      </c>
      <c r="I3" s="4" t="n">
        <v>15</v>
      </c>
      <c r="J3" s="8"/>
    </row>
    <row r="4" customFormat="false" ht="15" hidden="false" customHeight="false" outlineLevel="0" collapsed="false">
      <c r="A4" s="4" t="s">
        <v>8073</v>
      </c>
      <c r="B4" s="8" t="s">
        <v>65</v>
      </c>
      <c r="C4" s="8" t="s">
        <v>8067</v>
      </c>
      <c r="D4" s="8" t="s">
        <v>8074</v>
      </c>
      <c r="E4" s="8" t="s">
        <v>8075</v>
      </c>
      <c r="F4" s="8"/>
      <c r="G4" s="8" t="s">
        <v>62</v>
      </c>
      <c r="H4" s="8" t="s">
        <v>63</v>
      </c>
      <c r="I4" s="4" t="n">
        <v>15</v>
      </c>
      <c r="J4" s="8"/>
    </row>
    <row r="5" customFormat="false" ht="15" hidden="false" customHeight="false" outlineLevel="0" collapsed="false">
      <c r="A5" s="4" t="s">
        <v>8076</v>
      </c>
      <c r="B5" s="8" t="s">
        <v>65</v>
      </c>
      <c r="C5" s="8" t="s">
        <v>8077</v>
      </c>
      <c r="D5" s="8" t="s">
        <v>8078</v>
      </c>
      <c r="E5" s="8" t="s">
        <v>8079</v>
      </c>
      <c r="F5" s="8"/>
      <c r="G5" s="8" t="s">
        <v>62</v>
      </c>
      <c r="H5" s="8" t="s">
        <v>63</v>
      </c>
      <c r="I5" s="4" t="n">
        <v>15</v>
      </c>
      <c r="J5" s="8"/>
    </row>
    <row r="6" customFormat="false" ht="26.85" hidden="false" customHeight="false" outlineLevel="0" collapsed="false">
      <c r="A6" s="4" t="s">
        <v>8080</v>
      </c>
      <c r="B6" s="8" t="s">
        <v>65</v>
      </c>
      <c r="C6" s="8" t="s">
        <v>8077</v>
      </c>
      <c r="D6" s="8" t="s">
        <v>8081</v>
      </c>
      <c r="E6" s="8" t="s">
        <v>8082</v>
      </c>
      <c r="F6" s="8"/>
      <c r="G6" s="8" t="s">
        <v>62</v>
      </c>
      <c r="H6" s="8" t="s">
        <v>63</v>
      </c>
      <c r="I6" s="4" t="n">
        <v>15</v>
      </c>
      <c r="J6" s="8"/>
    </row>
    <row r="7" customFormat="false" ht="15" hidden="false" customHeight="false" outlineLevel="0" collapsed="false">
      <c r="A7" s="4" t="s">
        <v>8083</v>
      </c>
      <c r="B7" s="8" t="s">
        <v>65</v>
      </c>
      <c r="C7" s="8" t="s">
        <v>8077</v>
      </c>
      <c r="D7" s="8" t="s">
        <v>8084</v>
      </c>
      <c r="E7" s="8" t="s">
        <v>8085</v>
      </c>
      <c r="F7" s="8"/>
      <c r="G7" s="8" t="s">
        <v>62</v>
      </c>
      <c r="H7" s="8" t="s">
        <v>63</v>
      </c>
      <c r="I7" s="4" t="n">
        <v>15</v>
      </c>
      <c r="J7" s="8"/>
    </row>
    <row r="8" customFormat="false" ht="15" hidden="false" customHeight="false" outlineLevel="0" collapsed="false">
      <c r="A8" s="4" t="s">
        <v>8086</v>
      </c>
      <c r="B8" s="8" t="s">
        <v>65</v>
      </c>
      <c r="C8" s="8" t="s">
        <v>8077</v>
      </c>
      <c r="D8" s="8" t="s">
        <v>8087</v>
      </c>
      <c r="E8" s="8" t="s">
        <v>8088</v>
      </c>
      <c r="F8" s="8"/>
      <c r="G8" s="8" t="s">
        <v>62</v>
      </c>
      <c r="H8" s="8" t="s">
        <v>63</v>
      </c>
      <c r="I8" s="4" t="n">
        <v>15</v>
      </c>
      <c r="J8" s="8"/>
    </row>
    <row r="9" customFormat="false" ht="15" hidden="false" customHeight="false" outlineLevel="0" collapsed="false">
      <c r="A9" s="4" t="s">
        <v>8089</v>
      </c>
      <c r="B9" s="8" t="s">
        <v>65</v>
      </c>
      <c r="C9" s="8" t="s">
        <v>8090</v>
      </c>
      <c r="D9" s="8" t="s">
        <v>8091</v>
      </c>
      <c r="E9" s="8" t="s">
        <v>8092</v>
      </c>
      <c r="F9" s="8"/>
      <c r="G9" s="8" t="s">
        <v>62</v>
      </c>
      <c r="H9" s="8" t="s">
        <v>63</v>
      </c>
      <c r="I9" s="4" t="n">
        <v>15</v>
      </c>
      <c r="J9" s="8"/>
    </row>
    <row r="10" customFormat="false" ht="15" hidden="false" customHeight="false" outlineLevel="0" collapsed="false">
      <c r="A10" s="4" t="s">
        <v>8093</v>
      </c>
      <c r="B10" s="8" t="s">
        <v>65</v>
      </c>
      <c r="C10" s="8" t="s">
        <v>8090</v>
      </c>
      <c r="D10" s="8" t="s">
        <v>8094</v>
      </c>
      <c r="E10" s="8" t="s">
        <v>8095</v>
      </c>
      <c r="F10" s="8"/>
      <c r="G10" s="8" t="s">
        <v>62</v>
      </c>
      <c r="H10" s="8" t="s">
        <v>63</v>
      </c>
      <c r="I10" s="4" t="n">
        <v>15</v>
      </c>
      <c r="J10" s="8"/>
    </row>
    <row r="11" customFormat="false" ht="15" hidden="false" customHeight="false" outlineLevel="0" collapsed="false">
      <c r="A11" s="4" t="s">
        <v>8096</v>
      </c>
      <c r="B11" s="8" t="s">
        <v>65</v>
      </c>
      <c r="C11" s="8" t="s">
        <v>8090</v>
      </c>
      <c r="D11" s="8" t="s">
        <v>8097</v>
      </c>
      <c r="E11" s="8" t="s">
        <v>8098</v>
      </c>
      <c r="F11" s="8"/>
      <c r="G11" s="8" t="s">
        <v>62</v>
      </c>
      <c r="H11" s="8" t="s">
        <v>63</v>
      </c>
      <c r="I11" s="4" t="n">
        <v>15</v>
      </c>
      <c r="J11" s="8"/>
    </row>
    <row r="12" customFormat="false" ht="15" hidden="false" customHeight="false" outlineLevel="0" collapsed="false">
      <c r="A12" s="4" t="s">
        <v>8099</v>
      </c>
      <c r="B12" s="8" t="s">
        <v>65</v>
      </c>
      <c r="C12" s="8" t="s">
        <v>8090</v>
      </c>
      <c r="D12" s="8" t="s">
        <v>8100</v>
      </c>
      <c r="E12" s="8" t="s">
        <v>8101</v>
      </c>
      <c r="F12" s="8"/>
      <c r="G12" s="8" t="s">
        <v>62</v>
      </c>
      <c r="H12" s="8" t="s">
        <v>63</v>
      </c>
      <c r="I12" s="4" t="n">
        <v>15</v>
      </c>
      <c r="J12" s="8"/>
    </row>
    <row r="13" customFormat="false" ht="15" hidden="false" customHeight="false" outlineLevel="0" collapsed="false">
      <c r="A13" s="4" t="s">
        <v>8102</v>
      </c>
      <c r="B13" s="8" t="s">
        <v>65</v>
      </c>
      <c r="C13" s="8" t="s">
        <v>8090</v>
      </c>
      <c r="D13" s="8" t="s">
        <v>8103</v>
      </c>
      <c r="E13" s="8" t="s">
        <v>8104</v>
      </c>
      <c r="F13" s="8"/>
      <c r="G13" s="8" t="s">
        <v>62</v>
      </c>
      <c r="H13" s="8" t="s">
        <v>63</v>
      </c>
      <c r="I13" s="4" t="n">
        <v>15</v>
      </c>
      <c r="J13" s="8"/>
    </row>
    <row r="14" customFormat="false" ht="15" hidden="false" customHeight="false" outlineLevel="0" collapsed="false">
      <c r="A14" s="4" t="s">
        <v>8105</v>
      </c>
      <c r="B14" s="8" t="s">
        <v>65</v>
      </c>
      <c r="C14" s="8" t="s">
        <v>8090</v>
      </c>
      <c r="D14" s="8" t="s">
        <v>8106</v>
      </c>
      <c r="E14" s="8" t="s">
        <v>8107</v>
      </c>
      <c r="F14" s="8"/>
      <c r="G14" s="8" t="s">
        <v>62</v>
      </c>
      <c r="H14" s="8" t="s">
        <v>63</v>
      </c>
      <c r="I14" s="4" t="n">
        <v>15</v>
      </c>
      <c r="J14" s="8"/>
    </row>
    <row r="15" customFormat="false" ht="15" hidden="false" customHeight="false" outlineLevel="0" collapsed="false">
      <c r="A15" s="4" t="s">
        <v>8108</v>
      </c>
      <c r="B15" s="8" t="s">
        <v>65</v>
      </c>
      <c r="C15" s="8" t="s">
        <v>8090</v>
      </c>
      <c r="D15" s="8" t="s">
        <v>8109</v>
      </c>
      <c r="E15" s="8" t="s">
        <v>8110</v>
      </c>
      <c r="F15" s="8"/>
      <c r="G15" s="8" t="s">
        <v>62</v>
      </c>
      <c r="H15" s="8" t="s">
        <v>63</v>
      </c>
      <c r="I15" s="4" t="n">
        <v>15</v>
      </c>
      <c r="J15" s="8"/>
    </row>
    <row r="16" customFormat="false" ht="15" hidden="false" customHeight="false" outlineLevel="0" collapsed="false">
      <c r="A16" s="4" t="s">
        <v>8111</v>
      </c>
      <c r="B16" s="8" t="s">
        <v>65</v>
      </c>
      <c r="C16" s="8" t="s">
        <v>8112</v>
      </c>
      <c r="D16" s="8" t="s">
        <v>8113</v>
      </c>
      <c r="E16" s="8" t="s">
        <v>8114</v>
      </c>
      <c r="F16" s="8"/>
      <c r="G16" s="8" t="s">
        <v>62</v>
      </c>
      <c r="H16" s="8" t="s">
        <v>63</v>
      </c>
      <c r="I16" s="4" t="n">
        <v>15</v>
      </c>
      <c r="J16" s="8"/>
    </row>
    <row r="17" customFormat="false" ht="15" hidden="false" customHeight="false" outlineLevel="0" collapsed="false">
      <c r="A17" s="4" t="s">
        <v>8115</v>
      </c>
      <c r="B17" s="8" t="s">
        <v>65</v>
      </c>
      <c r="C17" s="8" t="s">
        <v>8112</v>
      </c>
      <c r="D17" s="8" t="s">
        <v>8116</v>
      </c>
      <c r="E17" s="8" t="s">
        <v>8117</v>
      </c>
      <c r="F17" s="8"/>
      <c r="G17" s="8" t="s">
        <v>62</v>
      </c>
      <c r="H17" s="8" t="s">
        <v>63</v>
      </c>
      <c r="I17" s="4" t="n">
        <v>15</v>
      </c>
      <c r="J17" s="8"/>
    </row>
    <row r="18" customFormat="false" ht="15" hidden="false" customHeight="false" outlineLevel="0" collapsed="false">
      <c r="A18" s="4" t="s">
        <v>8118</v>
      </c>
      <c r="B18" s="8" t="s">
        <v>65</v>
      </c>
      <c r="C18" s="8" t="s">
        <v>8112</v>
      </c>
      <c r="D18" s="8" t="s">
        <v>8119</v>
      </c>
      <c r="E18" s="8" t="s">
        <v>8120</v>
      </c>
      <c r="F18" s="8"/>
      <c r="G18" s="8" t="s">
        <v>62</v>
      </c>
      <c r="H18" s="8" t="s">
        <v>63</v>
      </c>
      <c r="I18" s="4" t="n">
        <v>15</v>
      </c>
      <c r="J18" s="8"/>
    </row>
    <row r="19" customFormat="false" ht="26.85" hidden="false" customHeight="false" outlineLevel="0" collapsed="false">
      <c r="A19" s="4" t="s">
        <v>8121</v>
      </c>
      <c r="B19" s="8" t="s">
        <v>65</v>
      </c>
      <c r="C19" s="8" t="s">
        <v>7001</v>
      </c>
      <c r="D19" s="8" t="s">
        <v>8122</v>
      </c>
      <c r="E19" s="8" t="s">
        <v>8123</v>
      </c>
      <c r="F19" s="8"/>
      <c r="G19" s="8" t="s">
        <v>62</v>
      </c>
      <c r="H19" s="8" t="s">
        <v>63</v>
      </c>
      <c r="I19" s="4" t="n">
        <v>16</v>
      </c>
      <c r="J19" s="8"/>
    </row>
    <row r="20" customFormat="false" ht="15" hidden="false" customHeight="false" outlineLevel="0" collapsed="false">
      <c r="A20" s="4" t="s">
        <v>8124</v>
      </c>
      <c r="B20" s="8" t="s">
        <v>65</v>
      </c>
      <c r="C20" s="8" t="s">
        <v>7001</v>
      </c>
      <c r="D20" s="8" t="s">
        <v>8125</v>
      </c>
      <c r="E20" s="8" t="s">
        <v>8126</v>
      </c>
      <c r="F20" s="8"/>
      <c r="G20" s="8" t="s">
        <v>62</v>
      </c>
      <c r="H20" s="8" t="s">
        <v>63</v>
      </c>
      <c r="I20" s="4" t="n">
        <v>16</v>
      </c>
      <c r="J20" s="8"/>
    </row>
    <row r="21" customFormat="false" ht="15" hidden="false" customHeight="false" outlineLevel="0" collapsed="false">
      <c r="A21" s="4" t="s">
        <v>8127</v>
      </c>
      <c r="B21" s="8" t="s">
        <v>65</v>
      </c>
      <c r="C21" s="8" t="s">
        <v>7001</v>
      </c>
      <c r="D21" s="8" t="s">
        <v>8128</v>
      </c>
      <c r="E21" s="8" t="s">
        <v>8129</v>
      </c>
      <c r="F21" s="8"/>
      <c r="G21" s="8" t="s">
        <v>62</v>
      </c>
      <c r="H21" s="8" t="s">
        <v>63</v>
      </c>
      <c r="I21" s="4" t="n">
        <v>16</v>
      </c>
      <c r="J21" s="8"/>
    </row>
    <row r="22" customFormat="false" ht="15" hidden="false" customHeight="false" outlineLevel="0" collapsed="false">
      <c r="A22" s="4" t="s">
        <v>8130</v>
      </c>
      <c r="B22" s="8" t="s">
        <v>65</v>
      </c>
      <c r="C22" s="8" t="s">
        <v>8131</v>
      </c>
      <c r="D22" s="8" t="s">
        <v>8132</v>
      </c>
      <c r="E22" s="8" t="s">
        <v>8133</v>
      </c>
      <c r="F22" s="8"/>
      <c r="G22" s="8" t="s">
        <v>62</v>
      </c>
      <c r="H22" s="8" t="s">
        <v>63</v>
      </c>
      <c r="I22" s="4" t="n">
        <v>16</v>
      </c>
      <c r="J22" s="8"/>
    </row>
    <row r="23" customFormat="false" ht="15" hidden="false" customHeight="false" outlineLevel="0" collapsed="false">
      <c r="A23" s="4" t="s">
        <v>8134</v>
      </c>
      <c r="B23" s="8" t="s">
        <v>65</v>
      </c>
      <c r="C23" s="8" t="s">
        <v>8131</v>
      </c>
      <c r="D23" s="8" t="s">
        <v>8135</v>
      </c>
      <c r="E23" s="8" t="s">
        <v>8136</v>
      </c>
      <c r="F23" s="8"/>
      <c r="G23" s="8" t="s">
        <v>62</v>
      </c>
      <c r="H23" s="8" t="s">
        <v>63</v>
      </c>
      <c r="I23" s="4" t="n">
        <v>16</v>
      </c>
      <c r="J23" s="8"/>
    </row>
    <row r="24" customFormat="false" ht="15" hidden="false" customHeight="false" outlineLevel="0" collapsed="false">
      <c r="A24" s="4" t="s">
        <v>8137</v>
      </c>
      <c r="B24" s="8" t="s">
        <v>65</v>
      </c>
      <c r="C24" s="8" t="s">
        <v>8131</v>
      </c>
      <c r="D24" s="8" t="s">
        <v>8138</v>
      </c>
      <c r="E24" s="8" t="s">
        <v>8139</v>
      </c>
      <c r="F24" s="8"/>
      <c r="G24" s="8" t="s">
        <v>62</v>
      </c>
      <c r="H24" s="8" t="s">
        <v>63</v>
      </c>
      <c r="I24" s="4" t="n">
        <v>16</v>
      </c>
      <c r="J24" s="8"/>
    </row>
    <row r="25" customFormat="false" ht="15" hidden="false" customHeight="false" outlineLevel="0" collapsed="false">
      <c r="A25" s="4" t="s">
        <v>8140</v>
      </c>
      <c r="B25" s="8" t="s">
        <v>65</v>
      </c>
      <c r="C25" s="8" t="s">
        <v>8131</v>
      </c>
      <c r="D25" s="8" t="s">
        <v>8141</v>
      </c>
      <c r="E25" s="8" t="s">
        <v>8142</v>
      </c>
      <c r="F25" s="8"/>
      <c r="G25" s="8" t="s">
        <v>62</v>
      </c>
      <c r="H25" s="8" t="s">
        <v>63</v>
      </c>
      <c r="I25" s="4" t="n">
        <v>16</v>
      </c>
      <c r="J25" s="8"/>
    </row>
    <row r="26" customFormat="false" ht="15" hidden="false" customHeight="false" outlineLevel="0" collapsed="false">
      <c r="A26" s="4" t="s">
        <v>8143</v>
      </c>
      <c r="B26" s="8" t="s">
        <v>65</v>
      </c>
      <c r="C26" s="8" t="s">
        <v>8144</v>
      </c>
      <c r="D26" s="8" t="s">
        <v>8145</v>
      </c>
      <c r="E26" s="8" t="s">
        <v>8146</v>
      </c>
      <c r="F26" s="8"/>
      <c r="G26" s="8" t="s">
        <v>62</v>
      </c>
      <c r="H26" s="8" t="s">
        <v>63</v>
      </c>
      <c r="I26" s="4" t="n">
        <v>16</v>
      </c>
      <c r="J26" s="8"/>
    </row>
    <row r="27" customFormat="false" ht="15" hidden="false" customHeight="false" outlineLevel="0" collapsed="false">
      <c r="A27" s="4" t="s">
        <v>8147</v>
      </c>
      <c r="B27" s="8" t="s">
        <v>65</v>
      </c>
      <c r="C27" s="8" t="s">
        <v>8144</v>
      </c>
      <c r="D27" s="8" t="s">
        <v>8081</v>
      </c>
      <c r="E27" s="8" t="s">
        <v>8148</v>
      </c>
      <c r="F27" s="8"/>
      <c r="G27" s="8" t="s">
        <v>62</v>
      </c>
      <c r="H27" s="8" t="s">
        <v>63</v>
      </c>
      <c r="I27" s="4" t="n">
        <v>16</v>
      </c>
      <c r="J27" s="8"/>
    </row>
    <row r="28" customFormat="false" ht="15" hidden="false" customHeight="false" outlineLevel="0" collapsed="false">
      <c r="A28" s="4" t="s">
        <v>8149</v>
      </c>
      <c r="B28" s="8" t="s">
        <v>65</v>
      </c>
      <c r="C28" s="8" t="s">
        <v>8144</v>
      </c>
      <c r="D28" s="8" t="s">
        <v>8078</v>
      </c>
      <c r="E28" s="8" t="s">
        <v>8150</v>
      </c>
      <c r="F28" s="8"/>
      <c r="G28" s="8" t="s">
        <v>62</v>
      </c>
      <c r="H28" s="8" t="s">
        <v>63</v>
      </c>
      <c r="I28" s="4" t="n">
        <v>16</v>
      </c>
      <c r="J28" s="8"/>
    </row>
    <row r="29" customFormat="false" ht="15" hidden="false" customHeight="false" outlineLevel="0" collapsed="false">
      <c r="A29" s="4" t="s">
        <v>8151</v>
      </c>
      <c r="B29" s="8" t="s">
        <v>65</v>
      </c>
      <c r="C29" s="8" t="s">
        <v>8144</v>
      </c>
      <c r="D29" s="8" t="s">
        <v>8084</v>
      </c>
      <c r="E29" s="8" t="s">
        <v>8152</v>
      </c>
      <c r="F29" s="8"/>
      <c r="G29" s="8" t="s">
        <v>62</v>
      </c>
      <c r="H29" s="8" t="s">
        <v>63</v>
      </c>
      <c r="I29" s="4" t="n">
        <v>16</v>
      </c>
      <c r="J29" s="8"/>
    </row>
    <row r="30" customFormat="false" ht="15" hidden="false" customHeight="false" outlineLevel="0" collapsed="false">
      <c r="A30" s="4" t="s">
        <v>8153</v>
      </c>
      <c r="B30" s="8" t="s">
        <v>65</v>
      </c>
      <c r="C30" s="8" t="s">
        <v>8154</v>
      </c>
      <c r="D30" s="8" t="s">
        <v>8155</v>
      </c>
      <c r="E30" s="8" t="s">
        <v>8156</v>
      </c>
      <c r="F30" s="8"/>
      <c r="G30" s="8" t="s">
        <v>62</v>
      </c>
      <c r="H30" s="8" t="s">
        <v>63</v>
      </c>
      <c r="I30" s="4" t="n">
        <v>16</v>
      </c>
      <c r="J30" s="8"/>
    </row>
    <row r="31" customFormat="false" ht="15" hidden="false" customHeight="false" outlineLevel="0" collapsed="false">
      <c r="A31" s="4" t="s">
        <v>8157</v>
      </c>
      <c r="B31" s="8" t="s">
        <v>65</v>
      </c>
      <c r="C31" s="8" t="s">
        <v>8154</v>
      </c>
      <c r="D31" s="8" t="s">
        <v>8158</v>
      </c>
      <c r="E31" s="8" t="s">
        <v>8159</v>
      </c>
      <c r="F31" s="8"/>
      <c r="G31" s="8" t="s">
        <v>62</v>
      </c>
      <c r="H31" s="8" t="s">
        <v>63</v>
      </c>
      <c r="I31" s="4" t="n">
        <v>16</v>
      </c>
      <c r="J31" s="8"/>
    </row>
    <row r="32" customFormat="false" ht="15" hidden="false" customHeight="false" outlineLevel="0" collapsed="false">
      <c r="A32" s="4" t="s">
        <v>8160</v>
      </c>
      <c r="B32" s="8" t="s">
        <v>65</v>
      </c>
      <c r="C32" s="8" t="s">
        <v>8161</v>
      </c>
      <c r="D32" s="8" t="s">
        <v>8162</v>
      </c>
      <c r="E32" s="8" t="s">
        <v>8163</v>
      </c>
      <c r="F32" s="8"/>
      <c r="G32" s="8" t="s">
        <v>62</v>
      </c>
      <c r="H32" s="8" t="s">
        <v>63</v>
      </c>
      <c r="I32" s="4" t="n">
        <v>16</v>
      </c>
      <c r="J32" s="8"/>
    </row>
    <row r="33" customFormat="false" ht="15" hidden="false" customHeight="false" outlineLevel="0" collapsed="false">
      <c r="A33" s="4" t="s">
        <v>8164</v>
      </c>
      <c r="B33" s="8" t="s">
        <v>65</v>
      </c>
      <c r="C33" s="8" t="s">
        <v>8161</v>
      </c>
      <c r="D33" s="8" t="s">
        <v>8165</v>
      </c>
      <c r="E33" s="8" t="s">
        <v>8166</v>
      </c>
      <c r="F33" s="8"/>
      <c r="G33" s="8" t="s">
        <v>62</v>
      </c>
      <c r="H33" s="8" t="s">
        <v>63</v>
      </c>
      <c r="I33" s="4" t="n">
        <v>16</v>
      </c>
      <c r="J33" s="8"/>
    </row>
    <row r="34" customFormat="false" ht="15" hidden="false" customHeight="false" outlineLevel="0" collapsed="false">
      <c r="A34" s="4" t="s">
        <v>8167</v>
      </c>
      <c r="B34" s="8" t="s">
        <v>65</v>
      </c>
      <c r="C34" s="8" t="s">
        <v>8168</v>
      </c>
      <c r="D34" s="8" t="s">
        <v>8169</v>
      </c>
      <c r="E34" s="8" t="s">
        <v>8170</v>
      </c>
      <c r="F34" s="8"/>
      <c r="G34" s="8" t="s">
        <v>62</v>
      </c>
      <c r="H34" s="8" t="s">
        <v>63</v>
      </c>
      <c r="I34" s="4" t="n">
        <v>16</v>
      </c>
      <c r="J34" s="8"/>
    </row>
    <row r="35" customFormat="false" ht="15" hidden="false" customHeight="false" outlineLevel="0" collapsed="false">
      <c r="A35" s="4" t="s">
        <v>8171</v>
      </c>
      <c r="B35" s="8" t="s">
        <v>65</v>
      </c>
      <c r="C35" s="8" t="s">
        <v>8168</v>
      </c>
      <c r="D35" s="8" t="s">
        <v>8172</v>
      </c>
      <c r="E35" s="8" t="s">
        <v>8173</v>
      </c>
      <c r="F35" s="8"/>
      <c r="G35" s="8" t="s">
        <v>62</v>
      </c>
      <c r="H35" s="8" t="s">
        <v>63</v>
      </c>
      <c r="I35" s="4" t="n">
        <v>16</v>
      </c>
      <c r="J35" s="8"/>
    </row>
    <row r="36" customFormat="false" ht="15" hidden="false" customHeight="false" outlineLevel="0" collapsed="false">
      <c r="A36" s="4" t="s">
        <v>8174</v>
      </c>
      <c r="B36" s="8" t="s">
        <v>65</v>
      </c>
      <c r="C36" s="8" t="s">
        <v>8175</v>
      </c>
      <c r="D36" s="8" t="s">
        <v>8176</v>
      </c>
      <c r="E36" s="8" t="s">
        <v>8177</v>
      </c>
      <c r="F36" s="8"/>
      <c r="G36" s="8" t="s">
        <v>62</v>
      </c>
      <c r="H36" s="8" t="s">
        <v>63</v>
      </c>
      <c r="I36" s="4" t="n">
        <v>16</v>
      </c>
      <c r="J36" s="8"/>
    </row>
    <row r="37" customFormat="false" ht="15" hidden="false" customHeight="false" outlineLevel="0" collapsed="false">
      <c r="A37" s="4" t="s">
        <v>8178</v>
      </c>
      <c r="B37" s="8" t="s">
        <v>65</v>
      </c>
      <c r="C37" s="8" t="s">
        <v>8175</v>
      </c>
      <c r="D37" s="8" t="s">
        <v>8179</v>
      </c>
      <c r="E37" s="8" t="s">
        <v>8180</v>
      </c>
      <c r="F37" s="8"/>
      <c r="G37" s="8" t="s">
        <v>62</v>
      </c>
      <c r="H37" s="8" t="s">
        <v>63</v>
      </c>
      <c r="I37" s="4" t="n">
        <v>16</v>
      </c>
      <c r="J37" s="8"/>
    </row>
    <row r="38" customFormat="false" ht="15" hidden="false" customHeight="false" outlineLevel="0" collapsed="false">
      <c r="A38" s="4" t="s">
        <v>8181</v>
      </c>
      <c r="B38" s="8" t="s">
        <v>65</v>
      </c>
      <c r="C38" s="8" t="s">
        <v>8175</v>
      </c>
      <c r="D38" s="8" t="s">
        <v>8182</v>
      </c>
      <c r="E38" s="8" t="s">
        <v>8183</v>
      </c>
      <c r="F38" s="8"/>
      <c r="G38" s="8" t="s">
        <v>62</v>
      </c>
      <c r="H38" s="8" t="s">
        <v>63</v>
      </c>
      <c r="I38" s="4" t="n">
        <v>16</v>
      </c>
      <c r="J38" s="8"/>
    </row>
    <row r="39" customFormat="false" ht="15" hidden="false" customHeight="false" outlineLevel="0" collapsed="false">
      <c r="A39" s="4" t="s">
        <v>8184</v>
      </c>
      <c r="B39" s="8" t="s">
        <v>65</v>
      </c>
      <c r="C39" s="8" t="s">
        <v>8175</v>
      </c>
      <c r="D39" s="8" t="s">
        <v>8185</v>
      </c>
      <c r="E39" s="8" t="s">
        <v>8186</v>
      </c>
      <c r="F39" s="8"/>
      <c r="G39" s="8" t="s">
        <v>62</v>
      </c>
      <c r="H39" s="8" t="s">
        <v>63</v>
      </c>
      <c r="I39" s="4" t="n">
        <v>16</v>
      </c>
      <c r="J39" s="8"/>
    </row>
    <row r="40" customFormat="false" ht="15" hidden="false" customHeight="false" outlineLevel="0" collapsed="false">
      <c r="A40" s="4" t="s">
        <v>8187</v>
      </c>
      <c r="B40" s="8" t="s">
        <v>65</v>
      </c>
      <c r="C40" s="8" t="s">
        <v>8175</v>
      </c>
      <c r="D40" s="8" t="s">
        <v>8188</v>
      </c>
      <c r="E40" s="8" t="s">
        <v>8189</v>
      </c>
      <c r="F40" s="8"/>
      <c r="G40" s="8" t="s">
        <v>62</v>
      </c>
      <c r="H40" s="8" t="s">
        <v>63</v>
      </c>
      <c r="I40" s="4" t="n">
        <v>16</v>
      </c>
      <c r="J40" s="8"/>
    </row>
    <row r="41" customFormat="false" ht="15" hidden="false" customHeight="false" outlineLevel="0" collapsed="false">
      <c r="A41" s="4" t="s">
        <v>8190</v>
      </c>
      <c r="B41" s="8" t="s">
        <v>73</v>
      </c>
      <c r="C41" s="8" t="s">
        <v>8067</v>
      </c>
      <c r="D41" s="8" t="s">
        <v>8191</v>
      </c>
      <c r="E41" s="8" t="s">
        <v>8192</v>
      </c>
      <c r="F41" s="8"/>
      <c r="G41" s="8" t="s">
        <v>62</v>
      </c>
      <c r="H41" s="8" t="s">
        <v>63</v>
      </c>
      <c r="I41" s="4" t="n">
        <v>17</v>
      </c>
      <c r="J41" s="8"/>
    </row>
    <row r="42" customFormat="false" ht="15" hidden="false" customHeight="false" outlineLevel="0" collapsed="false">
      <c r="A42" s="4" t="s">
        <v>8193</v>
      </c>
      <c r="B42" s="8" t="s">
        <v>73</v>
      </c>
      <c r="C42" s="8" t="s">
        <v>8090</v>
      </c>
      <c r="D42" s="8" t="s">
        <v>8194</v>
      </c>
      <c r="E42" s="8" t="s">
        <v>8195</v>
      </c>
      <c r="F42" s="8"/>
      <c r="G42" s="8" t="s">
        <v>62</v>
      </c>
      <c r="H42" s="8" t="s">
        <v>63</v>
      </c>
      <c r="I42" s="4" t="n">
        <v>17</v>
      </c>
      <c r="J42" s="8"/>
    </row>
    <row r="43" customFormat="false" ht="15" hidden="false" customHeight="false" outlineLevel="0" collapsed="false">
      <c r="A43" s="4" t="s">
        <v>8196</v>
      </c>
      <c r="B43" s="8" t="s">
        <v>73</v>
      </c>
      <c r="C43" s="8" t="s">
        <v>7095</v>
      </c>
      <c r="D43" s="8" t="s">
        <v>8197</v>
      </c>
      <c r="E43" s="8" t="s">
        <v>8110</v>
      </c>
      <c r="F43" s="8"/>
      <c r="G43" s="8" t="s">
        <v>62</v>
      </c>
      <c r="H43" s="8" t="s">
        <v>63</v>
      </c>
      <c r="I43" s="4" t="n">
        <v>17</v>
      </c>
      <c r="J43" s="8"/>
    </row>
    <row r="44" customFormat="false" ht="15" hidden="false" customHeight="false" outlineLevel="0" collapsed="false">
      <c r="A44" s="4" t="s">
        <v>8198</v>
      </c>
      <c r="B44" s="8" t="s">
        <v>73</v>
      </c>
      <c r="C44" s="8" t="s">
        <v>7095</v>
      </c>
      <c r="D44" s="8" t="s">
        <v>8199</v>
      </c>
      <c r="E44" s="8" t="s">
        <v>8200</v>
      </c>
      <c r="F44" s="8"/>
      <c r="G44" s="8" t="s">
        <v>62</v>
      </c>
      <c r="H44" s="8" t="s">
        <v>63</v>
      </c>
      <c r="I44" s="4" t="n">
        <v>17</v>
      </c>
      <c r="J44" s="8"/>
    </row>
    <row r="45" customFormat="false" ht="15" hidden="false" customHeight="false" outlineLevel="0" collapsed="false">
      <c r="A45" s="4" t="s">
        <v>8201</v>
      </c>
      <c r="B45" s="8" t="s">
        <v>73</v>
      </c>
      <c r="C45" s="8" t="s">
        <v>7095</v>
      </c>
      <c r="D45" s="8" t="s">
        <v>8202</v>
      </c>
      <c r="E45" s="8" t="s">
        <v>8203</v>
      </c>
      <c r="F45" s="8"/>
      <c r="G45" s="8" t="s">
        <v>62</v>
      </c>
      <c r="H45" s="8" t="s">
        <v>63</v>
      </c>
      <c r="I45" s="4" t="n">
        <v>17</v>
      </c>
      <c r="J45" s="8"/>
    </row>
    <row r="46" customFormat="false" ht="15" hidden="false" customHeight="false" outlineLevel="0" collapsed="false">
      <c r="A46" s="4" t="s">
        <v>8204</v>
      </c>
      <c r="B46" s="8" t="s">
        <v>73</v>
      </c>
      <c r="C46" s="8" t="s">
        <v>8144</v>
      </c>
      <c r="D46" s="8" t="s">
        <v>8205</v>
      </c>
      <c r="E46" s="8" t="s">
        <v>8206</v>
      </c>
      <c r="F46" s="8" t="s">
        <v>8207</v>
      </c>
      <c r="G46" s="8" t="s">
        <v>62</v>
      </c>
      <c r="H46" s="8" t="s">
        <v>63</v>
      </c>
      <c r="I46" s="4" t="n">
        <v>17</v>
      </c>
      <c r="J46" s="8"/>
    </row>
    <row r="47" customFormat="false" ht="15" hidden="false" customHeight="false" outlineLevel="0" collapsed="false">
      <c r="A47" s="4" t="s">
        <v>8208</v>
      </c>
      <c r="B47" s="8" t="s">
        <v>73</v>
      </c>
      <c r="C47" s="8" t="s">
        <v>8144</v>
      </c>
      <c r="D47" s="8" t="s">
        <v>8209</v>
      </c>
      <c r="E47" s="8" t="s">
        <v>8210</v>
      </c>
      <c r="F47" s="8" t="s">
        <v>8207</v>
      </c>
      <c r="G47" s="8" t="s">
        <v>62</v>
      </c>
      <c r="H47" s="8" t="s">
        <v>63</v>
      </c>
      <c r="I47" s="4" t="n">
        <v>17</v>
      </c>
      <c r="J47" s="8"/>
    </row>
    <row r="48" customFormat="false" ht="15" hidden="false" customHeight="false" outlineLevel="0" collapsed="false">
      <c r="A48" s="4" t="s">
        <v>8211</v>
      </c>
      <c r="B48" s="8" t="s">
        <v>73</v>
      </c>
      <c r="C48" s="8" t="s">
        <v>8144</v>
      </c>
      <c r="D48" s="8" t="s">
        <v>8212</v>
      </c>
      <c r="E48" s="8" t="s">
        <v>8213</v>
      </c>
      <c r="F48" s="8" t="s">
        <v>8207</v>
      </c>
      <c r="G48" s="8" t="s">
        <v>62</v>
      </c>
      <c r="H48" s="8" t="s">
        <v>63</v>
      </c>
      <c r="I48" s="4" t="n">
        <v>17</v>
      </c>
      <c r="J48" s="8"/>
    </row>
    <row r="49" customFormat="false" ht="15" hidden="false" customHeight="false" outlineLevel="0" collapsed="false">
      <c r="A49" s="4" t="s">
        <v>8214</v>
      </c>
      <c r="B49" s="8" t="s">
        <v>73</v>
      </c>
      <c r="C49" s="8" t="s">
        <v>7001</v>
      </c>
      <c r="D49" s="8" t="s">
        <v>8215</v>
      </c>
      <c r="E49" s="8" t="s">
        <v>8216</v>
      </c>
      <c r="F49" s="8"/>
      <c r="G49" s="8" t="s">
        <v>62</v>
      </c>
      <c r="H49" s="8" t="s">
        <v>63</v>
      </c>
      <c r="I49" s="4" t="n">
        <v>17</v>
      </c>
      <c r="J49" s="8"/>
    </row>
    <row r="50" customFormat="false" ht="15" hidden="false" customHeight="false" outlineLevel="0" collapsed="false">
      <c r="A50" s="4"/>
      <c r="B50" s="8"/>
      <c r="C50" s="8"/>
      <c r="D50" s="8"/>
      <c r="E50" s="8"/>
      <c r="F50" s="8"/>
      <c r="G50" s="8"/>
      <c r="H50" s="8"/>
      <c r="I50" s="4"/>
      <c r="J50" s="8"/>
    </row>
    <row r="51" customFormat="false" ht="15" hidden="false" customHeight="false" outlineLevel="0" collapsed="false">
      <c r="A51" s="4"/>
      <c r="B51" s="8"/>
      <c r="C51" s="8"/>
      <c r="D51" s="8"/>
      <c r="E51" s="8"/>
      <c r="F51" s="8"/>
      <c r="G51" s="8"/>
      <c r="H51" s="8"/>
      <c r="I51" s="4"/>
      <c r="J51" s="8"/>
    </row>
    <row r="52" customFormat="false" ht="15" hidden="false" customHeight="false" outlineLevel="0" collapsed="false">
      <c r="A52" s="4"/>
      <c r="B52" s="8"/>
      <c r="C52" s="8"/>
      <c r="D52" s="8"/>
      <c r="E52" s="8"/>
      <c r="F52" s="8"/>
      <c r="G52" s="8"/>
      <c r="H52" s="8"/>
      <c r="I52" s="4"/>
      <c r="J52" s="8"/>
    </row>
    <row r="53" customFormat="false" ht="15" hidden="false" customHeight="false" outlineLevel="0" collapsed="false">
      <c r="A53" s="4"/>
      <c r="B53" s="8"/>
      <c r="C53" s="8"/>
      <c r="D53" s="8"/>
      <c r="E53" s="8"/>
      <c r="F53" s="8"/>
      <c r="G53" s="8"/>
      <c r="H53" s="8"/>
      <c r="I53" s="4"/>
      <c r="J53" s="8"/>
    </row>
    <row r="54" customFormat="false" ht="15" hidden="false" customHeight="false" outlineLevel="0" collapsed="false">
      <c r="A54" s="4"/>
      <c r="B54" s="8"/>
      <c r="C54" s="8"/>
      <c r="D54" s="8"/>
      <c r="E54" s="8"/>
      <c r="F54" s="8"/>
      <c r="G54" s="8"/>
      <c r="H54" s="8"/>
      <c r="I54" s="4"/>
      <c r="J54" s="8"/>
    </row>
    <row r="55" customFormat="false" ht="15" hidden="false" customHeight="false" outlineLevel="0" collapsed="false">
      <c r="A55" s="4"/>
      <c r="B55" s="8"/>
      <c r="C55" s="8"/>
      <c r="D55" s="8"/>
      <c r="E55" s="8"/>
      <c r="F55" s="8"/>
      <c r="G55" s="8"/>
      <c r="H55" s="8"/>
      <c r="I55" s="4"/>
      <c r="J55" s="8"/>
    </row>
    <row r="56" customFormat="false" ht="15" hidden="false" customHeight="false" outlineLevel="0" collapsed="false">
      <c r="A56" s="4"/>
      <c r="B56" s="8"/>
      <c r="C56" s="8"/>
      <c r="D56" s="8"/>
      <c r="E56" s="8"/>
      <c r="F56" s="8"/>
      <c r="G56" s="8"/>
      <c r="H56" s="8"/>
      <c r="I56" s="4"/>
      <c r="J56" s="8"/>
    </row>
    <row r="57" customFormat="false" ht="15" hidden="false" customHeight="false" outlineLevel="0" collapsed="false">
      <c r="A57" s="4"/>
      <c r="B57" s="8"/>
      <c r="C57" s="8"/>
      <c r="D57" s="8"/>
      <c r="E57" s="8"/>
      <c r="F57" s="8"/>
      <c r="G57" s="8"/>
      <c r="H57" s="8"/>
      <c r="I57" s="4"/>
      <c r="J57" s="8"/>
    </row>
    <row r="58" customFormat="false" ht="15" hidden="false" customHeight="false" outlineLevel="0" collapsed="false">
      <c r="A58" s="4"/>
      <c r="B58" s="8"/>
      <c r="C58" s="8"/>
      <c r="D58" s="8"/>
      <c r="E58" s="8"/>
      <c r="F58" s="8"/>
      <c r="G58" s="8"/>
      <c r="H58" s="8"/>
      <c r="I58" s="4"/>
      <c r="J58" s="8"/>
    </row>
    <row r="59" customFormat="false" ht="15" hidden="false" customHeight="false" outlineLevel="0" collapsed="false">
      <c r="A59" s="4"/>
      <c r="B59" s="8"/>
      <c r="C59" s="8"/>
      <c r="D59" s="8"/>
      <c r="E59" s="8"/>
      <c r="F59" s="8"/>
      <c r="G59" s="8"/>
      <c r="H59" s="8"/>
      <c r="I59" s="4"/>
      <c r="J59" s="8"/>
    </row>
    <row r="60" customFormat="false" ht="15" hidden="false" customHeight="false" outlineLevel="0" collapsed="false">
      <c r="A60" s="4"/>
      <c r="B60" s="8"/>
      <c r="C60" s="8"/>
      <c r="D60" s="8"/>
      <c r="E60" s="8"/>
      <c r="F60" s="8"/>
      <c r="G60" s="8"/>
      <c r="H60" s="8"/>
      <c r="I60" s="4"/>
      <c r="J60" s="8"/>
    </row>
    <row r="61" customFormat="false" ht="15" hidden="false" customHeight="false" outlineLevel="0" collapsed="false">
      <c r="A61" s="4"/>
      <c r="B61" s="8"/>
      <c r="C61" s="8"/>
      <c r="D61" s="8"/>
      <c r="E61" s="8"/>
      <c r="F61" s="8"/>
      <c r="G61" s="8"/>
      <c r="H61" s="8"/>
      <c r="I61" s="4"/>
      <c r="J61" s="8"/>
    </row>
    <row r="62" customFormat="false" ht="15" hidden="false" customHeight="false" outlineLevel="0" collapsed="false">
      <c r="A62" s="4"/>
      <c r="B62" s="8"/>
      <c r="C62" s="8"/>
      <c r="D62" s="8"/>
      <c r="E62" s="8"/>
      <c r="F62" s="8"/>
      <c r="G62" s="8"/>
      <c r="H62" s="8"/>
      <c r="I62" s="4"/>
      <c r="J62" s="8"/>
    </row>
    <row r="63" customFormat="false" ht="15" hidden="false" customHeight="false" outlineLevel="0" collapsed="false">
      <c r="A63" s="4"/>
      <c r="B63" s="8"/>
      <c r="C63" s="8"/>
      <c r="D63" s="8"/>
      <c r="E63" s="8"/>
      <c r="F63" s="8"/>
      <c r="G63" s="8"/>
      <c r="H63" s="8"/>
      <c r="I63" s="4"/>
      <c r="J63" s="8"/>
    </row>
    <row r="64" customFormat="false" ht="15" hidden="false" customHeight="false" outlineLevel="0" collapsed="false">
      <c r="A64" s="4"/>
      <c r="B64" s="8"/>
      <c r="C64" s="8"/>
      <c r="D64" s="8"/>
      <c r="E64" s="8"/>
      <c r="F64" s="8"/>
      <c r="G64" s="8"/>
      <c r="H64" s="8"/>
      <c r="I64" s="4"/>
      <c r="J64" s="8"/>
    </row>
    <row r="65" customFormat="false" ht="15" hidden="false" customHeight="false" outlineLevel="0" collapsed="false">
      <c r="A65" s="4"/>
      <c r="B65" s="8"/>
      <c r="C65" s="8"/>
      <c r="D65" s="8"/>
      <c r="E65" s="8"/>
      <c r="F65" s="8"/>
      <c r="G65" s="8"/>
      <c r="H65" s="8"/>
      <c r="I65" s="4"/>
      <c r="J65" s="8"/>
    </row>
    <row r="66" customFormat="false" ht="15" hidden="false" customHeight="false" outlineLevel="0" collapsed="false">
      <c r="A66" s="4"/>
      <c r="B66" s="8"/>
      <c r="C66" s="8"/>
      <c r="D66" s="8"/>
      <c r="E66" s="8"/>
      <c r="F66" s="8"/>
      <c r="G66" s="8"/>
      <c r="H66" s="8"/>
      <c r="I66" s="4"/>
      <c r="J66" s="8"/>
    </row>
    <row r="67" customFormat="false" ht="15" hidden="false" customHeight="false" outlineLevel="0" collapsed="false">
      <c r="A67" s="4"/>
      <c r="B67" s="8"/>
      <c r="C67" s="8"/>
      <c r="D67" s="8"/>
      <c r="E67" s="8"/>
      <c r="F67" s="8"/>
      <c r="G67" s="8"/>
      <c r="H67" s="8"/>
      <c r="I67" s="4"/>
      <c r="J67" s="8"/>
    </row>
    <row r="68" customFormat="false" ht="15" hidden="false" customHeight="false" outlineLevel="0" collapsed="false">
      <c r="A68" s="4"/>
      <c r="B68" s="8"/>
      <c r="C68" s="8"/>
      <c r="D68" s="8"/>
      <c r="E68" s="8"/>
      <c r="F68" s="8"/>
      <c r="G68" s="8"/>
      <c r="H68" s="8"/>
      <c r="I68" s="4"/>
      <c r="J68" s="8"/>
    </row>
    <row r="69" customFormat="false" ht="15" hidden="false" customHeight="false" outlineLevel="0" collapsed="false">
      <c r="A69" s="4"/>
      <c r="B69" s="8"/>
      <c r="C69" s="8"/>
      <c r="D69" s="8"/>
      <c r="E69" s="8"/>
      <c r="F69" s="8"/>
      <c r="G69" s="8"/>
      <c r="H69" s="8"/>
      <c r="I69" s="4"/>
      <c r="J69" s="8"/>
    </row>
    <row r="70" customFormat="false" ht="15" hidden="false" customHeight="false" outlineLevel="0" collapsed="false">
      <c r="A70" s="4"/>
      <c r="B70" s="8"/>
      <c r="C70" s="8"/>
      <c r="D70" s="8"/>
      <c r="E70" s="8"/>
      <c r="F70" s="8"/>
      <c r="G70" s="8"/>
      <c r="H70" s="8"/>
      <c r="I70" s="4"/>
      <c r="J70" s="8"/>
    </row>
    <row r="71" customFormat="false" ht="15" hidden="false" customHeight="false" outlineLevel="0" collapsed="false">
      <c r="A71" s="4"/>
      <c r="B71" s="8"/>
      <c r="C71" s="8"/>
      <c r="D71" s="8"/>
      <c r="E71" s="8"/>
      <c r="F71" s="8"/>
      <c r="G71" s="8"/>
      <c r="H71" s="8"/>
      <c r="I71" s="4"/>
      <c r="J71" s="8"/>
    </row>
    <row r="72" customFormat="false" ht="15" hidden="false" customHeight="false" outlineLevel="0" collapsed="false">
      <c r="A72" s="4"/>
      <c r="B72" s="8"/>
      <c r="C72" s="8"/>
      <c r="D72" s="8"/>
      <c r="E72" s="8"/>
      <c r="F72" s="8"/>
      <c r="G72" s="8"/>
      <c r="H72" s="8"/>
      <c r="I72" s="4"/>
      <c r="J72" s="8"/>
    </row>
    <row r="73" customFormat="false" ht="15" hidden="false" customHeight="false" outlineLevel="0" collapsed="false">
      <c r="A73" s="4"/>
      <c r="B73" s="8"/>
      <c r="C73" s="8"/>
      <c r="D73" s="8"/>
      <c r="E73" s="8"/>
      <c r="F73" s="8"/>
      <c r="G73" s="8"/>
      <c r="H73" s="8"/>
      <c r="I73" s="4"/>
      <c r="J73" s="8"/>
    </row>
    <row r="74" customFormat="false" ht="15" hidden="false" customHeight="false" outlineLevel="0" collapsed="false">
      <c r="A74" s="4"/>
      <c r="B74" s="8"/>
      <c r="C74" s="8"/>
      <c r="D74" s="8"/>
      <c r="E74" s="8"/>
      <c r="F74" s="8"/>
      <c r="G74" s="8"/>
      <c r="H74" s="8"/>
      <c r="I74" s="4"/>
      <c r="J74" s="8"/>
    </row>
    <row r="75" customFormat="false" ht="15" hidden="false" customHeight="false" outlineLevel="0" collapsed="false">
      <c r="A75" s="4"/>
      <c r="B75" s="8"/>
      <c r="C75" s="8"/>
      <c r="D75" s="8"/>
      <c r="E75" s="8"/>
      <c r="F75" s="8"/>
      <c r="G75" s="8"/>
      <c r="H75" s="8"/>
      <c r="I75" s="4"/>
      <c r="J75" s="8"/>
    </row>
    <row r="76" customFormat="false" ht="15" hidden="false" customHeight="false" outlineLevel="0" collapsed="false">
      <c r="A76" s="4"/>
      <c r="B76" s="8"/>
      <c r="C76" s="8"/>
      <c r="D76" s="8"/>
      <c r="E76" s="8"/>
      <c r="F76" s="8"/>
      <c r="G76" s="8"/>
      <c r="H76" s="8"/>
      <c r="I76" s="4"/>
      <c r="J76" s="8"/>
    </row>
    <row r="77" customFormat="false" ht="15" hidden="false" customHeight="false" outlineLevel="0" collapsed="false">
      <c r="A77" s="4"/>
      <c r="B77" s="8"/>
      <c r="C77" s="8"/>
      <c r="D77" s="8"/>
      <c r="E77" s="8"/>
      <c r="F77" s="8"/>
      <c r="G77" s="8"/>
      <c r="H77" s="8"/>
      <c r="I77" s="4"/>
      <c r="J77" s="8"/>
    </row>
    <row r="78" customFormat="false" ht="15" hidden="false" customHeight="false" outlineLevel="0" collapsed="false">
      <c r="A78" s="4"/>
      <c r="B78" s="8"/>
      <c r="C78" s="8"/>
      <c r="D78" s="8"/>
      <c r="E78" s="8"/>
      <c r="F78" s="8"/>
      <c r="G78" s="8"/>
      <c r="H78" s="8"/>
      <c r="I78" s="4"/>
      <c r="J78" s="8"/>
    </row>
    <row r="79" customFormat="false" ht="15" hidden="false" customHeight="false" outlineLevel="0" collapsed="false">
      <c r="A79" s="4"/>
      <c r="B79" s="8"/>
      <c r="C79" s="8"/>
      <c r="D79" s="8"/>
      <c r="E79" s="8"/>
      <c r="F79" s="8"/>
      <c r="G79" s="8"/>
      <c r="H79" s="8"/>
      <c r="I79" s="4"/>
      <c r="J79" s="8"/>
    </row>
    <row r="80" customFormat="false" ht="15" hidden="false" customHeight="false" outlineLevel="0" collapsed="false">
      <c r="A80" s="4"/>
      <c r="B80" s="8"/>
      <c r="C80" s="8"/>
      <c r="D80" s="8"/>
      <c r="E80" s="8"/>
      <c r="F80" s="8"/>
      <c r="G80" s="8"/>
      <c r="H80" s="8"/>
      <c r="I80" s="4"/>
      <c r="J80" s="8"/>
    </row>
    <row r="81" customFormat="false" ht="15" hidden="false" customHeight="false" outlineLevel="0" collapsed="false">
      <c r="A81" s="4"/>
      <c r="B81" s="8"/>
      <c r="C81" s="8"/>
      <c r="D81" s="8"/>
      <c r="E81" s="8"/>
      <c r="F81" s="8"/>
      <c r="G81" s="8"/>
      <c r="H81" s="8"/>
      <c r="I81" s="4"/>
      <c r="J81" s="8"/>
    </row>
    <row r="82" customFormat="false" ht="15" hidden="false" customHeight="false" outlineLevel="0" collapsed="false">
      <c r="A82" s="4"/>
      <c r="B82" s="8"/>
      <c r="C82" s="8"/>
      <c r="D82" s="8"/>
      <c r="E82" s="8"/>
      <c r="F82" s="8"/>
      <c r="G82" s="8"/>
      <c r="H82" s="8"/>
      <c r="I82" s="4"/>
      <c r="J82" s="8"/>
    </row>
    <row r="83" customFormat="false" ht="15" hidden="false" customHeight="false" outlineLevel="0" collapsed="false">
      <c r="A83" s="4"/>
      <c r="B83" s="8"/>
      <c r="C83" s="8"/>
      <c r="D83" s="8"/>
      <c r="E83" s="8"/>
      <c r="F83" s="8"/>
      <c r="G83" s="8"/>
      <c r="H83" s="8"/>
      <c r="I83" s="4"/>
      <c r="J83" s="8"/>
    </row>
    <row r="84" customFormat="false" ht="15" hidden="false" customHeight="false" outlineLevel="0" collapsed="false">
      <c r="A84" s="4"/>
      <c r="B84" s="8"/>
      <c r="C84" s="8"/>
      <c r="D84" s="8"/>
      <c r="E84" s="8"/>
      <c r="F84" s="8"/>
      <c r="G84" s="8"/>
      <c r="H84" s="8"/>
      <c r="I84" s="4"/>
      <c r="J84" s="8"/>
    </row>
    <row r="85" customFormat="false" ht="15" hidden="false" customHeight="false" outlineLevel="0" collapsed="false">
      <c r="A85" s="4"/>
      <c r="B85" s="8"/>
      <c r="C85" s="8"/>
      <c r="D85" s="8"/>
      <c r="E85" s="8"/>
      <c r="F85" s="8"/>
      <c r="G85" s="8"/>
      <c r="H85" s="8"/>
      <c r="I85" s="4"/>
      <c r="J85" s="8"/>
    </row>
    <row r="86" customFormat="false" ht="15" hidden="false" customHeight="false" outlineLevel="0" collapsed="false">
      <c r="A86" s="4"/>
      <c r="B86" s="8"/>
      <c r="C86" s="8"/>
      <c r="D86" s="8"/>
      <c r="E86" s="8"/>
      <c r="F86" s="8"/>
      <c r="G86" s="8"/>
      <c r="H86" s="8"/>
      <c r="I86" s="4"/>
      <c r="J86" s="8"/>
    </row>
    <row r="87" customFormat="false" ht="15" hidden="false" customHeight="false" outlineLevel="0" collapsed="false">
      <c r="A87" s="4"/>
      <c r="B87" s="8"/>
      <c r="C87" s="8"/>
      <c r="D87" s="8"/>
      <c r="E87" s="8"/>
      <c r="F87" s="8"/>
      <c r="G87" s="8"/>
      <c r="H87" s="8"/>
      <c r="I87" s="4"/>
      <c r="J87" s="8"/>
    </row>
    <row r="88" customFormat="false" ht="15" hidden="false" customHeight="false" outlineLevel="0" collapsed="false">
      <c r="A88" s="4"/>
      <c r="B88" s="8"/>
      <c r="C88" s="8"/>
      <c r="D88" s="8"/>
      <c r="E88" s="8"/>
      <c r="F88" s="8"/>
      <c r="G88" s="8"/>
      <c r="H88" s="8"/>
      <c r="I88" s="4"/>
      <c r="J88" s="8"/>
    </row>
    <row r="89" customFormat="false" ht="15" hidden="false" customHeight="false" outlineLevel="0" collapsed="false">
      <c r="A89" s="4"/>
      <c r="B89" s="8"/>
      <c r="C89" s="8"/>
      <c r="D89" s="8"/>
      <c r="E89" s="8"/>
      <c r="F89" s="8"/>
      <c r="G89" s="8"/>
      <c r="H89" s="8"/>
      <c r="I89" s="4"/>
      <c r="J89" s="8"/>
    </row>
    <row r="90" customFormat="false" ht="15" hidden="false" customHeight="false" outlineLevel="0" collapsed="false">
      <c r="A90" s="4"/>
      <c r="B90" s="8"/>
      <c r="C90" s="8"/>
      <c r="D90" s="8"/>
      <c r="E90" s="8"/>
      <c r="F90" s="8"/>
      <c r="G90" s="8"/>
      <c r="H90" s="8"/>
      <c r="I90" s="4"/>
      <c r="J90" s="8"/>
    </row>
    <row r="91" customFormat="false" ht="15" hidden="false" customHeight="false" outlineLevel="0" collapsed="false">
      <c r="A91" s="4"/>
      <c r="B91" s="8"/>
      <c r="C91" s="8"/>
      <c r="D91" s="8"/>
      <c r="E91" s="8"/>
      <c r="F91" s="8"/>
      <c r="G91" s="8"/>
      <c r="H91" s="8"/>
      <c r="I91" s="4"/>
      <c r="J91" s="8"/>
    </row>
    <row r="92" customFormat="false" ht="15" hidden="false" customHeight="false" outlineLevel="0" collapsed="false">
      <c r="A92" s="4"/>
      <c r="B92" s="8"/>
      <c r="C92" s="8"/>
      <c r="D92" s="8"/>
      <c r="E92" s="8"/>
      <c r="F92" s="8"/>
      <c r="G92" s="8"/>
      <c r="H92" s="8"/>
      <c r="I92" s="4"/>
      <c r="J92" s="8"/>
    </row>
    <row r="93" customFormat="false" ht="15" hidden="false" customHeight="false" outlineLevel="0" collapsed="false">
      <c r="A93" s="4"/>
      <c r="B93" s="8"/>
      <c r="C93" s="8"/>
      <c r="D93" s="8"/>
      <c r="E93" s="8"/>
      <c r="F93" s="8"/>
      <c r="G93" s="8"/>
      <c r="H93" s="8"/>
      <c r="I93" s="4"/>
      <c r="J93" s="8"/>
    </row>
    <row r="94" customFormat="false" ht="15" hidden="false" customHeight="false" outlineLevel="0" collapsed="false">
      <c r="A94" s="4"/>
      <c r="B94" s="8"/>
      <c r="C94" s="8"/>
      <c r="D94" s="8"/>
      <c r="E94" s="8"/>
      <c r="F94" s="8"/>
      <c r="G94" s="8"/>
      <c r="H94" s="8"/>
      <c r="I94" s="4"/>
      <c r="J94" s="8"/>
    </row>
    <row r="95" customFormat="false" ht="15" hidden="false" customHeight="false" outlineLevel="0" collapsed="false">
      <c r="A95" s="4"/>
      <c r="B95" s="8"/>
      <c r="C95" s="8"/>
      <c r="D95" s="8"/>
      <c r="E95" s="8"/>
      <c r="F95" s="8"/>
      <c r="G95" s="8"/>
      <c r="H95" s="8"/>
      <c r="I95" s="4"/>
      <c r="J95" s="8"/>
    </row>
    <row r="96" customFormat="false" ht="15" hidden="false" customHeight="false" outlineLevel="0" collapsed="false">
      <c r="A96" s="4"/>
      <c r="B96" s="8"/>
      <c r="C96" s="8"/>
      <c r="D96" s="8"/>
      <c r="E96" s="8"/>
      <c r="F96" s="8"/>
      <c r="G96" s="8"/>
      <c r="H96" s="8"/>
      <c r="I96" s="4"/>
      <c r="J96" s="8"/>
    </row>
    <row r="97" customFormat="false" ht="15" hidden="false" customHeight="false" outlineLevel="0" collapsed="false">
      <c r="A97" s="4"/>
      <c r="B97" s="8"/>
      <c r="C97" s="8"/>
      <c r="D97" s="8"/>
      <c r="E97" s="8"/>
      <c r="F97" s="8"/>
      <c r="G97" s="8"/>
      <c r="H97" s="8"/>
      <c r="I97" s="4"/>
      <c r="J97" s="8"/>
    </row>
    <row r="98" customFormat="false" ht="15" hidden="false" customHeight="false" outlineLevel="0" collapsed="false">
      <c r="A98" s="4"/>
      <c r="B98" s="8"/>
      <c r="C98" s="8"/>
      <c r="D98" s="8"/>
      <c r="E98" s="8"/>
      <c r="F98" s="8"/>
      <c r="G98" s="8"/>
      <c r="H98" s="8"/>
      <c r="I98" s="4"/>
      <c r="J98" s="8"/>
    </row>
    <row r="99" customFormat="false" ht="15" hidden="false" customHeight="false" outlineLevel="0" collapsed="false">
      <c r="A99" s="4"/>
      <c r="B99" s="8"/>
      <c r="C99" s="8"/>
      <c r="D99" s="8"/>
      <c r="E99" s="8"/>
      <c r="F99" s="8"/>
      <c r="G99" s="8"/>
      <c r="H99" s="8"/>
      <c r="I99" s="4"/>
      <c r="J99" s="8"/>
    </row>
    <row r="100" customFormat="false" ht="15" hidden="false" customHeight="false" outlineLevel="0" collapsed="false">
      <c r="A100" s="4"/>
      <c r="B100" s="8"/>
      <c r="C100" s="8"/>
      <c r="D100" s="8"/>
      <c r="E100" s="8"/>
      <c r="F100" s="8"/>
      <c r="G100" s="8"/>
      <c r="H100" s="8"/>
      <c r="I100" s="4"/>
      <c r="J100" s="8"/>
    </row>
    <row r="101" customFormat="false" ht="15" hidden="false" customHeight="false" outlineLevel="0" collapsed="false">
      <c r="A101" s="4"/>
      <c r="B101" s="8"/>
      <c r="C101" s="8"/>
      <c r="D101" s="8"/>
      <c r="E101" s="8"/>
      <c r="F101" s="8"/>
      <c r="G101" s="8"/>
      <c r="H101" s="8"/>
      <c r="I101" s="4"/>
      <c r="J101" s="8"/>
    </row>
    <row r="102" customFormat="false" ht="15" hidden="false" customHeight="false" outlineLevel="0" collapsed="false">
      <c r="A102" s="4"/>
      <c r="B102" s="8"/>
      <c r="C102" s="8"/>
      <c r="D102" s="8"/>
      <c r="E102" s="8"/>
      <c r="F102" s="8"/>
      <c r="G102" s="8"/>
      <c r="H102" s="8"/>
      <c r="I102" s="4"/>
      <c r="J102" s="8"/>
    </row>
    <row r="103" customFormat="false" ht="15" hidden="false" customHeight="false" outlineLevel="0" collapsed="false">
      <c r="A103" s="4"/>
      <c r="B103" s="8"/>
      <c r="C103" s="8"/>
      <c r="D103" s="8"/>
      <c r="E103" s="8"/>
      <c r="F103" s="8"/>
      <c r="G103" s="8"/>
      <c r="H103" s="8"/>
      <c r="I103" s="4"/>
      <c r="J103" s="8"/>
    </row>
    <row r="104" customFormat="false" ht="15" hidden="false" customHeight="false" outlineLevel="0" collapsed="false">
      <c r="A104" s="4"/>
      <c r="B104" s="8"/>
      <c r="C104" s="8"/>
      <c r="D104" s="8"/>
      <c r="E104" s="8"/>
      <c r="F104" s="8"/>
      <c r="G104" s="8"/>
      <c r="H104" s="8"/>
      <c r="I104" s="4"/>
      <c r="J104" s="8"/>
    </row>
    <row r="105" customFormat="false" ht="15" hidden="false" customHeight="false" outlineLevel="0" collapsed="false">
      <c r="A105" s="4"/>
      <c r="B105" s="8"/>
      <c r="C105" s="8"/>
      <c r="D105" s="8"/>
      <c r="E105" s="8"/>
      <c r="F105" s="8"/>
      <c r="G105" s="8"/>
      <c r="H105" s="8"/>
      <c r="I105" s="4"/>
      <c r="J105" s="8"/>
    </row>
    <row r="106" customFormat="false" ht="15" hidden="false" customHeight="false" outlineLevel="0" collapsed="false">
      <c r="A106" s="4"/>
      <c r="B106" s="8"/>
      <c r="C106" s="8"/>
      <c r="D106" s="8"/>
      <c r="E106" s="8"/>
      <c r="F106" s="8"/>
      <c r="G106" s="8"/>
      <c r="H106" s="8"/>
      <c r="I106" s="4"/>
      <c r="J106" s="8"/>
    </row>
    <row r="107" customFormat="false" ht="15" hidden="false" customHeight="false" outlineLevel="0" collapsed="false">
      <c r="A107" s="4"/>
      <c r="B107" s="8"/>
      <c r="C107" s="8"/>
      <c r="D107" s="8"/>
      <c r="E107" s="8"/>
      <c r="F107" s="8"/>
      <c r="G107" s="8"/>
      <c r="H107" s="8"/>
      <c r="I107" s="4"/>
      <c r="J107" s="8"/>
    </row>
    <row r="108" customFormat="false" ht="15" hidden="false" customHeight="false" outlineLevel="0" collapsed="false">
      <c r="A108" s="4"/>
      <c r="B108" s="8"/>
      <c r="C108" s="8"/>
      <c r="D108" s="8"/>
      <c r="E108" s="8"/>
      <c r="F108" s="8"/>
      <c r="G108" s="8"/>
      <c r="H108" s="8"/>
      <c r="I108" s="4"/>
      <c r="J108" s="8"/>
    </row>
    <row r="109" customFormat="false" ht="15" hidden="false" customHeight="false" outlineLevel="0" collapsed="false">
      <c r="A109" s="4"/>
      <c r="B109" s="8"/>
      <c r="C109" s="8"/>
      <c r="D109" s="8"/>
      <c r="E109" s="8"/>
      <c r="F109" s="8"/>
      <c r="G109" s="8"/>
      <c r="H109" s="8"/>
      <c r="I109" s="4"/>
      <c r="J109" s="8"/>
    </row>
    <row r="110" customFormat="false" ht="15" hidden="false" customHeight="false" outlineLevel="0" collapsed="false">
      <c r="A110" s="4"/>
      <c r="B110" s="8"/>
      <c r="C110" s="8"/>
      <c r="D110" s="8"/>
      <c r="E110" s="8"/>
      <c r="F110" s="8"/>
      <c r="G110" s="8"/>
      <c r="H110" s="8"/>
      <c r="I110" s="4"/>
      <c r="J110" s="8"/>
    </row>
    <row r="111" customFormat="false" ht="15" hidden="false" customHeight="false" outlineLevel="0" collapsed="false">
      <c r="A111" s="4"/>
      <c r="B111" s="8"/>
      <c r="C111" s="8"/>
      <c r="D111" s="8"/>
      <c r="E111" s="8"/>
      <c r="F111" s="8"/>
      <c r="G111" s="8"/>
      <c r="H111" s="8"/>
      <c r="I111" s="4"/>
      <c r="J111" s="8"/>
    </row>
    <row r="112" customFormat="false" ht="15" hidden="false" customHeight="false" outlineLevel="0" collapsed="false">
      <c r="A112" s="4"/>
      <c r="B112" s="8"/>
      <c r="C112" s="8"/>
      <c r="D112" s="8"/>
      <c r="E112" s="8"/>
      <c r="F112" s="8"/>
      <c r="G112" s="8"/>
      <c r="H112" s="8"/>
      <c r="I112" s="4"/>
      <c r="J112" s="8"/>
    </row>
    <row r="113" customFormat="false" ht="15" hidden="false" customHeight="false" outlineLevel="0" collapsed="false">
      <c r="A113" s="4"/>
      <c r="B113" s="8"/>
      <c r="C113" s="8"/>
      <c r="D113" s="8"/>
      <c r="E113" s="8"/>
      <c r="F113" s="8"/>
      <c r="G113" s="8"/>
      <c r="H113" s="8"/>
      <c r="I113" s="4"/>
      <c r="J113" s="8"/>
    </row>
    <row r="114" customFormat="false" ht="15" hidden="false" customHeight="false" outlineLevel="0" collapsed="false">
      <c r="A114" s="4"/>
      <c r="B114" s="8"/>
      <c r="C114" s="8"/>
      <c r="D114" s="8"/>
      <c r="E114" s="8"/>
      <c r="F114" s="8"/>
      <c r="G114" s="8"/>
      <c r="H114" s="8"/>
      <c r="I114" s="4"/>
      <c r="J114" s="8"/>
    </row>
    <row r="115" customFormat="false" ht="15" hidden="false" customHeight="false" outlineLevel="0" collapsed="false">
      <c r="A115" s="4"/>
      <c r="B115" s="8"/>
      <c r="C115" s="8"/>
      <c r="D115" s="8"/>
      <c r="E115" s="8"/>
      <c r="F115" s="8"/>
      <c r="G115" s="8"/>
      <c r="H115" s="8"/>
      <c r="I115" s="4"/>
      <c r="J115" s="8"/>
    </row>
    <row r="116" customFormat="false" ht="15" hidden="false" customHeight="false" outlineLevel="0" collapsed="false">
      <c r="A116" s="4"/>
      <c r="B116" s="8"/>
      <c r="C116" s="8"/>
      <c r="D116" s="8"/>
      <c r="E116" s="8"/>
      <c r="F116" s="8"/>
      <c r="G116" s="8"/>
      <c r="H116" s="8"/>
      <c r="I116" s="4"/>
      <c r="J116" s="8"/>
    </row>
    <row r="117" customFormat="false" ht="15" hidden="false" customHeight="false" outlineLevel="0" collapsed="false">
      <c r="A117" s="4"/>
      <c r="B117" s="8"/>
      <c r="C117" s="8"/>
      <c r="D117" s="8"/>
      <c r="E117" s="8"/>
      <c r="F117" s="8"/>
      <c r="G117" s="8"/>
      <c r="H117" s="8"/>
      <c r="I117" s="4"/>
      <c r="J117" s="8"/>
    </row>
    <row r="118" customFormat="false" ht="15" hidden="false" customHeight="false" outlineLevel="0" collapsed="false">
      <c r="A118" s="4"/>
      <c r="B118" s="8"/>
      <c r="C118" s="8"/>
      <c r="D118" s="8"/>
      <c r="E118" s="8"/>
      <c r="F118" s="8"/>
      <c r="G118" s="8"/>
      <c r="H118" s="8"/>
      <c r="I118" s="4"/>
      <c r="J118" s="8"/>
    </row>
    <row r="119" customFormat="false" ht="15" hidden="false" customHeight="false" outlineLevel="0" collapsed="false">
      <c r="A119" s="4"/>
      <c r="B119" s="8"/>
      <c r="C119" s="8"/>
      <c r="D119" s="8"/>
      <c r="E119" s="8"/>
      <c r="F119" s="8"/>
      <c r="G119" s="8"/>
      <c r="H119" s="8"/>
      <c r="I119" s="4"/>
      <c r="J119" s="8"/>
    </row>
    <row r="120" customFormat="false" ht="15" hidden="false" customHeight="false" outlineLevel="0" collapsed="false">
      <c r="A120" s="4"/>
      <c r="B120" s="8"/>
      <c r="C120" s="8"/>
      <c r="D120" s="8"/>
      <c r="E120" s="8"/>
      <c r="F120" s="8"/>
      <c r="G120" s="8"/>
      <c r="H120" s="8"/>
      <c r="I120" s="4"/>
      <c r="J120" s="8"/>
    </row>
    <row r="121" customFormat="false" ht="15" hidden="false" customHeight="false" outlineLevel="0" collapsed="false">
      <c r="A121" s="4"/>
      <c r="B121" s="8"/>
      <c r="C121" s="8"/>
      <c r="D121" s="8"/>
      <c r="E121" s="8"/>
      <c r="F121" s="8"/>
      <c r="G121" s="8"/>
      <c r="H121" s="8"/>
      <c r="I121" s="4"/>
      <c r="J121" s="8"/>
    </row>
    <row r="122" customFormat="false" ht="15" hidden="false" customHeight="false" outlineLevel="0" collapsed="false">
      <c r="A122" s="4"/>
      <c r="B122" s="8"/>
      <c r="C122" s="8"/>
      <c r="D122" s="8"/>
      <c r="E122" s="8"/>
      <c r="F122" s="8"/>
      <c r="G122" s="8"/>
      <c r="H122" s="8"/>
      <c r="I122" s="4"/>
      <c r="J122" s="8"/>
    </row>
    <row r="123" customFormat="false" ht="15" hidden="false" customHeight="false" outlineLevel="0" collapsed="false">
      <c r="A123" s="4"/>
      <c r="B123" s="8"/>
      <c r="C123" s="8"/>
      <c r="D123" s="8"/>
      <c r="E123" s="8"/>
      <c r="F123" s="8"/>
      <c r="G123" s="8"/>
      <c r="H123" s="8"/>
      <c r="I123" s="4"/>
      <c r="J123" s="8"/>
    </row>
    <row r="124" customFormat="false" ht="15" hidden="false" customHeight="false" outlineLevel="0" collapsed="false">
      <c r="A124" s="4"/>
      <c r="B124" s="8"/>
      <c r="C124" s="8"/>
      <c r="D124" s="8"/>
      <c r="E124" s="8"/>
      <c r="F124" s="8"/>
      <c r="G124" s="8"/>
      <c r="H124" s="8"/>
      <c r="I124" s="4"/>
      <c r="J124" s="8"/>
    </row>
    <row r="125" customFormat="false" ht="15" hidden="false" customHeight="false" outlineLevel="0" collapsed="false">
      <c r="A125" s="4"/>
      <c r="B125" s="8"/>
      <c r="C125" s="8"/>
      <c r="D125" s="8"/>
      <c r="E125" s="8"/>
      <c r="F125" s="8"/>
      <c r="G125" s="8"/>
      <c r="H125" s="8"/>
      <c r="I125" s="4"/>
      <c r="J125" s="8"/>
    </row>
    <row r="126" customFormat="false" ht="15" hidden="false" customHeight="false" outlineLevel="0" collapsed="false">
      <c r="A126" s="4"/>
      <c r="B126" s="8"/>
      <c r="C126" s="8"/>
      <c r="D126" s="8"/>
      <c r="E126" s="8"/>
      <c r="F126" s="8"/>
      <c r="G126" s="8"/>
      <c r="H126" s="8"/>
      <c r="I126" s="4"/>
      <c r="J126" s="8"/>
    </row>
    <row r="127" customFormat="false" ht="15" hidden="false" customHeight="false" outlineLevel="0" collapsed="false">
      <c r="A127" s="4"/>
      <c r="B127" s="8"/>
      <c r="C127" s="8"/>
      <c r="D127" s="8"/>
      <c r="E127" s="8"/>
      <c r="F127" s="8"/>
      <c r="G127" s="8"/>
      <c r="H127" s="8"/>
      <c r="I127" s="4"/>
      <c r="J127" s="8"/>
    </row>
    <row r="128" customFormat="false" ht="15" hidden="false" customHeight="false" outlineLevel="0" collapsed="false">
      <c r="A128" s="4"/>
      <c r="B128" s="8"/>
      <c r="C128" s="8"/>
      <c r="D128" s="8"/>
      <c r="E128" s="8"/>
      <c r="F128" s="8"/>
      <c r="G128" s="8"/>
      <c r="H128" s="8"/>
      <c r="I128" s="4"/>
      <c r="J128" s="8"/>
    </row>
    <row r="129" customFormat="false" ht="15" hidden="false" customHeight="false" outlineLevel="0" collapsed="false">
      <c r="A129" s="4"/>
      <c r="B129" s="8"/>
      <c r="C129" s="8"/>
      <c r="D129" s="8"/>
      <c r="E129" s="8"/>
      <c r="F129" s="8"/>
      <c r="G129" s="8"/>
      <c r="H129" s="8"/>
      <c r="I129" s="4"/>
      <c r="J129" s="8"/>
    </row>
    <row r="130" customFormat="false" ht="15" hidden="false" customHeight="false" outlineLevel="0" collapsed="false">
      <c r="A130" s="4"/>
      <c r="B130" s="8"/>
      <c r="C130" s="8"/>
      <c r="D130" s="8"/>
      <c r="E130" s="8"/>
      <c r="F130" s="8"/>
      <c r="G130" s="8"/>
      <c r="H130" s="8"/>
      <c r="I130" s="4"/>
      <c r="J130" s="8"/>
    </row>
    <row r="131" customFormat="false" ht="15" hidden="false" customHeight="false" outlineLevel="0" collapsed="false">
      <c r="A131" s="4"/>
      <c r="B131" s="8"/>
      <c r="C131" s="8"/>
      <c r="D131" s="8"/>
      <c r="E131" s="8"/>
      <c r="F131" s="8"/>
      <c r="G131" s="8"/>
      <c r="H131" s="8"/>
      <c r="I131" s="4"/>
      <c r="J131" s="8"/>
    </row>
    <row r="132" customFormat="false" ht="15" hidden="false" customHeight="false" outlineLevel="0" collapsed="false">
      <c r="A132" s="4"/>
      <c r="B132" s="8"/>
      <c r="C132" s="8"/>
      <c r="D132" s="8"/>
      <c r="E132" s="8"/>
      <c r="F132" s="8"/>
      <c r="G132" s="8"/>
      <c r="H132" s="8"/>
      <c r="I132" s="4"/>
      <c r="J132" s="8"/>
    </row>
    <row r="133" customFormat="false" ht="15" hidden="false" customHeight="false" outlineLevel="0" collapsed="false">
      <c r="A133" s="4"/>
      <c r="B133" s="8"/>
      <c r="C133" s="8"/>
      <c r="D133" s="8"/>
      <c r="E133" s="8"/>
      <c r="F133" s="8"/>
      <c r="G133" s="8"/>
      <c r="H133" s="8"/>
      <c r="I133" s="4"/>
      <c r="J133" s="8"/>
    </row>
    <row r="134" customFormat="false" ht="15" hidden="false" customHeight="false" outlineLevel="0" collapsed="false">
      <c r="A134" s="4"/>
      <c r="B134" s="8"/>
      <c r="C134" s="8"/>
      <c r="D134" s="8"/>
      <c r="E134" s="8"/>
      <c r="F134" s="8"/>
      <c r="G134" s="8"/>
      <c r="H134" s="8"/>
      <c r="I134" s="4"/>
      <c r="J134" s="8"/>
    </row>
    <row r="135" customFormat="false" ht="15" hidden="false" customHeight="false" outlineLevel="0" collapsed="false">
      <c r="A135" s="4"/>
      <c r="B135" s="8"/>
      <c r="C135" s="8"/>
      <c r="D135" s="8"/>
      <c r="E135" s="8"/>
      <c r="F135" s="8"/>
      <c r="G135" s="8"/>
      <c r="H135" s="8"/>
      <c r="I135" s="4"/>
      <c r="J135" s="8"/>
    </row>
    <row r="136" customFormat="false" ht="15" hidden="false" customHeight="false" outlineLevel="0" collapsed="false">
      <c r="A136" s="4"/>
      <c r="B136" s="8"/>
      <c r="C136" s="8"/>
      <c r="D136" s="8"/>
      <c r="E136" s="8"/>
      <c r="F136" s="8"/>
      <c r="G136" s="8"/>
      <c r="H136" s="8"/>
      <c r="I136" s="4"/>
      <c r="J136" s="8"/>
    </row>
    <row r="137" customFormat="false" ht="15" hidden="false" customHeight="false" outlineLevel="0" collapsed="false">
      <c r="A137" s="4"/>
      <c r="B137" s="8"/>
      <c r="C137" s="8"/>
      <c r="D137" s="8"/>
      <c r="E137" s="8"/>
      <c r="F137" s="8"/>
      <c r="G137" s="8"/>
      <c r="H137" s="8"/>
      <c r="I137" s="4"/>
      <c r="J137" s="8"/>
    </row>
    <row r="138" customFormat="false" ht="15" hidden="false" customHeight="false" outlineLevel="0" collapsed="false">
      <c r="A138" s="4"/>
      <c r="B138" s="8"/>
      <c r="C138" s="8"/>
      <c r="D138" s="8"/>
      <c r="E138" s="8"/>
      <c r="F138" s="8"/>
      <c r="G138" s="8"/>
      <c r="H138" s="8"/>
      <c r="I138" s="4"/>
      <c r="J138" s="8"/>
    </row>
    <row r="139" customFormat="false" ht="15" hidden="false" customHeight="false" outlineLevel="0" collapsed="false">
      <c r="A139" s="4"/>
      <c r="B139" s="8"/>
      <c r="C139" s="8"/>
      <c r="D139" s="8"/>
      <c r="E139" s="8"/>
      <c r="F139" s="8"/>
      <c r="G139" s="8"/>
      <c r="H139" s="8"/>
      <c r="I139" s="4"/>
      <c r="J139" s="8"/>
    </row>
    <row r="140" customFormat="false" ht="15" hidden="false" customHeight="false" outlineLevel="0" collapsed="false">
      <c r="A140" s="4"/>
      <c r="B140" s="8"/>
      <c r="C140" s="8"/>
      <c r="D140" s="8"/>
      <c r="E140" s="8"/>
      <c r="F140" s="8"/>
      <c r="G140" s="8"/>
      <c r="H140" s="8"/>
      <c r="I140" s="4"/>
      <c r="J140" s="8"/>
    </row>
    <row r="141" customFormat="false" ht="15" hidden="false" customHeight="false" outlineLevel="0" collapsed="false">
      <c r="A141" s="4"/>
      <c r="B141" s="8"/>
      <c r="C141" s="8"/>
      <c r="D141" s="8"/>
      <c r="E141" s="8"/>
      <c r="F141" s="8"/>
      <c r="G141" s="8"/>
      <c r="H141" s="8"/>
      <c r="I141" s="4"/>
      <c r="J141" s="8"/>
    </row>
    <row r="142" customFormat="false" ht="15" hidden="false" customHeight="false" outlineLevel="0" collapsed="false">
      <c r="A142" s="4"/>
      <c r="B142" s="8"/>
      <c r="C142" s="8"/>
      <c r="D142" s="8"/>
      <c r="E142" s="8"/>
      <c r="F142" s="8"/>
      <c r="G142" s="8"/>
      <c r="H142" s="8"/>
      <c r="I142" s="4"/>
      <c r="J142" s="8"/>
    </row>
    <row r="143" customFormat="false" ht="15" hidden="false" customHeight="false" outlineLevel="0" collapsed="false">
      <c r="A143" s="4"/>
      <c r="B143" s="8"/>
      <c r="C143" s="8"/>
      <c r="D143" s="8"/>
      <c r="E143" s="8"/>
      <c r="F143" s="8"/>
      <c r="G143" s="8"/>
      <c r="H143" s="8"/>
      <c r="I143" s="4"/>
      <c r="J143" s="8"/>
    </row>
    <row r="144" customFormat="false" ht="15" hidden="false" customHeight="false" outlineLevel="0" collapsed="false">
      <c r="A144" s="4"/>
      <c r="B144" s="8"/>
      <c r="C144" s="8"/>
      <c r="D144" s="8"/>
      <c r="E144" s="8"/>
      <c r="F144" s="8"/>
      <c r="G144" s="8"/>
      <c r="H144" s="8"/>
      <c r="I144" s="4"/>
      <c r="J144" s="8"/>
    </row>
    <row r="145" customFormat="false" ht="15" hidden="false" customHeight="false" outlineLevel="0" collapsed="false">
      <c r="A145" s="4"/>
      <c r="B145" s="8"/>
      <c r="C145" s="8"/>
      <c r="D145" s="8"/>
      <c r="E145" s="8"/>
      <c r="F145" s="8"/>
      <c r="G145" s="8"/>
      <c r="H145" s="8"/>
      <c r="I145" s="4"/>
      <c r="J145" s="8"/>
    </row>
    <row r="146" customFormat="false" ht="15" hidden="false" customHeight="false" outlineLevel="0" collapsed="false">
      <c r="A146" s="4"/>
      <c r="B146" s="8"/>
      <c r="C146" s="8"/>
      <c r="D146" s="8"/>
      <c r="E146" s="8"/>
      <c r="F146" s="8"/>
      <c r="G146" s="8"/>
      <c r="H146" s="8"/>
      <c r="I146" s="4"/>
      <c r="J146" s="8"/>
    </row>
    <row r="147" customFormat="false" ht="15" hidden="false" customHeight="false" outlineLevel="0" collapsed="false">
      <c r="A147" s="4"/>
      <c r="B147" s="8"/>
      <c r="C147" s="8"/>
      <c r="D147" s="8"/>
      <c r="E147" s="8"/>
      <c r="F147" s="8"/>
      <c r="G147" s="8"/>
      <c r="H147" s="8"/>
      <c r="I147" s="4"/>
      <c r="J147" s="8"/>
    </row>
    <row r="148" customFormat="false" ht="15" hidden="false" customHeight="false" outlineLevel="0" collapsed="false">
      <c r="A148" s="4"/>
      <c r="B148" s="8"/>
      <c r="C148" s="8"/>
      <c r="D148" s="8"/>
      <c r="E148" s="8"/>
      <c r="F148" s="8"/>
      <c r="G148" s="8"/>
      <c r="H148" s="8"/>
      <c r="I148" s="4"/>
      <c r="J148" s="8"/>
    </row>
    <row r="149" customFormat="false" ht="15" hidden="false" customHeight="false" outlineLevel="0" collapsed="false">
      <c r="A149" s="4"/>
      <c r="B149" s="8"/>
      <c r="C149" s="8"/>
      <c r="D149" s="8"/>
      <c r="E149" s="8"/>
      <c r="F149" s="8"/>
      <c r="G149" s="8"/>
      <c r="H149" s="8"/>
      <c r="I149" s="4"/>
      <c r="J149" s="8"/>
    </row>
    <row r="150" customFormat="false" ht="15" hidden="false" customHeight="false" outlineLevel="0" collapsed="false">
      <c r="A150" s="4"/>
      <c r="B150" s="8"/>
      <c r="C150" s="8"/>
      <c r="D150" s="8"/>
      <c r="E150" s="8"/>
      <c r="F150" s="8"/>
      <c r="G150" s="8"/>
      <c r="H150" s="8"/>
      <c r="I150" s="4"/>
      <c r="J150" s="8"/>
    </row>
    <row r="151" customFormat="false" ht="15" hidden="false" customHeight="false" outlineLevel="0" collapsed="false">
      <c r="A151" s="4"/>
      <c r="B151" s="8"/>
      <c r="C151" s="8"/>
      <c r="D151" s="8"/>
      <c r="E151" s="8"/>
      <c r="F151" s="8"/>
      <c r="G151" s="8"/>
      <c r="H151" s="8"/>
      <c r="I151" s="4"/>
      <c r="J151" s="8"/>
    </row>
    <row r="152" customFormat="false" ht="15" hidden="false" customHeight="false" outlineLevel="0" collapsed="false">
      <c r="A152" s="4"/>
      <c r="B152" s="8"/>
      <c r="C152" s="8"/>
      <c r="D152" s="8"/>
      <c r="E152" s="8"/>
      <c r="F152" s="8"/>
      <c r="G152" s="8"/>
      <c r="H152" s="8"/>
      <c r="I152" s="4"/>
      <c r="J152" s="8"/>
    </row>
    <row r="153" customFormat="false" ht="15" hidden="false" customHeight="false" outlineLevel="0" collapsed="false">
      <c r="A153" s="4"/>
      <c r="B153" s="8"/>
      <c r="C153" s="8"/>
      <c r="D153" s="8"/>
      <c r="E153" s="8"/>
      <c r="F153" s="8"/>
      <c r="G153" s="8"/>
      <c r="H153" s="8"/>
      <c r="I153" s="4"/>
      <c r="J153" s="8"/>
    </row>
    <row r="154" customFormat="false" ht="15" hidden="false" customHeight="false" outlineLevel="0" collapsed="false">
      <c r="A154" s="4"/>
      <c r="B154" s="8"/>
      <c r="C154" s="8"/>
      <c r="D154" s="8"/>
      <c r="E154" s="8"/>
      <c r="F154" s="8"/>
      <c r="G154" s="8"/>
      <c r="H154" s="8"/>
      <c r="I154" s="4"/>
      <c r="J154" s="8"/>
    </row>
    <row r="155" customFormat="false" ht="15" hidden="false" customHeight="false" outlineLevel="0" collapsed="false">
      <c r="A155" s="4"/>
      <c r="B155" s="8"/>
      <c r="C155" s="8"/>
      <c r="D155" s="8"/>
      <c r="E155" s="8"/>
      <c r="F155" s="8"/>
      <c r="G155" s="8"/>
      <c r="H155" s="8"/>
      <c r="I155" s="4"/>
      <c r="J155" s="8"/>
    </row>
    <row r="156" customFormat="false" ht="15" hidden="false" customHeight="false" outlineLevel="0" collapsed="false">
      <c r="A156" s="4"/>
      <c r="B156" s="8"/>
      <c r="C156" s="8"/>
      <c r="D156" s="8"/>
      <c r="E156" s="8"/>
      <c r="F156" s="8"/>
      <c r="G156" s="8"/>
      <c r="H156" s="8"/>
      <c r="I156" s="4"/>
      <c r="J156" s="8"/>
    </row>
    <row r="157" customFormat="false" ht="15" hidden="false" customHeight="false" outlineLevel="0" collapsed="false">
      <c r="A157" s="4"/>
      <c r="B157" s="8"/>
      <c r="C157" s="8"/>
      <c r="D157" s="8"/>
      <c r="E157" s="8"/>
      <c r="F157" s="8"/>
      <c r="G157" s="8"/>
      <c r="H157" s="8"/>
      <c r="I157" s="4"/>
      <c r="J157" s="8"/>
    </row>
    <row r="158" customFormat="false" ht="15" hidden="false" customHeight="false" outlineLevel="0" collapsed="false">
      <c r="A158" s="4"/>
      <c r="B158" s="8"/>
      <c r="C158" s="8"/>
      <c r="D158" s="8"/>
      <c r="E158" s="8"/>
      <c r="F158" s="8"/>
      <c r="G158" s="8"/>
      <c r="H158" s="8"/>
      <c r="I158" s="4"/>
      <c r="J158" s="8"/>
    </row>
    <row r="159" customFormat="false" ht="15" hidden="false" customHeight="false" outlineLevel="0" collapsed="false">
      <c r="A159" s="4"/>
      <c r="B159" s="8"/>
      <c r="C159" s="8"/>
      <c r="D159" s="8"/>
      <c r="E159" s="8"/>
      <c r="F159" s="8"/>
      <c r="G159" s="8"/>
      <c r="H159" s="8"/>
      <c r="I159" s="4"/>
      <c r="J159" s="8"/>
    </row>
    <row r="160" customFormat="false" ht="15" hidden="false" customHeight="false" outlineLevel="0" collapsed="false">
      <c r="A160" s="4"/>
      <c r="B160" s="8"/>
      <c r="C160" s="8"/>
      <c r="D160" s="8"/>
      <c r="E160" s="8"/>
      <c r="F160" s="8"/>
      <c r="G160" s="8"/>
      <c r="H160" s="8"/>
      <c r="I160" s="4"/>
      <c r="J160" s="8"/>
    </row>
    <row r="161" customFormat="false" ht="15" hidden="false" customHeight="false" outlineLevel="0" collapsed="false">
      <c r="A161" s="4"/>
      <c r="B161" s="8"/>
      <c r="C161" s="8"/>
      <c r="D161" s="8"/>
      <c r="E161" s="8"/>
      <c r="F161" s="8"/>
      <c r="G161" s="8"/>
      <c r="H161" s="8"/>
      <c r="I161" s="4"/>
      <c r="J161" s="8"/>
    </row>
    <row r="162" customFormat="false" ht="15" hidden="false" customHeight="false" outlineLevel="0" collapsed="false">
      <c r="A162" s="4"/>
      <c r="B162" s="8"/>
      <c r="C162" s="8"/>
      <c r="D162" s="8"/>
      <c r="E162" s="8"/>
      <c r="F162" s="8"/>
      <c r="G162" s="8"/>
      <c r="H162" s="8"/>
      <c r="I162" s="4"/>
      <c r="J162" s="8"/>
    </row>
    <row r="163" customFormat="false" ht="15" hidden="false" customHeight="false" outlineLevel="0" collapsed="false">
      <c r="A163" s="4"/>
      <c r="B163" s="8"/>
      <c r="C163" s="8"/>
      <c r="D163" s="8"/>
      <c r="E163" s="8"/>
      <c r="F163" s="8"/>
      <c r="G163" s="8"/>
      <c r="H163" s="8"/>
      <c r="I163" s="4"/>
      <c r="J163" s="8"/>
    </row>
    <row r="164" customFormat="false" ht="15" hidden="false" customHeight="false" outlineLevel="0" collapsed="false">
      <c r="A164" s="4"/>
      <c r="B164" s="8"/>
      <c r="C164" s="8"/>
      <c r="D164" s="8"/>
      <c r="E164" s="8"/>
      <c r="F164" s="8"/>
      <c r="G164" s="8"/>
      <c r="H164" s="8"/>
      <c r="I164" s="4"/>
      <c r="J164" s="8"/>
    </row>
    <row r="165" customFormat="false" ht="15" hidden="false" customHeight="false" outlineLevel="0" collapsed="false">
      <c r="A165" s="4"/>
      <c r="B165" s="8"/>
      <c r="C165" s="8"/>
      <c r="D165" s="8"/>
      <c r="E165" s="8"/>
      <c r="F165" s="8"/>
      <c r="G165" s="8"/>
      <c r="H165" s="8"/>
      <c r="I165" s="4"/>
      <c r="J165" s="8"/>
    </row>
    <row r="166" customFormat="false" ht="15" hidden="false" customHeight="false" outlineLevel="0" collapsed="false">
      <c r="A166" s="4"/>
      <c r="B166" s="8"/>
      <c r="C166" s="8"/>
      <c r="D166" s="8"/>
      <c r="E166" s="8"/>
      <c r="F166" s="8"/>
      <c r="G166" s="8"/>
      <c r="H166" s="8"/>
      <c r="I166" s="4"/>
      <c r="J166" s="8"/>
    </row>
    <row r="167" customFormat="false" ht="15" hidden="false" customHeight="false" outlineLevel="0" collapsed="false">
      <c r="A167" s="4"/>
      <c r="B167" s="8"/>
      <c r="C167" s="8"/>
      <c r="D167" s="8"/>
      <c r="E167" s="8"/>
      <c r="F167" s="8"/>
      <c r="G167" s="8"/>
      <c r="H167" s="8"/>
      <c r="I167" s="4"/>
      <c r="J167" s="8"/>
    </row>
    <row r="168" customFormat="false" ht="15" hidden="false" customHeight="false" outlineLevel="0" collapsed="false">
      <c r="A168" s="4"/>
      <c r="B168" s="8"/>
      <c r="C168" s="8"/>
      <c r="D168" s="8"/>
      <c r="E168" s="8"/>
      <c r="F168" s="8"/>
      <c r="G168" s="8"/>
      <c r="H168" s="8"/>
      <c r="I168" s="4"/>
      <c r="J168" s="8"/>
    </row>
    <row r="169" customFormat="false" ht="15" hidden="false" customHeight="false" outlineLevel="0" collapsed="false">
      <c r="A169" s="4"/>
      <c r="B169" s="8"/>
      <c r="C169" s="8"/>
      <c r="D169" s="8"/>
      <c r="E169" s="8"/>
      <c r="F169" s="8"/>
      <c r="G169" s="8"/>
      <c r="H169" s="8"/>
      <c r="I169" s="4"/>
      <c r="J169" s="8"/>
    </row>
    <row r="170" customFormat="false" ht="15" hidden="false" customHeight="false" outlineLevel="0" collapsed="false">
      <c r="A170" s="4"/>
      <c r="B170" s="8"/>
      <c r="C170" s="8"/>
      <c r="D170" s="8"/>
      <c r="E170" s="8"/>
      <c r="F170" s="8"/>
      <c r="G170" s="8"/>
      <c r="H170" s="8"/>
      <c r="I170" s="4"/>
      <c r="J170" s="8"/>
    </row>
    <row r="171" customFormat="false" ht="15" hidden="false" customHeight="false" outlineLevel="0" collapsed="false">
      <c r="A171" s="4"/>
      <c r="B171" s="8"/>
      <c r="C171" s="8"/>
      <c r="D171" s="8"/>
      <c r="E171" s="8"/>
      <c r="F171" s="8"/>
      <c r="G171" s="8"/>
      <c r="H171" s="8"/>
      <c r="I171" s="4"/>
      <c r="J171" s="8"/>
    </row>
    <row r="172" customFormat="false" ht="15" hidden="false" customHeight="false" outlineLevel="0" collapsed="false">
      <c r="A172" s="4"/>
      <c r="B172" s="8"/>
      <c r="C172" s="8"/>
      <c r="D172" s="8"/>
      <c r="E172" s="8"/>
      <c r="F172" s="8"/>
      <c r="G172" s="8"/>
      <c r="H172" s="8"/>
      <c r="I172" s="4"/>
      <c r="J172" s="8"/>
    </row>
    <row r="173" customFormat="false" ht="15" hidden="false" customHeight="false" outlineLevel="0" collapsed="false">
      <c r="A173" s="4"/>
      <c r="B173" s="8"/>
      <c r="C173" s="8"/>
      <c r="D173" s="8"/>
      <c r="E173" s="8"/>
      <c r="F173" s="8"/>
      <c r="G173" s="8"/>
      <c r="H173" s="8"/>
      <c r="I173" s="4"/>
      <c r="J173" s="8"/>
    </row>
    <row r="174" customFormat="false" ht="15" hidden="false" customHeight="false" outlineLevel="0" collapsed="false">
      <c r="A174" s="4"/>
      <c r="B174" s="8"/>
      <c r="C174" s="8"/>
      <c r="D174" s="8"/>
      <c r="E174" s="8"/>
      <c r="F174" s="8"/>
      <c r="G174" s="8"/>
      <c r="H174" s="8"/>
      <c r="I174" s="4"/>
      <c r="J174" s="8"/>
    </row>
    <row r="175" customFormat="false" ht="15" hidden="false" customHeight="false" outlineLevel="0" collapsed="false">
      <c r="A175" s="4"/>
      <c r="B175" s="8"/>
      <c r="C175" s="8"/>
      <c r="D175" s="8"/>
      <c r="E175" s="8"/>
      <c r="F175" s="8"/>
      <c r="G175" s="8"/>
      <c r="H175" s="8"/>
      <c r="I175" s="4"/>
      <c r="J175" s="8"/>
    </row>
    <row r="176" customFormat="false" ht="15" hidden="false" customHeight="false" outlineLevel="0" collapsed="false">
      <c r="A176" s="4"/>
      <c r="B176" s="8"/>
      <c r="C176" s="8"/>
      <c r="D176" s="8"/>
      <c r="E176" s="8"/>
      <c r="F176" s="8"/>
      <c r="G176" s="8"/>
      <c r="H176" s="8"/>
      <c r="I176" s="4"/>
      <c r="J176" s="8"/>
    </row>
    <row r="177" customFormat="false" ht="15" hidden="false" customHeight="false" outlineLevel="0" collapsed="false">
      <c r="A177" s="4"/>
      <c r="B177" s="8"/>
      <c r="C177" s="8"/>
      <c r="D177" s="8"/>
      <c r="E177" s="8"/>
      <c r="F177" s="8"/>
      <c r="G177" s="8"/>
      <c r="H177" s="8"/>
      <c r="I177" s="4"/>
      <c r="J177" s="8"/>
    </row>
    <row r="178" customFormat="false" ht="15" hidden="false" customHeight="false" outlineLevel="0" collapsed="false">
      <c r="A178" s="4"/>
      <c r="B178" s="8"/>
      <c r="C178" s="8"/>
      <c r="D178" s="8"/>
      <c r="E178" s="8"/>
      <c r="F178" s="8"/>
      <c r="G178" s="8"/>
      <c r="H178" s="8"/>
      <c r="I178" s="4"/>
      <c r="J178" s="8"/>
    </row>
    <row r="179" customFormat="false" ht="15" hidden="false" customHeight="false" outlineLevel="0" collapsed="false">
      <c r="A179" s="4"/>
      <c r="B179" s="8"/>
      <c r="C179" s="8"/>
      <c r="D179" s="8"/>
      <c r="E179" s="8"/>
      <c r="F179" s="8"/>
      <c r="G179" s="8"/>
      <c r="H179" s="8"/>
      <c r="I179" s="4"/>
      <c r="J179" s="8"/>
    </row>
    <row r="180" customFormat="false" ht="15" hidden="false" customHeight="false" outlineLevel="0" collapsed="false">
      <c r="A180" s="4"/>
      <c r="B180" s="8"/>
      <c r="C180" s="8"/>
      <c r="D180" s="8"/>
      <c r="E180" s="8"/>
      <c r="F180" s="8"/>
      <c r="G180" s="8"/>
      <c r="H180" s="8"/>
      <c r="I180" s="4"/>
      <c r="J180" s="8"/>
    </row>
    <row r="181" customFormat="false" ht="15" hidden="false" customHeight="false" outlineLevel="0" collapsed="false">
      <c r="A181" s="4"/>
      <c r="B181" s="8"/>
      <c r="C181" s="8"/>
      <c r="D181" s="8"/>
      <c r="E181" s="8"/>
      <c r="F181" s="8"/>
      <c r="G181" s="8"/>
      <c r="H181" s="8"/>
      <c r="I181" s="4"/>
      <c r="J181" s="8"/>
    </row>
    <row r="182" customFormat="false" ht="15" hidden="false" customHeight="false" outlineLevel="0" collapsed="false">
      <c r="A182" s="4"/>
      <c r="B182" s="8"/>
      <c r="C182" s="8"/>
      <c r="D182" s="8"/>
      <c r="E182" s="8"/>
      <c r="F182" s="8"/>
      <c r="G182" s="8"/>
      <c r="H182" s="8"/>
      <c r="I182" s="4"/>
      <c r="J182" s="8"/>
    </row>
    <row r="183" customFormat="false" ht="15" hidden="false" customHeight="false" outlineLevel="0" collapsed="false">
      <c r="A183" s="4"/>
      <c r="B183" s="8"/>
      <c r="C183" s="8"/>
      <c r="D183" s="8"/>
      <c r="E183" s="8"/>
      <c r="F183" s="8"/>
      <c r="G183" s="8"/>
      <c r="H183" s="8"/>
      <c r="I183" s="4"/>
      <c r="J183" s="8"/>
    </row>
    <row r="184" customFormat="false" ht="15" hidden="false" customHeight="false" outlineLevel="0" collapsed="false">
      <c r="A184" s="4"/>
      <c r="B184" s="8"/>
      <c r="C184" s="8"/>
      <c r="D184" s="8"/>
      <c r="E184" s="8"/>
      <c r="F184" s="8"/>
      <c r="G184" s="8"/>
      <c r="H184" s="8"/>
      <c r="I184" s="4"/>
      <c r="J184" s="8"/>
    </row>
    <row r="185" customFormat="false" ht="15" hidden="false" customHeight="false" outlineLevel="0" collapsed="false">
      <c r="A185" s="4"/>
      <c r="B185" s="8"/>
      <c r="C185" s="8"/>
      <c r="D185" s="8"/>
      <c r="E185" s="8"/>
      <c r="F185" s="8"/>
      <c r="G185" s="8"/>
      <c r="H185" s="8"/>
      <c r="I185" s="4"/>
      <c r="J185" s="8"/>
    </row>
    <row r="186" customFormat="false" ht="15" hidden="false" customHeight="false" outlineLevel="0" collapsed="false">
      <c r="A186" s="4"/>
      <c r="B186" s="8"/>
      <c r="C186" s="8"/>
      <c r="D186" s="8"/>
      <c r="E186" s="8"/>
      <c r="F186" s="8"/>
      <c r="G186" s="8"/>
      <c r="H186" s="8"/>
      <c r="I186" s="4"/>
      <c r="J186" s="8"/>
    </row>
    <row r="187" customFormat="false" ht="15" hidden="false" customHeight="false" outlineLevel="0" collapsed="false">
      <c r="A187" s="4"/>
      <c r="B187" s="8"/>
      <c r="C187" s="8"/>
      <c r="D187" s="8"/>
      <c r="E187" s="8"/>
      <c r="F187" s="8"/>
      <c r="G187" s="8"/>
      <c r="H187" s="8"/>
      <c r="I187" s="4"/>
      <c r="J187" s="8"/>
    </row>
    <row r="188" customFormat="false" ht="15" hidden="false" customHeight="false" outlineLevel="0" collapsed="false">
      <c r="A188" s="4"/>
      <c r="B188" s="8"/>
      <c r="C188" s="8"/>
      <c r="D188" s="8"/>
      <c r="E188" s="8"/>
      <c r="F188" s="8"/>
      <c r="G188" s="8"/>
      <c r="H188" s="8"/>
      <c r="I188" s="4"/>
      <c r="J188" s="8"/>
    </row>
    <row r="189" customFormat="false" ht="15" hidden="false" customHeight="false" outlineLevel="0" collapsed="false">
      <c r="A189" s="4"/>
      <c r="B189" s="8"/>
      <c r="C189" s="8"/>
      <c r="D189" s="8"/>
      <c r="E189" s="8"/>
      <c r="F189" s="8"/>
      <c r="G189" s="8"/>
      <c r="H189" s="8"/>
      <c r="I189" s="4"/>
      <c r="J189" s="8"/>
    </row>
    <row r="190" customFormat="false" ht="15" hidden="false" customHeight="false" outlineLevel="0" collapsed="false">
      <c r="A190" s="4"/>
      <c r="B190" s="8"/>
      <c r="C190" s="8"/>
      <c r="D190" s="8"/>
      <c r="E190" s="8"/>
      <c r="F190" s="8"/>
      <c r="G190" s="8"/>
      <c r="H190" s="8"/>
      <c r="I190" s="4"/>
      <c r="J190" s="8"/>
    </row>
    <row r="191" customFormat="false" ht="15" hidden="false" customHeight="false" outlineLevel="0" collapsed="false">
      <c r="A191" s="4"/>
      <c r="B191" s="8"/>
      <c r="C191" s="8"/>
      <c r="D191" s="8"/>
      <c r="E191" s="8"/>
      <c r="F191" s="8"/>
      <c r="G191" s="8"/>
      <c r="H191" s="8"/>
      <c r="I191" s="4"/>
      <c r="J191" s="8"/>
    </row>
    <row r="192" customFormat="false" ht="15" hidden="false" customHeight="false" outlineLevel="0" collapsed="false">
      <c r="A192" s="4"/>
      <c r="B192" s="8"/>
      <c r="C192" s="8"/>
      <c r="D192" s="8"/>
      <c r="E192" s="8"/>
      <c r="F192" s="8"/>
      <c r="G192" s="8"/>
      <c r="H192" s="8"/>
      <c r="I192" s="4"/>
      <c r="J192" s="8"/>
    </row>
    <row r="193" customFormat="false" ht="15" hidden="false" customHeight="false" outlineLevel="0" collapsed="false">
      <c r="A193" s="4"/>
      <c r="B193" s="8"/>
      <c r="C193" s="8"/>
      <c r="D193" s="8"/>
      <c r="E193" s="8"/>
      <c r="F193" s="8"/>
      <c r="G193" s="8"/>
      <c r="H193" s="8"/>
      <c r="I193" s="4"/>
      <c r="J193" s="8"/>
    </row>
    <row r="194" customFormat="false" ht="15" hidden="false" customHeight="false" outlineLevel="0" collapsed="false">
      <c r="A194" s="4"/>
      <c r="B194" s="8"/>
      <c r="C194" s="8"/>
      <c r="D194" s="8"/>
      <c r="E194" s="8"/>
      <c r="F194" s="8"/>
      <c r="G194" s="8"/>
      <c r="H194" s="8"/>
      <c r="I194" s="4"/>
      <c r="J194" s="8"/>
    </row>
    <row r="195" customFormat="false" ht="15" hidden="false" customHeight="false" outlineLevel="0" collapsed="false">
      <c r="A195" s="4"/>
      <c r="B195" s="8"/>
      <c r="C195" s="8"/>
      <c r="D195" s="8"/>
      <c r="E195" s="8"/>
      <c r="F195" s="8"/>
      <c r="G195" s="8"/>
      <c r="H195" s="8"/>
      <c r="I195" s="4"/>
      <c r="J195" s="8"/>
    </row>
    <row r="196" customFormat="false" ht="15" hidden="false" customHeight="false" outlineLevel="0" collapsed="false">
      <c r="A196" s="4"/>
      <c r="B196" s="8"/>
      <c r="C196" s="8"/>
      <c r="D196" s="8"/>
      <c r="E196" s="8"/>
      <c r="F196" s="8"/>
      <c r="G196" s="8"/>
      <c r="H196" s="8"/>
      <c r="I196" s="4"/>
      <c r="J196" s="8"/>
    </row>
    <row r="197" customFormat="false" ht="15" hidden="false" customHeight="false" outlineLevel="0" collapsed="false">
      <c r="A197" s="4"/>
      <c r="B197" s="8"/>
      <c r="C197" s="8"/>
      <c r="D197" s="8"/>
      <c r="E197" s="8"/>
      <c r="F197" s="8"/>
      <c r="G197" s="8"/>
      <c r="H197" s="8"/>
      <c r="I197" s="4"/>
      <c r="J197" s="8"/>
    </row>
    <row r="198" customFormat="false" ht="15" hidden="false" customHeight="false" outlineLevel="0" collapsed="false">
      <c r="A198" s="4"/>
      <c r="B198" s="8"/>
      <c r="C198" s="8"/>
      <c r="D198" s="8"/>
      <c r="E198" s="8"/>
      <c r="F198" s="8"/>
      <c r="G198" s="8"/>
      <c r="H198" s="8"/>
      <c r="I198" s="4"/>
      <c r="J198" s="8"/>
    </row>
    <row r="199" customFormat="false" ht="15" hidden="false" customHeight="false" outlineLevel="0" collapsed="false">
      <c r="A199" s="4"/>
      <c r="B199" s="8"/>
      <c r="C199" s="8"/>
      <c r="D199" s="8"/>
      <c r="E199" s="8"/>
      <c r="F199" s="8"/>
      <c r="G199" s="8"/>
      <c r="H199" s="8"/>
      <c r="I199" s="4"/>
      <c r="J199" s="8"/>
    </row>
    <row r="200" customFormat="false" ht="15" hidden="false" customHeight="false" outlineLevel="0" collapsed="false">
      <c r="A200" s="4"/>
      <c r="B200" s="8"/>
      <c r="C200" s="8"/>
      <c r="D200" s="8"/>
      <c r="E200" s="8"/>
      <c r="F200" s="8"/>
      <c r="G200" s="8"/>
      <c r="H200" s="8"/>
      <c r="I200" s="4"/>
      <c r="J200" s="8"/>
    </row>
    <row r="201" customFormat="false" ht="15" hidden="false" customHeight="false" outlineLevel="0" collapsed="false">
      <c r="A201" s="4"/>
      <c r="B201" s="8"/>
      <c r="C201" s="8"/>
      <c r="D201" s="8"/>
      <c r="E201" s="8"/>
      <c r="F201" s="8"/>
      <c r="G201" s="8"/>
      <c r="H201" s="8"/>
      <c r="I201" s="4"/>
      <c r="J201" s="8"/>
    </row>
    <row r="202" customFormat="false" ht="15" hidden="false" customHeight="false" outlineLevel="0" collapsed="false">
      <c r="A202" s="4"/>
      <c r="B202" s="8"/>
      <c r="C202" s="8"/>
      <c r="D202" s="8"/>
      <c r="E202" s="8"/>
      <c r="F202" s="8"/>
      <c r="G202" s="8"/>
      <c r="H202" s="8"/>
      <c r="I202" s="4"/>
      <c r="J202" s="8"/>
    </row>
    <row r="203" customFormat="false" ht="15" hidden="false" customHeight="false" outlineLevel="0" collapsed="false">
      <c r="A203" s="4"/>
      <c r="B203" s="8"/>
      <c r="C203" s="8"/>
      <c r="D203" s="8"/>
      <c r="E203" s="8"/>
      <c r="F203" s="8"/>
      <c r="G203" s="8"/>
      <c r="H203" s="8"/>
      <c r="I203" s="4"/>
      <c r="J203" s="8"/>
    </row>
    <row r="204" customFormat="false" ht="15" hidden="false" customHeight="false" outlineLevel="0" collapsed="false">
      <c r="A204" s="4"/>
      <c r="B204" s="8"/>
      <c r="C204" s="8"/>
      <c r="D204" s="8"/>
      <c r="E204" s="8"/>
      <c r="F204" s="8"/>
      <c r="G204" s="8"/>
      <c r="H204" s="8"/>
      <c r="I204" s="4"/>
      <c r="J204" s="8"/>
    </row>
    <row r="205" customFormat="false" ht="15" hidden="false" customHeight="false" outlineLevel="0" collapsed="false">
      <c r="A205" s="4"/>
      <c r="B205" s="8"/>
      <c r="C205" s="8"/>
      <c r="D205" s="8"/>
      <c r="E205" s="8"/>
      <c r="F205" s="8"/>
      <c r="G205" s="8"/>
      <c r="H205" s="8"/>
      <c r="I205" s="4"/>
      <c r="J205" s="8"/>
    </row>
    <row r="206" customFormat="false" ht="15" hidden="false" customHeight="false" outlineLevel="0" collapsed="false">
      <c r="A206" s="4"/>
      <c r="B206" s="8"/>
      <c r="C206" s="8"/>
      <c r="D206" s="8"/>
      <c r="E206" s="8"/>
      <c r="F206" s="8"/>
      <c r="G206" s="8"/>
      <c r="H206" s="8"/>
      <c r="I206" s="4"/>
      <c r="J206" s="8"/>
    </row>
    <row r="207" customFormat="false" ht="15" hidden="false" customHeight="false" outlineLevel="0" collapsed="false">
      <c r="A207" s="4"/>
      <c r="B207" s="8"/>
      <c r="C207" s="8"/>
      <c r="D207" s="8"/>
      <c r="E207" s="8"/>
      <c r="F207" s="8"/>
      <c r="G207" s="8"/>
      <c r="H207" s="8"/>
      <c r="I207" s="4"/>
      <c r="J207" s="8"/>
    </row>
    <row r="208" customFormat="false" ht="15" hidden="false" customHeight="false" outlineLevel="0" collapsed="false">
      <c r="A208" s="4"/>
      <c r="B208" s="8"/>
      <c r="C208" s="8"/>
      <c r="D208" s="8"/>
      <c r="E208" s="8"/>
      <c r="F208" s="8"/>
      <c r="G208" s="8"/>
      <c r="H208" s="8"/>
      <c r="I208" s="4"/>
      <c r="J208" s="8"/>
    </row>
    <row r="209" customFormat="false" ht="15" hidden="false" customHeight="false" outlineLevel="0" collapsed="false">
      <c r="A209" s="4"/>
      <c r="B209" s="8"/>
      <c r="C209" s="8"/>
      <c r="D209" s="8"/>
      <c r="E209" s="8"/>
      <c r="F209" s="8"/>
      <c r="G209" s="8"/>
      <c r="H209" s="8"/>
      <c r="I209" s="4"/>
      <c r="J209" s="8"/>
    </row>
    <row r="210" customFormat="false" ht="15" hidden="false" customHeight="false" outlineLevel="0" collapsed="false">
      <c r="A210" s="4"/>
      <c r="B210" s="8"/>
      <c r="C210" s="8"/>
      <c r="D210" s="8"/>
      <c r="E210" s="8"/>
      <c r="F210" s="8"/>
      <c r="G210" s="8"/>
      <c r="H210" s="8"/>
      <c r="I210" s="4"/>
      <c r="J210" s="8"/>
    </row>
    <row r="211" customFormat="false" ht="15" hidden="false" customHeight="false" outlineLevel="0" collapsed="false">
      <c r="A211" s="4"/>
      <c r="B211" s="8"/>
      <c r="C211" s="8"/>
      <c r="D211" s="8"/>
      <c r="E211" s="8"/>
      <c r="F211" s="8"/>
      <c r="G211" s="8"/>
      <c r="H211" s="8"/>
      <c r="I211" s="4"/>
      <c r="J211" s="8"/>
    </row>
    <row r="212" customFormat="false" ht="15" hidden="false" customHeight="false" outlineLevel="0" collapsed="false">
      <c r="A212" s="4"/>
      <c r="B212" s="8"/>
      <c r="C212" s="8"/>
      <c r="D212" s="8"/>
      <c r="E212" s="8"/>
      <c r="F212" s="8"/>
      <c r="G212" s="8"/>
      <c r="H212" s="8"/>
      <c r="I212" s="4"/>
      <c r="J212" s="8"/>
    </row>
    <row r="213" customFormat="false" ht="15" hidden="false" customHeight="false" outlineLevel="0" collapsed="false">
      <c r="A213" s="4"/>
      <c r="B213" s="8"/>
      <c r="C213" s="8"/>
      <c r="D213" s="8"/>
      <c r="E213" s="8"/>
      <c r="F213" s="8"/>
      <c r="G213" s="8"/>
      <c r="H213" s="8"/>
      <c r="I213" s="4"/>
      <c r="J213" s="8"/>
    </row>
    <row r="214" customFormat="false" ht="15" hidden="false" customHeight="false" outlineLevel="0" collapsed="false">
      <c r="A214" s="4"/>
      <c r="B214" s="8"/>
      <c r="C214" s="8"/>
      <c r="D214" s="8"/>
      <c r="E214" s="8"/>
      <c r="F214" s="8"/>
      <c r="G214" s="8"/>
      <c r="H214" s="8"/>
      <c r="I214" s="4"/>
      <c r="J214" s="8"/>
    </row>
    <row r="215" customFormat="false" ht="15" hidden="false" customHeight="false" outlineLevel="0" collapsed="false">
      <c r="A215" s="4"/>
      <c r="B215" s="8"/>
      <c r="C215" s="8"/>
      <c r="D215" s="8"/>
      <c r="E215" s="8"/>
      <c r="F215" s="8"/>
      <c r="G215" s="8"/>
      <c r="H215" s="8"/>
      <c r="I215" s="4"/>
      <c r="J215" s="8"/>
    </row>
    <row r="216" customFormat="false" ht="15" hidden="false" customHeight="false" outlineLevel="0" collapsed="false">
      <c r="A216" s="4"/>
      <c r="B216" s="8"/>
      <c r="C216" s="8"/>
      <c r="D216" s="8"/>
      <c r="E216" s="8"/>
      <c r="F216" s="8"/>
      <c r="G216" s="8"/>
      <c r="H216" s="8"/>
      <c r="I216" s="4"/>
      <c r="J216" s="8"/>
    </row>
    <row r="217" customFormat="false" ht="15" hidden="false" customHeight="false" outlineLevel="0" collapsed="false">
      <c r="A217" s="4"/>
      <c r="B217" s="8"/>
      <c r="C217" s="8"/>
      <c r="D217" s="8"/>
      <c r="E217" s="8"/>
      <c r="F217" s="8"/>
      <c r="G217" s="8"/>
      <c r="H217" s="8"/>
      <c r="I217" s="4"/>
      <c r="J217" s="8"/>
    </row>
    <row r="218" customFormat="false" ht="15" hidden="false" customHeight="false" outlineLevel="0" collapsed="false">
      <c r="A218" s="4"/>
      <c r="B218" s="8"/>
      <c r="C218" s="8"/>
      <c r="D218" s="8"/>
      <c r="E218" s="8"/>
      <c r="F218" s="8"/>
      <c r="G218" s="8"/>
      <c r="H218" s="8"/>
      <c r="I218" s="4"/>
      <c r="J218" s="8"/>
    </row>
    <row r="219" customFormat="false" ht="15" hidden="false" customHeight="false" outlineLevel="0" collapsed="false">
      <c r="A219" s="4"/>
      <c r="B219" s="8"/>
      <c r="C219" s="8"/>
      <c r="D219" s="8"/>
      <c r="E219" s="8"/>
      <c r="F219" s="8"/>
      <c r="G219" s="8"/>
      <c r="H219" s="8"/>
      <c r="I219" s="4"/>
      <c r="J219" s="8"/>
    </row>
    <row r="220" customFormat="false" ht="15" hidden="false" customHeight="false" outlineLevel="0" collapsed="false">
      <c r="A220" s="4"/>
      <c r="B220" s="8"/>
      <c r="C220" s="8"/>
      <c r="D220" s="8"/>
      <c r="E220" s="8"/>
      <c r="F220" s="8"/>
      <c r="G220" s="8"/>
      <c r="H220" s="8"/>
      <c r="I220" s="4"/>
      <c r="J220" s="8"/>
    </row>
    <row r="221" customFormat="false" ht="15" hidden="false" customHeight="false" outlineLevel="0" collapsed="false">
      <c r="A221" s="4"/>
      <c r="B221" s="8"/>
      <c r="C221" s="8"/>
      <c r="D221" s="8"/>
      <c r="E221" s="8"/>
      <c r="F221" s="8"/>
      <c r="G221" s="8"/>
      <c r="H221" s="8"/>
      <c r="I221" s="4"/>
      <c r="J221" s="8"/>
    </row>
    <row r="222" customFormat="false" ht="15" hidden="false" customHeight="false" outlineLevel="0" collapsed="false">
      <c r="A222" s="4"/>
      <c r="B222" s="8"/>
      <c r="C222" s="8"/>
      <c r="D222" s="8"/>
      <c r="E222" s="8"/>
      <c r="F222" s="8"/>
      <c r="G222" s="8"/>
      <c r="H222" s="8"/>
      <c r="I222" s="4"/>
      <c r="J222" s="8"/>
    </row>
    <row r="223" customFormat="false" ht="15" hidden="false" customHeight="false" outlineLevel="0" collapsed="false">
      <c r="A223" s="4"/>
      <c r="B223" s="8"/>
      <c r="C223" s="8"/>
      <c r="D223" s="8"/>
      <c r="E223" s="8"/>
      <c r="F223" s="8"/>
      <c r="G223" s="8"/>
      <c r="H223" s="8"/>
      <c r="I223" s="4"/>
      <c r="J223" s="8"/>
    </row>
    <row r="224" customFormat="false" ht="15" hidden="false" customHeight="false" outlineLevel="0" collapsed="false">
      <c r="A224" s="4"/>
      <c r="B224" s="8"/>
      <c r="C224" s="8"/>
      <c r="D224" s="8"/>
      <c r="E224" s="8"/>
      <c r="F224" s="8"/>
      <c r="G224" s="8"/>
      <c r="H224" s="8"/>
      <c r="I224" s="4"/>
      <c r="J224" s="8"/>
    </row>
    <row r="225" customFormat="false" ht="15" hidden="false" customHeight="false" outlineLevel="0" collapsed="false">
      <c r="A225" s="4"/>
      <c r="B225" s="8"/>
      <c r="C225" s="8"/>
      <c r="D225" s="8"/>
      <c r="E225" s="8"/>
      <c r="F225" s="8"/>
      <c r="G225" s="8"/>
      <c r="H225" s="8"/>
      <c r="I225" s="4"/>
      <c r="J225" s="8"/>
    </row>
    <row r="226" customFormat="false" ht="15" hidden="false" customHeight="false" outlineLevel="0" collapsed="false">
      <c r="A226" s="4"/>
      <c r="B226" s="8"/>
      <c r="C226" s="8"/>
      <c r="D226" s="8"/>
      <c r="E226" s="8"/>
      <c r="F226" s="8"/>
      <c r="G226" s="8"/>
      <c r="H226" s="8"/>
      <c r="I226" s="4"/>
      <c r="J226" s="8"/>
    </row>
    <row r="227" customFormat="false" ht="15" hidden="false" customHeight="false" outlineLevel="0" collapsed="false">
      <c r="A227" s="4"/>
      <c r="B227" s="8"/>
      <c r="C227" s="8"/>
      <c r="D227" s="8"/>
      <c r="E227" s="8"/>
      <c r="F227" s="8"/>
      <c r="G227" s="8"/>
      <c r="H227" s="8"/>
      <c r="I227" s="4"/>
      <c r="J227" s="8"/>
    </row>
    <row r="228" customFormat="false" ht="15" hidden="false" customHeight="false" outlineLevel="0" collapsed="false">
      <c r="A228" s="4"/>
      <c r="B228" s="8"/>
      <c r="C228" s="8"/>
      <c r="D228" s="8"/>
      <c r="E228" s="8"/>
      <c r="F228" s="8"/>
      <c r="G228" s="8"/>
      <c r="H228" s="8"/>
      <c r="I228" s="4"/>
      <c r="J228" s="8"/>
    </row>
    <row r="229" customFormat="false" ht="15" hidden="false" customHeight="false" outlineLevel="0" collapsed="false">
      <c r="A229" s="4"/>
      <c r="B229" s="8"/>
      <c r="C229" s="8"/>
      <c r="D229" s="8"/>
      <c r="E229" s="8"/>
      <c r="F229" s="8"/>
      <c r="G229" s="8"/>
      <c r="H229" s="8"/>
      <c r="I229" s="4"/>
      <c r="J229" s="8"/>
    </row>
    <row r="230" customFormat="false" ht="15" hidden="false" customHeight="false" outlineLevel="0" collapsed="false">
      <c r="A230" s="4"/>
      <c r="B230" s="8"/>
      <c r="C230" s="8"/>
      <c r="D230" s="8"/>
      <c r="E230" s="8"/>
      <c r="F230" s="8"/>
      <c r="G230" s="8"/>
      <c r="H230" s="8"/>
      <c r="I230" s="4"/>
      <c r="J230" s="8"/>
    </row>
    <row r="231" customFormat="false" ht="15" hidden="false" customHeight="false" outlineLevel="0" collapsed="false">
      <c r="A231" s="4"/>
      <c r="B231" s="8"/>
      <c r="C231" s="8"/>
      <c r="D231" s="8"/>
      <c r="E231" s="8"/>
      <c r="F231" s="8"/>
      <c r="G231" s="8"/>
      <c r="H231" s="8"/>
      <c r="I231" s="4"/>
      <c r="J231" s="8"/>
    </row>
    <row r="232" customFormat="false" ht="15" hidden="false" customHeight="false" outlineLevel="0" collapsed="false">
      <c r="A232" s="4"/>
      <c r="B232" s="8"/>
      <c r="C232" s="8"/>
      <c r="D232" s="8"/>
      <c r="E232" s="8"/>
      <c r="F232" s="8"/>
      <c r="G232" s="8"/>
      <c r="H232" s="8"/>
      <c r="I232" s="4"/>
      <c r="J232" s="8"/>
    </row>
    <row r="233" customFormat="false" ht="15" hidden="false" customHeight="false" outlineLevel="0" collapsed="false">
      <c r="A233" s="4"/>
      <c r="B233" s="8"/>
      <c r="C233" s="8"/>
      <c r="D233" s="8"/>
      <c r="E233" s="8"/>
      <c r="F233" s="8"/>
      <c r="G233" s="8"/>
      <c r="H233" s="8"/>
      <c r="I233" s="4"/>
      <c r="J233" s="8"/>
    </row>
    <row r="234" customFormat="false" ht="15" hidden="false" customHeight="false" outlineLevel="0" collapsed="false">
      <c r="A234" s="4"/>
      <c r="B234" s="8"/>
      <c r="C234" s="8"/>
      <c r="D234" s="8"/>
      <c r="E234" s="8"/>
      <c r="F234" s="8"/>
      <c r="G234" s="8"/>
      <c r="H234" s="8"/>
      <c r="I234" s="4"/>
      <c r="J234" s="8"/>
    </row>
    <row r="235" customFormat="false" ht="15" hidden="false" customHeight="false" outlineLevel="0" collapsed="false">
      <c r="A235" s="4"/>
      <c r="B235" s="8"/>
      <c r="C235" s="8"/>
      <c r="D235" s="8"/>
      <c r="E235" s="8"/>
      <c r="F235" s="8"/>
      <c r="G235" s="8"/>
      <c r="H235" s="8"/>
      <c r="I235" s="4"/>
      <c r="J235" s="8"/>
    </row>
    <row r="236" customFormat="false" ht="15" hidden="false" customHeight="false" outlineLevel="0" collapsed="false">
      <c r="A236" s="4"/>
      <c r="B236" s="8"/>
      <c r="C236" s="8"/>
      <c r="D236" s="8"/>
      <c r="E236" s="8"/>
      <c r="F236" s="8"/>
      <c r="G236" s="8"/>
      <c r="H236" s="8"/>
      <c r="I236" s="4"/>
      <c r="J236" s="8"/>
    </row>
    <row r="237" customFormat="false" ht="15" hidden="false" customHeight="false" outlineLevel="0" collapsed="false">
      <c r="A237" s="4"/>
      <c r="B237" s="8"/>
      <c r="C237" s="8"/>
      <c r="D237" s="8"/>
      <c r="E237" s="8"/>
      <c r="F237" s="8"/>
      <c r="G237" s="8"/>
      <c r="H237" s="8"/>
      <c r="I237" s="4"/>
      <c r="J237" s="8"/>
    </row>
    <row r="238" customFormat="false" ht="15" hidden="false" customHeight="false" outlineLevel="0" collapsed="false">
      <c r="A238" s="4"/>
      <c r="B238" s="8"/>
      <c r="C238" s="8"/>
      <c r="D238" s="8"/>
      <c r="E238" s="8"/>
      <c r="F238" s="8"/>
      <c r="G238" s="8"/>
      <c r="H238" s="8"/>
      <c r="I238" s="4"/>
      <c r="J238" s="8"/>
    </row>
    <row r="239" customFormat="false" ht="15" hidden="false" customHeight="false" outlineLevel="0" collapsed="false">
      <c r="A239" s="4"/>
      <c r="B239" s="8"/>
      <c r="C239" s="8"/>
      <c r="D239" s="8"/>
      <c r="E239" s="8"/>
      <c r="F239" s="8"/>
      <c r="G239" s="8"/>
      <c r="H239" s="8"/>
      <c r="I239" s="4"/>
      <c r="J239" s="8"/>
    </row>
    <row r="240" customFormat="false" ht="15" hidden="false" customHeight="false" outlineLevel="0" collapsed="false">
      <c r="A240" s="4"/>
      <c r="B240" s="8"/>
      <c r="C240" s="8"/>
      <c r="D240" s="8"/>
      <c r="E240" s="8"/>
      <c r="F240" s="8"/>
      <c r="G240" s="8"/>
      <c r="H240" s="8"/>
      <c r="I240" s="4"/>
      <c r="J240" s="8"/>
    </row>
    <row r="241" customFormat="false" ht="15" hidden="false" customHeight="false" outlineLevel="0" collapsed="false">
      <c r="A241" s="4"/>
      <c r="B241" s="8"/>
      <c r="C241" s="8"/>
      <c r="D241" s="8"/>
      <c r="E241" s="8"/>
      <c r="F241" s="8"/>
      <c r="G241" s="8"/>
      <c r="H241" s="8"/>
      <c r="I241" s="4"/>
      <c r="J241" s="8"/>
    </row>
    <row r="242" customFormat="false" ht="15" hidden="false" customHeight="false" outlineLevel="0" collapsed="false">
      <c r="A242" s="4"/>
      <c r="B242" s="8"/>
      <c r="C242" s="8"/>
      <c r="D242" s="8"/>
      <c r="E242" s="8"/>
      <c r="F242" s="8"/>
      <c r="G242" s="8"/>
      <c r="H242" s="8"/>
      <c r="I242" s="4"/>
      <c r="J242" s="8"/>
    </row>
    <row r="243" customFormat="false" ht="15" hidden="false" customHeight="false" outlineLevel="0" collapsed="false">
      <c r="A243" s="4"/>
      <c r="B243" s="8"/>
      <c r="C243" s="8"/>
      <c r="D243" s="8"/>
      <c r="E243" s="8"/>
      <c r="F243" s="8"/>
      <c r="G243" s="8"/>
      <c r="H243" s="8"/>
      <c r="I243" s="4"/>
      <c r="J243" s="8"/>
    </row>
    <row r="244" customFormat="false" ht="15" hidden="false" customHeight="false" outlineLevel="0" collapsed="false">
      <c r="A244" s="4"/>
      <c r="B244" s="8"/>
      <c r="C244" s="8"/>
      <c r="D244" s="8"/>
      <c r="E244" s="8"/>
      <c r="F244" s="8"/>
      <c r="G244" s="8"/>
      <c r="H244" s="8"/>
      <c r="I244" s="4"/>
      <c r="J244" s="8"/>
    </row>
    <row r="245" customFormat="false" ht="15" hidden="false" customHeight="false" outlineLevel="0" collapsed="false">
      <c r="A245" s="4"/>
      <c r="B245" s="8"/>
      <c r="C245" s="8"/>
      <c r="D245" s="8"/>
      <c r="E245" s="8"/>
      <c r="F245" s="8"/>
      <c r="G245" s="8"/>
      <c r="H245" s="8"/>
      <c r="I245" s="4"/>
      <c r="J245" s="8"/>
    </row>
    <row r="246" customFormat="false" ht="15" hidden="false" customHeight="false" outlineLevel="0" collapsed="false">
      <c r="A246" s="4"/>
      <c r="B246" s="8"/>
      <c r="C246" s="8"/>
      <c r="D246" s="8"/>
      <c r="E246" s="8"/>
      <c r="F246" s="8"/>
      <c r="G246" s="8"/>
      <c r="H246" s="8"/>
      <c r="I246" s="4"/>
      <c r="J246" s="8"/>
    </row>
    <row r="247" customFormat="false" ht="15" hidden="false" customHeight="false" outlineLevel="0" collapsed="false">
      <c r="A247" s="4"/>
      <c r="B247" s="8"/>
      <c r="C247" s="8"/>
      <c r="D247" s="8"/>
      <c r="E247" s="8"/>
      <c r="F247" s="8"/>
      <c r="G247" s="8"/>
      <c r="H247" s="8"/>
      <c r="I247" s="4"/>
      <c r="J247" s="8"/>
    </row>
    <row r="248" customFormat="false" ht="15" hidden="false" customHeight="false" outlineLevel="0" collapsed="false">
      <c r="A248" s="4"/>
      <c r="B248" s="8"/>
      <c r="C248" s="8"/>
      <c r="D248" s="8"/>
      <c r="E248" s="8"/>
      <c r="F248" s="8"/>
      <c r="G248" s="8"/>
      <c r="H248" s="8"/>
      <c r="I248" s="4"/>
      <c r="J248" s="8"/>
    </row>
    <row r="249" customFormat="false" ht="15" hidden="false" customHeight="false" outlineLevel="0" collapsed="false">
      <c r="A249" s="4"/>
      <c r="B249" s="8"/>
      <c r="C249" s="8"/>
      <c r="D249" s="8"/>
      <c r="E249" s="8"/>
      <c r="F249" s="8"/>
      <c r="G249" s="8"/>
      <c r="H249" s="8"/>
      <c r="I249" s="4"/>
      <c r="J249" s="8"/>
    </row>
    <row r="250" customFormat="false" ht="15" hidden="false" customHeight="false" outlineLevel="0" collapsed="false">
      <c r="A250" s="4"/>
      <c r="B250" s="8"/>
      <c r="C250" s="8"/>
      <c r="D250" s="8"/>
      <c r="E250" s="8"/>
      <c r="F250" s="8"/>
      <c r="G250" s="8"/>
      <c r="H250" s="8"/>
      <c r="I250" s="4"/>
      <c r="J250" s="8"/>
    </row>
    <row r="251" customFormat="false" ht="15" hidden="false" customHeight="false" outlineLevel="0" collapsed="false">
      <c r="A251" s="4"/>
      <c r="B251" s="8"/>
      <c r="C251" s="8"/>
      <c r="D251" s="8"/>
      <c r="E251" s="8"/>
      <c r="F251" s="8"/>
      <c r="G251" s="8"/>
      <c r="H251" s="8"/>
      <c r="I251" s="4"/>
      <c r="J251" s="8"/>
    </row>
    <row r="252" customFormat="false" ht="15" hidden="false" customHeight="false" outlineLevel="0" collapsed="false">
      <c r="A252" s="4"/>
      <c r="B252" s="8"/>
      <c r="C252" s="8"/>
      <c r="D252" s="8"/>
      <c r="E252" s="8"/>
      <c r="F252" s="8"/>
      <c r="G252" s="8"/>
      <c r="H252" s="8"/>
      <c r="I252" s="4"/>
      <c r="J252" s="8"/>
    </row>
    <row r="253" customFormat="false" ht="15" hidden="false" customHeight="false" outlineLevel="0" collapsed="false">
      <c r="A253" s="4"/>
      <c r="B253" s="8"/>
      <c r="C253" s="8"/>
      <c r="D253" s="8"/>
      <c r="E253" s="8"/>
      <c r="F253" s="8"/>
      <c r="G253" s="8"/>
      <c r="H253" s="8"/>
      <c r="I253" s="4"/>
      <c r="J253" s="8"/>
    </row>
    <row r="254" customFormat="false" ht="15" hidden="false" customHeight="false" outlineLevel="0" collapsed="false">
      <c r="A254" s="4"/>
      <c r="B254" s="8"/>
      <c r="C254" s="8"/>
      <c r="D254" s="8"/>
      <c r="E254" s="8"/>
      <c r="F254" s="8"/>
      <c r="G254" s="8"/>
      <c r="H254" s="8"/>
      <c r="I254" s="4"/>
      <c r="J254" s="8"/>
    </row>
    <row r="255" customFormat="false" ht="15" hidden="false" customHeight="false" outlineLevel="0" collapsed="false">
      <c r="A255" s="4"/>
      <c r="B255" s="8"/>
      <c r="C255" s="8"/>
      <c r="D255" s="8"/>
      <c r="E255" s="8"/>
      <c r="F255" s="8"/>
      <c r="G255" s="8"/>
      <c r="H255" s="8"/>
      <c r="I255" s="4"/>
      <c r="J255" s="8"/>
    </row>
    <row r="256" customFormat="false" ht="15" hidden="false" customHeight="false" outlineLevel="0" collapsed="false">
      <c r="A256" s="4"/>
      <c r="B256" s="8"/>
      <c r="C256" s="8"/>
      <c r="D256" s="8"/>
      <c r="E256" s="8"/>
      <c r="F256" s="8"/>
      <c r="G256" s="8"/>
      <c r="H256" s="8"/>
      <c r="I256" s="4"/>
      <c r="J256" s="8"/>
    </row>
    <row r="257" customFormat="false" ht="15" hidden="false" customHeight="false" outlineLevel="0" collapsed="false">
      <c r="A257" s="4"/>
      <c r="B257" s="8"/>
      <c r="C257" s="8"/>
      <c r="D257" s="8"/>
      <c r="E257" s="8"/>
      <c r="F257" s="8"/>
      <c r="G257" s="8"/>
      <c r="H257" s="8"/>
      <c r="I257" s="4"/>
      <c r="J257" s="8"/>
    </row>
    <row r="258" customFormat="false" ht="15" hidden="false" customHeight="false" outlineLevel="0" collapsed="false">
      <c r="A258" s="4"/>
      <c r="B258" s="8"/>
      <c r="C258" s="8"/>
      <c r="D258" s="8"/>
      <c r="E258" s="8"/>
      <c r="F258" s="8"/>
      <c r="G258" s="8"/>
      <c r="H258" s="8"/>
      <c r="I258" s="4"/>
      <c r="J258" s="8"/>
    </row>
    <row r="259" customFormat="false" ht="15" hidden="false" customHeight="false" outlineLevel="0" collapsed="false">
      <c r="A259" s="4"/>
      <c r="B259" s="8"/>
      <c r="C259" s="8"/>
      <c r="D259" s="8"/>
      <c r="E259" s="8"/>
      <c r="F259" s="8"/>
      <c r="G259" s="8"/>
      <c r="H259" s="8"/>
      <c r="I259" s="4"/>
      <c r="J259" s="8"/>
    </row>
    <row r="260" customFormat="false" ht="15" hidden="false" customHeight="false" outlineLevel="0" collapsed="false">
      <c r="A260" s="4"/>
      <c r="B260" s="8"/>
      <c r="C260" s="8"/>
      <c r="D260" s="8"/>
      <c r="E260" s="8"/>
      <c r="F260" s="8"/>
      <c r="G260" s="8"/>
      <c r="H260" s="8"/>
      <c r="I260" s="4"/>
      <c r="J260" s="8"/>
    </row>
    <row r="261" customFormat="false" ht="15" hidden="false" customHeight="false" outlineLevel="0" collapsed="false">
      <c r="A261" s="4"/>
      <c r="B261" s="8"/>
      <c r="C261" s="8"/>
      <c r="D261" s="8"/>
      <c r="E261" s="8"/>
      <c r="F261" s="8"/>
      <c r="G261" s="8"/>
      <c r="H261" s="8"/>
      <c r="I261" s="4"/>
      <c r="J261" s="8"/>
    </row>
    <row r="262" customFormat="false" ht="15" hidden="false" customHeight="false" outlineLevel="0" collapsed="false">
      <c r="A262" s="4"/>
      <c r="B262" s="8"/>
      <c r="C262" s="8"/>
      <c r="D262" s="8"/>
      <c r="E262" s="8"/>
      <c r="F262" s="8"/>
      <c r="G262" s="8"/>
      <c r="H262" s="8"/>
      <c r="I262" s="4"/>
      <c r="J262" s="8"/>
    </row>
    <row r="263" customFormat="false" ht="15" hidden="false" customHeight="false" outlineLevel="0" collapsed="false">
      <c r="A263" s="4"/>
      <c r="B263" s="8"/>
      <c r="C263" s="8"/>
      <c r="D263" s="8"/>
      <c r="E263" s="8"/>
      <c r="F263" s="8"/>
      <c r="G263" s="8"/>
      <c r="H263" s="8"/>
      <c r="I263" s="4"/>
      <c r="J263" s="8"/>
    </row>
    <row r="264" customFormat="false" ht="15" hidden="false" customHeight="false" outlineLevel="0" collapsed="false">
      <c r="A264" s="4"/>
      <c r="B264" s="8"/>
      <c r="C264" s="8"/>
      <c r="D264" s="8"/>
      <c r="E264" s="8"/>
      <c r="F264" s="8"/>
      <c r="G264" s="8"/>
      <c r="H264" s="8"/>
      <c r="I264" s="4"/>
      <c r="J264" s="8"/>
    </row>
    <row r="265" customFormat="false" ht="15" hidden="false" customHeight="false" outlineLevel="0" collapsed="false">
      <c r="A265" s="4"/>
      <c r="B265" s="8"/>
      <c r="C265" s="8"/>
      <c r="D265" s="8"/>
      <c r="E265" s="8"/>
      <c r="F265" s="8"/>
      <c r="G265" s="8"/>
      <c r="H265" s="8"/>
      <c r="I265" s="4"/>
      <c r="J265" s="8"/>
    </row>
    <row r="266" customFormat="false" ht="15" hidden="false" customHeight="false" outlineLevel="0" collapsed="false">
      <c r="A266" s="4"/>
      <c r="B266" s="8"/>
      <c r="C266" s="8"/>
      <c r="D266" s="8"/>
      <c r="E266" s="8"/>
      <c r="F266" s="8"/>
      <c r="G266" s="8"/>
      <c r="H266" s="8"/>
      <c r="I266" s="4"/>
      <c r="J266" s="8"/>
    </row>
    <row r="267" customFormat="false" ht="15" hidden="false" customHeight="false" outlineLevel="0" collapsed="false">
      <c r="A267" s="4"/>
      <c r="B267" s="8"/>
      <c r="C267" s="8"/>
      <c r="D267" s="8"/>
      <c r="E267" s="8"/>
      <c r="F267" s="8"/>
      <c r="G267" s="8"/>
      <c r="H267" s="8"/>
      <c r="I267" s="4"/>
      <c r="J267" s="8"/>
    </row>
    <row r="268" customFormat="false" ht="15" hidden="false" customHeight="false" outlineLevel="0" collapsed="false">
      <c r="A268" s="4"/>
      <c r="B268" s="8"/>
      <c r="C268" s="8"/>
      <c r="D268" s="8"/>
      <c r="E268" s="8"/>
      <c r="F268" s="8"/>
      <c r="G268" s="8"/>
      <c r="H268" s="8"/>
      <c r="I268" s="4"/>
      <c r="J268" s="8"/>
    </row>
    <row r="269" customFormat="false" ht="15" hidden="false" customHeight="false" outlineLevel="0" collapsed="false">
      <c r="A269" s="4"/>
      <c r="B269" s="8"/>
      <c r="C269" s="8"/>
      <c r="D269" s="8"/>
      <c r="E269" s="8"/>
      <c r="F269" s="8"/>
      <c r="G269" s="8"/>
      <c r="H269" s="8"/>
      <c r="I269" s="4"/>
      <c r="J269" s="8"/>
    </row>
    <row r="270" customFormat="false" ht="15" hidden="false" customHeight="false" outlineLevel="0" collapsed="false">
      <c r="A270" s="4"/>
      <c r="B270" s="8"/>
      <c r="C270" s="8"/>
      <c r="D270" s="8"/>
      <c r="E270" s="8"/>
      <c r="F270" s="8"/>
      <c r="G270" s="8"/>
      <c r="H270" s="8"/>
      <c r="I270" s="4"/>
      <c r="J270" s="8"/>
    </row>
    <row r="271" customFormat="false" ht="15" hidden="false" customHeight="false" outlineLevel="0" collapsed="false">
      <c r="A271" s="4"/>
      <c r="B271" s="8"/>
      <c r="C271" s="8"/>
      <c r="D271" s="8"/>
      <c r="E271" s="8"/>
      <c r="F271" s="8"/>
      <c r="G271" s="8"/>
      <c r="H271" s="8"/>
      <c r="I271" s="4"/>
      <c r="J271" s="8"/>
    </row>
    <row r="272" customFormat="false" ht="15" hidden="false" customHeight="false" outlineLevel="0" collapsed="false">
      <c r="A272" s="4"/>
      <c r="B272" s="8"/>
      <c r="C272" s="8"/>
      <c r="D272" s="8"/>
      <c r="E272" s="8"/>
      <c r="F272" s="8"/>
      <c r="G272" s="8"/>
      <c r="H272" s="8"/>
      <c r="I272" s="4"/>
      <c r="J272" s="8"/>
    </row>
    <row r="273" customFormat="false" ht="15" hidden="false" customHeight="false" outlineLevel="0" collapsed="false">
      <c r="A273" s="4"/>
      <c r="B273" s="8"/>
      <c r="C273" s="8"/>
      <c r="D273" s="8"/>
      <c r="E273" s="8"/>
      <c r="F273" s="8"/>
      <c r="G273" s="8"/>
      <c r="H273" s="8"/>
      <c r="I273" s="4"/>
      <c r="J273" s="8"/>
    </row>
    <row r="274" customFormat="false" ht="15" hidden="false" customHeight="false" outlineLevel="0" collapsed="false">
      <c r="A274" s="4"/>
      <c r="B274" s="8"/>
      <c r="C274" s="8"/>
      <c r="D274" s="8"/>
      <c r="E274" s="8"/>
      <c r="F274" s="8"/>
      <c r="G274" s="8"/>
      <c r="H274" s="8"/>
      <c r="I274" s="4"/>
      <c r="J274" s="8"/>
    </row>
    <row r="275" customFormat="false" ht="15" hidden="false" customHeight="false" outlineLevel="0" collapsed="false">
      <c r="A275" s="4"/>
      <c r="B275" s="8"/>
      <c r="C275" s="8"/>
      <c r="D275" s="8"/>
      <c r="E275" s="8"/>
      <c r="F275" s="8"/>
      <c r="G275" s="8"/>
      <c r="H275" s="8"/>
      <c r="I275" s="4"/>
      <c r="J275" s="8"/>
    </row>
    <row r="276" customFormat="false" ht="15" hidden="false" customHeight="false" outlineLevel="0" collapsed="false">
      <c r="A276" s="4"/>
      <c r="B276" s="8"/>
      <c r="C276" s="8"/>
      <c r="D276" s="8"/>
      <c r="E276" s="8"/>
      <c r="F276" s="8"/>
      <c r="G276" s="8"/>
      <c r="H276" s="8"/>
      <c r="I276" s="4"/>
      <c r="J276" s="8"/>
    </row>
    <row r="277" customFormat="false" ht="15" hidden="false" customHeight="false" outlineLevel="0" collapsed="false">
      <c r="A277" s="4"/>
      <c r="B277" s="8"/>
      <c r="C277" s="8"/>
      <c r="D277" s="8"/>
      <c r="E277" s="8"/>
      <c r="F277" s="8"/>
      <c r="G277" s="8"/>
      <c r="H277" s="8"/>
      <c r="I277" s="4"/>
      <c r="J277" s="8"/>
    </row>
    <row r="278" customFormat="false" ht="15" hidden="false" customHeight="false" outlineLevel="0" collapsed="false">
      <c r="A278" s="4"/>
      <c r="B278" s="8"/>
      <c r="C278" s="8"/>
      <c r="D278" s="8"/>
      <c r="E278" s="8"/>
      <c r="F278" s="8"/>
      <c r="G278" s="8"/>
      <c r="H278" s="8"/>
      <c r="I278" s="4"/>
      <c r="J278" s="8"/>
    </row>
    <row r="279" customFormat="false" ht="15" hidden="false" customHeight="false" outlineLevel="0" collapsed="false">
      <c r="A279" s="4"/>
      <c r="B279" s="8"/>
      <c r="C279" s="8"/>
      <c r="D279" s="8"/>
      <c r="E279" s="8"/>
      <c r="F279" s="8"/>
      <c r="G279" s="8"/>
      <c r="H279" s="8"/>
      <c r="I279" s="4"/>
      <c r="J279" s="8"/>
    </row>
    <row r="280" customFormat="false" ht="15" hidden="false" customHeight="false" outlineLevel="0" collapsed="false">
      <c r="A280" s="4"/>
      <c r="B280" s="8"/>
      <c r="C280" s="8"/>
      <c r="D280" s="8"/>
      <c r="E280" s="8"/>
      <c r="F280" s="8"/>
      <c r="G280" s="8"/>
      <c r="H280" s="8"/>
      <c r="I280" s="4"/>
      <c r="J280" s="8"/>
    </row>
    <row r="281" customFormat="false" ht="15" hidden="false" customHeight="false" outlineLevel="0" collapsed="false">
      <c r="A281" s="4"/>
      <c r="B281" s="8"/>
      <c r="C281" s="8"/>
      <c r="D281" s="8"/>
      <c r="E281" s="8"/>
      <c r="F281" s="8"/>
      <c r="G281" s="8"/>
      <c r="H281" s="8"/>
      <c r="I281" s="4"/>
      <c r="J281" s="8"/>
    </row>
    <row r="282" customFormat="false" ht="15" hidden="false" customHeight="false" outlineLevel="0" collapsed="false">
      <c r="A282" s="4"/>
      <c r="B282" s="8"/>
      <c r="C282" s="8"/>
      <c r="D282" s="8"/>
      <c r="E282" s="8"/>
      <c r="F282" s="8"/>
      <c r="G282" s="8"/>
      <c r="H282" s="8"/>
      <c r="I282" s="4"/>
      <c r="J282" s="8"/>
    </row>
    <row r="283" customFormat="false" ht="15" hidden="false" customHeight="false" outlineLevel="0" collapsed="false">
      <c r="A283" s="4"/>
      <c r="B283" s="8"/>
      <c r="C283" s="8"/>
      <c r="D283" s="8"/>
      <c r="E283" s="8"/>
      <c r="F283" s="8"/>
      <c r="G283" s="8"/>
      <c r="H283" s="8"/>
      <c r="I283" s="4"/>
      <c r="J283" s="8"/>
    </row>
    <row r="284" customFormat="false" ht="15" hidden="false" customHeight="false" outlineLevel="0" collapsed="false">
      <c r="A284" s="4"/>
      <c r="B284" s="8"/>
      <c r="C284" s="8"/>
      <c r="D284" s="8"/>
      <c r="E284" s="8"/>
      <c r="F284" s="8"/>
      <c r="G284" s="8"/>
      <c r="H284" s="8"/>
      <c r="I284" s="4"/>
      <c r="J284" s="8"/>
    </row>
    <row r="285" customFormat="false" ht="15" hidden="false" customHeight="false" outlineLevel="0" collapsed="false">
      <c r="A285" s="4"/>
      <c r="B285" s="8"/>
      <c r="C285" s="8"/>
      <c r="D285" s="8"/>
      <c r="E285" s="8"/>
      <c r="F285" s="8"/>
      <c r="G285" s="8"/>
      <c r="H285" s="8"/>
      <c r="I285" s="4"/>
      <c r="J285" s="8"/>
    </row>
    <row r="286" customFormat="false" ht="15" hidden="false" customHeight="false" outlineLevel="0" collapsed="false">
      <c r="A286" s="4"/>
      <c r="B286" s="8"/>
      <c r="C286" s="8"/>
      <c r="D286" s="8"/>
      <c r="E286" s="8"/>
      <c r="F286" s="8"/>
      <c r="G286" s="8"/>
      <c r="H286" s="8"/>
      <c r="I286" s="4"/>
      <c r="J286" s="8"/>
    </row>
    <row r="287" customFormat="false" ht="15" hidden="false" customHeight="false" outlineLevel="0" collapsed="false">
      <c r="A287" s="4"/>
      <c r="B287" s="8"/>
      <c r="C287" s="8"/>
      <c r="D287" s="8"/>
      <c r="E287" s="8"/>
      <c r="F287" s="8"/>
      <c r="G287" s="8"/>
      <c r="H287" s="8"/>
      <c r="I287" s="4"/>
      <c r="J287" s="8"/>
    </row>
    <row r="288" customFormat="false" ht="15" hidden="false" customHeight="false" outlineLevel="0" collapsed="false">
      <c r="A288" s="4"/>
      <c r="B288" s="8"/>
      <c r="C288" s="8"/>
      <c r="D288" s="8"/>
      <c r="E288" s="8"/>
      <c r="F288" s="8"/>
      <c r="G288" s="8"/>
      <c r="H288" s="8"/>
      <c r="I288" s="4"/>
      <c r="J288" s="8"/>
    </row>
    <row r="289" customFormat="false" ht="15" hidden="false" customHeight="false" outlineLevel="0" collapsed="false">
      <c r="A289" s="4"/>
      <c r="B289" s="8"/>
      <c r="C289" s="8"/>
      <c r="D289" s="8"/>
      <c r="E289" s="8"/>
      <c r="F289" s="8"/>
      <c r="G289" s="8"/>
      <c r="H289" s="8"/>
      <c r="I289" s="4"/>
      <c r="J289" s="8"/>
    </row>
    <row r="290" customFormat="false" ht="15" hidden="false" customHeight="false" outlineLevel="0" collapsed="false">
      <c r="A290" s="4"/>
      <c r="B290" s="8"/>
      <c r="C290" s="8"/>
      <c r="D290" s="8"/>
      <c r="E290" s="8"/>
      <c r="F290" s="8"/>
      <c r="G290" s="8"/>
      <c r="H290" s="8"/>
      <c r="I290" s="4"/>
      <c r="J290" s="8"/>
    </row>
    <row r="291" customFormat="false" ht="15" hidden="false" customHeight="false" outlineLevel="0" collapsed="false">
      <c r="A291" s="4"/>
      <c r="B291" s="8"/>
      <c r="C291" s="8"/>
      <c r="D291" s="8"/>
      <c r="E291" s="8"/>
      <c r="F291" s="8"/>
      <c r="G291" s="8"/>
      <c r="H291" s="8"/>
      <c r="I291" s="4"/>
      <c r="J291" s="8"/>
    </row>
    <row r="292" customFormat="false" ht="15" hidden="false" customHeight="false" outlineLevel="0" collapsed="false">
      <c r="A292" s="4"/>
      <c r="B292" s="8"/>
      <c r="C292" s="8"/>
      <c r="D292" s="8"/>
      <c r="E292" s="8"/>
      <c r="F292" s="8"/>
      <c r="G292" s="8"/>
      <c r="H292" s="8"/>
      <c r="I292" s="4"/>
      <c r="J292" s="8"/>
    </row>
    <row r="293" customFormat="false" ht="15" hidden="false" customHeight="false" outlineLevel="0" collapsed="false">
      <c r="A293" s="4"/>
      <c r="B293" s="8"/>
      <c r="C293" s="8"/>
      <c r="D293" s="8"/>
      <c r="E293" s="8"/>
      <c r="F293" s="8"/>
      <c r="G293" s="8"/>
      <c r="H293" s="8"/>
      <c r="I293" s="4"/>
      <c r="J293" s="8"/>
    </row>
    <row r="294" customFormat="false" ht="15" hidden="false" customHeight="false" outlineLevel="0" collapsed="false">
      <c r="A294" s="4"/>
      <c r="B294" s="8"/>
      <c r="C294" s="8"/>
      <c r="D294" s="8"/>
      <c r="E294" s="8"/>
      <c r="F294" s="8"/>
      <c r="G294" s="8"/>
      <c r="H294" s="8"/>
      <c r="I294" s="4"/>
      <c r="J294" s="8"/>
    </row>
    <row r="295" customFormat="false" ht="15" hidden="false" customHeight="false" outlineLevel="0" collapsed="false">
      <c r="A295" s="4"/>
      <c r="B295" s="8"/>
      <c r="C295" s="8"/>
      <c r="D295" s="8"/>
      <c r="E295" s="8"/>
      <c r="F295" s="8"/>
      <c r="G295" s="8"/>
      <c r="H295" s="8"/>
      <c r="I295" s="4"/>
      <c r="J295" s="8"/>
    </row>
    <row r="296" customFormat="false" ht="15" hidden="false" customHeight="false" outlineLevel="0" collapsed="false">
      <c r="A296" s="4"/>
      <c r="B296" s="8"/>
      <c r="C296" s="8"/>
      <c r="D296" s="8"/>
      <c r="E296" s="8"/>
      <c r="F296" s="8"/>
      <c r="G296" s="8"/>
      <c r="H296" s="8"/>
      <c r="I296" s="4"/>
      <c r="J296" s="8"/>
    </row>
    <row r="297" customFormat="false" ht="15" hidden="false" customHeight="false" outlineLevel="0" collapsed="false">
      <c r="A297" s="4"/>
      <c r="B297" s="8"/>
      <c r="C297" s="8"/>
      <c r="D297" s="8"/>
      <c r="E297" s="8"/>
      <c r="F297" s="8"/>
      <c r="G297" s="8"/>
      <c r="H297" s="8"/>
      <c r="I297" s="4"/>
      <c r="J297" s="8"/>
    </row>
    <row r="298" customFormat="false" ht="15" hidden="false" customHeight="false" outlineLevel="0" collapsed="false">
      <c r="A298" s="4"/>
      <c r="B298" s="8"/>
      <c r="C298" s="8"/>
      <c r="D298" s="8"/>
      <c r="E298" s="8"/>
      <c r="F298" s="8"/>
      <c r="G298" s="8"/>
      <c r="H298" s="8"/>
      <c r="I298" s="4"/>
      <c r="J298" s="8"/>
    </row>
    <row r="299" customFormat="false" ht="15" hidden="false" customHeight="false" outlineLevel="0" collapsed="false">
      <c r="A299" s="4"/>
      <c r="B299" s="8"/>
      <c r="C299" s="8"/>
      <c r="D299" s="8"/>
      <c r="E299" s="8"/>
      <c r="F299" s="8"/>
      <c r="G299" s="8"/>
      <c r="H299" s="8"/>
      <c r="I299" s="4"/>
      <c r="J299" s="8"/>
    </row>
    <row r="300" customFormat="false" ht="15" hidden="false" customHeight="false" outlineLevel="0" collapsed="false">
      <c r="A300" s="4"/>
      <c r="B300" s="8"/>
      <c r="C300" s="8"/>
      <c r="D300" s="8"/>
      <c r="E300" s="8"/>
      <c r="F300" s="8"/>
      <c r="G300" s="8"/>
      <c r="H300" s="8"/>
      <c r="I300" s="4"/>
      <c r="J300" s="8"/>
    </row>
  </sheetData>
  <autoFilter ref="A1:J300"/>
  <dataValidations count="3">
    <dataValidation allowBlank="true" error="Choose a value from the GrammarTier list (Lists sheet), or leave blank." errorStyle="stop" errorTitle="Not on the list" operator="between" showDropDown="false" showErrorMessage="true" showInputMessage="false" sqref="B2:B300" type="list">
      <formula1>Lists!$H$2:$H$3</formula1>
      <formula2>0</formula2>
    </dataValidation>
    <dataValidation allowBlank="true" error="Choose a value from the Status list (Lists sheet), or leave blank." errorStyle="stop" errorTitle="Not on the list" operator="between" showDropDown="false" showErrorMessage="true" showInputMessage="false" sqref="G2:G300" type="list">
      <formula1>Lists!$E$2:$E$6</formula1>
      <formula2>0</formula2>
    </dataValidation>
    <dataValidation allowBlank="true" error="Choose a value from the Origin list (Lists sheet), or leave blank." errorStyle="stop" errorTitle="Not on the list" operator="between" showDropDown="false" showErrorMessage="true" showInputMessage="false" sqref="H2:H300" type="list">
      <formula1>Lists!$F$2:$F$3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50"/>
    <col collapsed="false" customWidth="true" hidden="false" outlineLevel="0" max="4" min="4" style="0" width="12"/>
    <col collapsed="false" customWidth="true" hidden="false" outlineLevel="0" max="6" min="5" style="0" width="10"/>
    <col collapsed="false" customWidth="true" hidden="false" outlineLevel="0" max="7" min="7" style="0" width="30"/>
  </cols>
  <sheetData>
    <row r="1" customFormat="false" ht="31.5" hidden="false" customHeight="true" outlineLevel="0" collapsed="false">
      <c r="A1" s="7" t="s">
        <v>88</v>
      </c>
      <c r="B1" s="7" t="s">
        <v>89</v>
      </c>
      <c r="C1" s="7" t="s">
        <v>93</v>
      </c>
      <c r="D1" s="7" t="s">
        <v>8217</v>
      </c>
      <c r="E1" s="7" t="s">
        <v>54</v>
      </c>
      <c r="F1" s="7" t="s">
        <v>5</v>
      </c>
      <c r="G1" s="7" t="s">
        <v>97</v>
      </c>
    </row>
    <row r="2" customFormat="false" ht="15" hidden="false" customHeight="false" outlineLevel="0" collapsed="false">
      <c r="A2" s="4" t="s">
        <v>8218</v>
      </c>
      <c r="B2" s="8" t="s">
        <v>8219</v>
      </c>
      <c r="C2" s="8" t="s">
        <v>8220</v>
      </c>
      <c r="D2" s="8" t="s">
        <v>8221</v>
      </c>
      <c r="E2" s="8" t="s">
        <v>61</v>
      </c>
      <c r="F2" s="8" t="s">
        <v>62</v>
      </c>
      <c r="G2" s="8"/>
    </row>
    <row r="3" customFormat="false" ht="15" hidden="false" customHeight="false" outlineLevel="0" collapsed="false">
      <c r="A3" s="4" t="s">
        <v>8222</v>
      </c>
      <c r="B3" s="8" t="s">
        <v>8223</v>
      </c>
      <c r="C3" s="8" t="s">
        <v>8224</v>
      </c>
      <c r="D3" s="8" t="s">
        <v>8221</v>
      </c>
      <c r="E3" s="8" t="s">
        <v>61</v>
      </c>
      <c r="F3" s="8" t="s">
        <v>62</v>
      </c>
      <c r="G3" s="8"/>
    </row>
    <row r="4" customFormat="false" ht="15" hidden="false" customHeight="false" outlineLevel="0" collapsed="false">
      <c r="A4" s="4" t="s">
        <v>8225</v>
      </c>
      <c r="B4" s="8" t="s">
        <v>8226</v>
      </c>
      <c r="C4" s="8" t="s">
        <v>8227</v>
      </c>
      <c r="D4" s="8" t="s">
        <v>8221</v>
      </c>
      <c r="E4" s="8" t="s">
        <v>69</v>
      </c>
      <c r="F4" s="8" t="s">
        <v>62</v>
      </c>
      <c r="G4" s="8"/>
    </row>
    <row r="5" customFormat="false" ht="15" hidden="false" customHeight="false" outlineLevel="0" collapsed="false">
      <c r="A5" s="4" t="s">
        <v>8228</v>
      </c>
      <c r="B5" s="8" t="s">
        <v>8229</v>
      </c>
      <c r="C5" s="8" t="s">
        <v>8230</v>
      </c>
      <c r="D5" s="8" t="s">
        <v>8221</v>
      </c>
      <c r="E5" s="8" t="s">
        <v>69</v>
      </c>
      <c r="F5" s="8" t="s">
        <v>62</v>
      </c>
      <c r="G5" s="8"/>
    </row>
    <row r="6" customFormat="false" ht="15" hidden="false" customHeight="false" outlineLevel="0" collapsed="false">
      <c r="A6" s="4" t="s">
        <v>8231</v>
      </c>
      <c r="B6" s="8" t="s">
        <v>8232</v>
      </c>
      <c r="C6" s="8" t="s">
        <v>8233</v>
      </c>
      <c r="D6" s="8" t="s">
        <v>8234</v>
      </c>
      <c r="E6" s="8" t="s">
        <v>61</v>
      </c>
      <c r="F6" s="8" t="s">
        <v>62</v>
      </c>
      <c r="G6" s="8"/>
    </row>
    <row r="7" customFormat="false" ht="15" hidden="false" customHeight="false" outlineLevel="0" collapsed="false">
      <c r="A7" s="4" t="s">
        <v>8235</v>
      </c>
      <c r="B7" s="8" t="s">
        <v>8236</v>
      </c>
      <c r="C7" s="8" t="s">
        <v>8237</v>
      </c>
      <c r="D7" s="8" t="s">
        <v>8234</v>
      </c>
      <c r="E7" s="8" t="s">
        <v>61</v>
      </c>
      <c r="F7" s="8" t="s">
        <v>62</v>
      </c>
      <c r="G7" s="8"/>
    </row>
    <row r="8" customFormat="false" ht="15" hidden="false" customHeight="false" outlineLevel="0" collapsed="false">
      <c r="A8" s="4" t="s">
        <v>8238</v>
      </c>
      <c r="B8" s="8" t="s">
        <v>8239</v>
      </c>
      <c r="C8" s="8" t="s">
        <v>8240</v>
      </c>
      <c r="D8" s="8" t="s">
        <v>8234</v>
      </c>
      <c r="E8" s="8" t="s">
        <v>61</v>
      </c>
      <c r="F8" s="8" t="s">
        <v>62</v>
      </c>
      <c r="G8" s="8"/>
    </row>
    <row r="9" customFormat="false" ht="15" hidden="false" customHeight="false" outlineLevel="0" collapsed="false">
      <c r="A9" s="4" t="s">
        <v>8241</v>
      </c>
      <c r="B9" s="8" t="s">
        <v>8242</v>
      </c>
      <c r="C9" s="8" t="s">
        <v>8243</v>
      </c>
      <c r="D9" s="8" t="s">
        <v>8234</v>
      </c>
      <c r="E9" s="8" t="s">
        <v>61</v>
      </c>
      <c r="F9" s="8" t="s">
        <v>62</v>
      </c>
      <c r="G9" s="8"/>
    </row>
    <row r="10" customFormat="false" ht="15" hidden="false" customHeight="false" outlineLevel="0" collapsed="false">
      <c r="A10" s="4" t="s">
        <v>8244</v>
      </c>
      <c r="B10" s="8" t="s">
        <v>8245</v>
      </c>
      <c r="C10" s="8" t="s">
        <v>8246</v>
      </c>
      <c r="D10" s="8" t="s">
        <v>8234</v>
      </c>
      <c r="E10" s="8" t="s">
        <v>61</v>
      </c>
      <c r="F10" s="8" t="s">
        <v>62</v>
      </c>
      <c r="G10" s="8"/>
    </row>
    <row r="11" customFormat="false" ht="15" hidden="false" customHeight="false" outlineLevel="0" collapsed="false">
      <c r="A11" s="4" t="s">
        <v>8247</v>
      </c>
      <c r="B11" s="8" t="s">
        <v>8248</v>
      </c>
      <c r="C11" s="8" t="s">
        <v>8249</v>
      </c>
      <c r="D11" s="8" t="s">
        <v>8234</v>
      </c>
      <c r="E11" s="8" t="s">
        <v>61</v>
      </c>
      <c r="F11" s="8" t="s">
        <v>62</v>
      </c>
      <c r="G11" s="8"/>
    </row>
    <row r="12" customFormat="false" ht="15" hidden="false" customHeight="false" outlineLevel="0" collapsed="false">
      <c r="A12" s="4" t="s">
        <v>8250</v>
      </c>
      <c r="B12" s="8" t="s">
        <v>8251</v>
      </c>
      <c r="C12" s="8" t="s">
        <v>8252</v>
      </c>
      <c r="D12" s="8" t="s">
        <v>8234</v>
      </c>
      <c r="E12" s="8" t="s">
        <v>61</v>
      </c>
      <c r="F12" s="8" t="s">
        <v>62</v>
      </c>
      <c r="G12" s="8"/>
    </row>
    <row r="13" customFormat="false" ht="15" hidden="false" customHeight="false" outlineLevel="0" collapsed="false">
      <c r="A13" s="4" t="s">
        <v>8253</v>
      </c>
      <c r="B13" s="8" t="s">
        <v>8254</v>
      </c>
      <c r="C13" s="8" t="s">
        <v>8255</v>
      </c>
      <c r="D13" s="8" t="s">
        <v>8234</v>
      </c>
      <c r="E13" s="8" t="s">
        <v>61</v>
      </c>
      <c r="F13" s="8" t="s">
        <v>62</v>
      </c>
      <c r="G13" s="8"/>
    </row>
    <row r="14" customFormat="false" ht="15" hidden="false" customHeight="false" outlineLevel="0" collapsed="false">
      <c r="A14" s="4" t="s">
        <v>8256</v>
      </c>
      <c r="B14" s="8" t="s">
        <v>8257</v>
      </c>
      <c r="C14" s="8" t="s">
        <v>8258</v>
      </c>
      <c r="D14" s="8" t="s">
        <v>8234</v>
      </c>
      <c r="E14" s="8" t="s">
        <v>61</v>
      </c>
      <c r="F14" s="8" t="s">
        <v>62</v>
      </c>
      <c r="G14" s="8"/>
    </row>
    <row r="15" customFormat="false" ht="15" hidden="false" customHeight="false" outlineLevel="0" collapsed="false">
      <c r="A15" s="4" t="s">
        <v>8259</v>
      </c>
      <c r="B15" s="8" t="s">
        <v>8260</v>
      </c>
      <c r="C15" s="8" t="s">
        <v>8261</v>
      </c>
      <c r="D15" s="8" t="s">
        <v>8234</v>
      </c>
      <c r="E15" s="8" t="s">
        <v>61</v>
      </c>
      <c r="F15" s="8" t="s">
        <v>62</v>
      </c>
      <c r="G15" s="8"/>
    </row>
    <row r="16" customFormat="false" ht="15" hidden="false" customHeight="false" outlineLevel="0" collapsed="false">
      <c r="A16" s="4" t="s">
        <v>8262</v>
      </c>
      <c r="B16" s="8" t="s">
        <v>8263</v>
      </c>
      <c r="C16" s="8" t="s">
        <v>8264</v>
      </c>
      <c r="D16" s="8" t="s">
        <v>8234</v>
      </c>
      <c r="E16" s="8" t="s">
        <v>69</v>
      </c>
      <c r="F16" s="8" t="s">
        <v>62</v>
      </c>
      <c r="G16" s="8"/>
    </row>
    <row r="17" customFormat="false" ht="15" hidden="false" customHeight="false" outlineLevel="0" collapsed="false">
      <c r="A17" s="4" t="s">
        <v>8265</v>
      </c>
      <c r="B17" s="8" t="s">
        <v>8266</v>
      </c>
      <c r="C17" s="8" t="s">
        <v>8267</v>
      </c>
      <c r="D17" s="8" t="s">
        <v>8234</v>
      </c>
      <c r="E17" s="8" t="s">
        <v>69</v>
      </c>
      <c r="F17" s="8" t="s">
        <v>62</v>
      </c>
      <c r="G17" s="8"/>
    </row>
    <row r="18" customFormat="false" ht="15" hidden="false" customHeight="false" outlineLevel="0" collapsed="false">
      <c r="A18" s="4" t="s">
        <v>8268</v>
      </c>
      <c r="B18" s="8" t="s">
        <v>8269</v>
      </c>
      <c r="C18" s="8" t="s">
        <v>8270</v>
      </c>
      <c r="D18" s="8" t="s">
        <v>8234</v>
      </c>
      <c r="E18" s="8" t="s">
        <v>69</v>
      </c>
      <c r="F18" s="8" t="s">
        <v>62</v>
      </c>
      <c r="G18" s="8"/>
    </row>
    <row r="19" customFormat="false" ht="15" hidden="false" customHeight="false" outlineLevel="0" collapsed="false">
      <c r="A19" s="4" t="s">
        <v>8271</v>
      </c>
      <c r="B19" s="8" t="s">
        <v>8272</v>
      </c>
      <c r="C19" s="8" t="s">
        <v>8273</v>
      </c>
      <c r="D19" s="8" t="s">
        <v>8274</v>
      </c>
      <c r="E19" s="8" t="s">
        <v>61</v>
      </c>
      <c r="F19" s="8" t="s">
        <v>62</v>
      </c>
      <c r="G19" s="8"/>
    </row>
    <row r="20" customFormat="false" ht="26.85" hidden="false" customHeight="false" outlineLevel="0" collapsed="false">
      <c r="A20" s="4" t="s">
        <v>8275</v>
      </c>
      <c r="B20" s="8" t="s">
        <v>8276</v>
      </c>
      <c r="C20" s="8" t="s">
        <v>8277</v>
      </c>
      <c r="D20" s="8" t="s">
        <v>8274</v>
      </c>
      <c r="E20" s="8" t="s">
        <v>61</v>
      </c>
      <c r="F20" s="8" t="s">
        <v>62</v>
      </c>
      <c r="G20" s="8"/>
    </row>
    <row r="21" customFormat="false" ht="15" hidden="false" customHeight="false" outlineLevel="0" collapsed="false">
      <c r="A21" s="4"/>
      <c r="B21" s="8"/>
      <c r="C21" s="8"/>
      <c r="D21" s="8"/>
      <c r="E21" s="8"/>
      <c r="F21" s="8"/>
      <c r="G21" s="8"/>
    </row>
    <row r="22" customFormat="false" ht="15" hidden="false" customHeight="false" outlineLevel="0" collapsed="false">
      <c r="A22" s="4"/>
      <c r="B22" s="8"/>
      <c r="C22" s="8"/>
      <c r="D22" s="8"/>
      <c r="E22" s="8"/>
      <c r="F22" s="8"/>
      <c r="G22" s="8"/>
    </row>
    <row r="23" customFormat="false" ht="15" hidden="false" customHeight="false" outlineLevel="0" collapsed="false">
      <c r="A23" s="4"/>
      <c r="B23" s="8"/>
      <c r="C23" s="8"/>
      <c r="D23" s="8"/>
      <c r="E23" s="8"/>
      <c r="F23" s="8"/>
      <c r="G23" s="8"/>
    </row>
    <row r="24" customFormat="false" ht="15" hidden="false" customHeight="false" outlineLevel="0" collapsed="false">
      <c r="A24" s="4"/>
      <c r="B24" s="8"/>
      <c r="C24" s="8"/>
      <c r="D24" s="8"/>
      <c r="E24" s="8"/>
      <c r="F24" s="8"/>
      <c r="G24" s="8"/>
    </row>
    <row r="25" customFormat="false" ht="15" hidden="false" customHeight="false" outlineLevel="0" collapsed="false">
      <c r="A25" s="4"/>
      <c r="B25" s="8"/>
      <c r="C25" s="8"/>
      <c r="D25" s="8"/>
      <c r="E25" s="8"/>
      <c r="F25" s="8"/>
      <c r="G25" s="8"/>
    </row>
    <row r="26" customFormat="false" ht="15" hidden="false" customHeight="false" outlineLevel="0" collapsed="false">
      <c r="A26" s="4"/>
      <c r="B26" s="8"/>
      <c r="C26" s="8"/>
      <c r="D26" s="8"/>
      <c r="E26" s="8"/>
      <c r="F26" s="8"/>
      <c r="G26" s="8"/>
    </row>
    <row r="27" customFormat="false" ht="15" hidden="false" customHeight="false" outlineLevel="0" collapsed="false">
      <c r="A27" s="4"/>
      <c r="B27" s="8"/>
      <c r="C27" s="8"/>
      <c r="D27" s="8"/>
      <c r="E27" s="8"/>
      <c r="F27" s="8"/>
      <c r="G27" s="8"/>
    </row>
    <row r="28" customFormat="false" ht="15" hidden="false" customHeight="false" outlineLevel="0" collapsed="false">
      <c r="A28" s="4"/>
      <c r="B28" s="8"/>
      <c r="C28" s="8"/>
      <c r="D28" s="8"/>
      <c r="E28" s="8"/>
      <c r="F28" s="8"/>
      <c r="G28" s="8"/>
    </row>
    <row r="29" customFormat="false" ht="15" hidden="false" customHeight="false" outlineLevel="0" collapsed="false">
      <c r="A29" s="4"/>
      <c r="B29" s="8"/>
      <c r="C29" s="8"/>
      <c r="D29" s="8"/>
      <c r="E29" s="8"/>
      <c r="F29" s="8"/>
      <c r="G29" s="8"/>
    </row>
    <row r="30" customFormat="false" ht="15" hidden="false" customHeight="false" outlineLevel="0" collapsed="false">
      <c r="A30" s="4"/>
      <c r="B30" s="8"/>
      <c r="C30" s="8"/>
      <c r="D30" s="8"/>
      <c r="E30" s="8"/>
      <c r="F30" s="8"/>
      <c r="G30" s="8"/>
    </row>
    <row r="31" customFormat="false" ht="15" hidden="false" customHeight="false" outlineLevel="0" collapsed="false">
      <c r="A31" s="4"/>
      <c r="B31" s="8"/>
      <c r="C31" s="8"/>
      <c r="D31" s="8"/>
      <c r="E31" s="8"/>
      <c r="F31" s="8"/>
      <c r="G31" s="8"/>
    </row>
    <row r="32" customFormat="false" ht="15" hidden="false" customHeight="false" outlineLevel="0" collapsed="false">
      <c r="A32" s="4"/>
      <c r="B32" s="8"/>
      <c r="C32" s="8"/>
      <c r="D32" s="8"/>
      <c r="E32" s="8"/>
      <c r="F32" s="8"/>
      <c r="G32" s="8"/>
    </row>
    <row r="33" customFormat="false" ht="15" hidden="false" customHeight="false" outlineLevel="0" collapsed="false">
      <c r="A33" s="4"/>
      <c r="B33" s="8"/>
      <c r="C33" s="8"/>
      <c r="D33" s="8"/>
      <c r="E33" s="8"/>
      <c r="F33" s="8"/>
      <c r="G33" s="8"/>
    </row>
    <row r="34" customFormat="false" ht="15" hidden="false" customHeight="false" outlineLevel="0" collapsed="false">
      <c r="A34" s="4"/>
      <c r="B34" s="8"/>
      <c r="C34" s="8"/>
      <c r="D34" s="8"/>
      <c r="E34" s="8"/>
      <c r="F34" s="8"/>
      <c r="G34" s="8"/>
    </row>
    <row r="35" customFormat="false" ht="15" hidden="false" customHeight="false" outlineLevel="0" collapsed="false">
      <c r="A35" s="4"/>
      <c r="B35" s="8"/>
      <c r="C35" s="8"/>
      <c r="D35" s="8"/>
      <c r="E35" s="8"/>
      <c r="F35" s="8"/>
      <c r="G35" s="8"/>
    </row>
    <row r="36" customFormat="false" ht="15" hidden="false" customHeight="false" outlineLevel="0" collapsed="false">
      <c r="A36" s="4"/>
      <c r="B36" s="8"/>
      <c r="C36" s="8"/>
      <c r="D36" s="8"/>
      <c r="E36" s="8"/>
      <c r="F36" s="8"/>
      <c r="G36" s="8"/>
    </row>
    <row r="37" customFormat="false" ht="15" hidden="false" customHeight="false" outlineLevel="0" collapsed="false">
      <c r="A37" s="4"/>
      <c r="B37" s="8"/>
      <c r="C37" s="8"/>
      <c r="D37" s="8"/>
      <c r="E37" s="8"/>
      <c r="F37" s="8"/>
      <c r="G37" s="8"/>
    </row>
    <row r="38" customFormat="false" ht="15" hidden="false" customHeight="false" outlineLevel="0" collapsed="false">
      <c r="A38" s="4"/>
      <c r="B38" s="8"/>
      <c r="C38" s="8"/>
      <c r="D38" s="8"/>
      <c r="E38" s="8"/>
      <c r="F38" s="8"/>
      <c r="G38" s="8"/>
    </row>
    <row r="39" customFormat="false" ht="15" hidden="false" customHeight="false" outlineLevel="0" collapsed="false">
      <c r="A39" s="4"/>
      <c r="B39" s="8"/>
      <c r="C39" s="8"/>
      <c r="D39" s="8"/>
      <c r="E39" s="8"/>
      <c r="F39" s="8"/>
      <c r="G39" s="8"/>
    </row>
    <row r="40" customFormat="false" ht="15" hidden="false" customHeight="false" outlineLevel="0" collapsed="false">
      <c r="A40" s="4"/>
      <c r="B40" s="8"/>
      <c r="C40" s="8"/>
      <c r="D40" s="8"/>
      <c r="E40" s="8"/>
      <c r="F40" s="8"/>
      <c r="G40" s="8"/>
    </row>
    <row r="41" customFormat="false" ht="15" hidden="false" customHeight="false" outlineLevel="0" collapsed="false">
      <c r="A41" s="4"/>
      <c r="B41" s="8"/>
      <c r="C41" s="8"/>
      <c r="D41" s="8"/>
      <c r="E41" s="8"/>
      <c r="F41" s="8"/>
      <c r="G41" s="8"/>
    </row>
    <row r="42" customFormat="false" ht="15" hidden="false" customHeight="false" outlineLevel="0" collapsed="false">
      <c r="A42" s="4"/>
      <c r="B42" s="8"/>
      <c r="C42" s="8"/>
      <c r="D42" s="8"/>
      <c r="E42" s="8"/>
      <c r="F42" s="8"/>
      <c r="G42" s="8"/>
    </row>
    <row r="43" customFormat="false" ht="15" hidden="false" customHeight="false" outlineLevel="0" collapsed="false">
      <c r="A43" s="4"/>
      <c r="B43" s="8"/>
      <c r="C43" s="8"/>
      <c r="D43" s="8"/>
      <c r="E43" s="8"/>
      <c r="F43" s="8"/>
      <c r="G43" s="8"/>
    </row>
    <row r="44" customFormat="false" ht="15" hidden="false" customHeight="false" outlineLevel="0" collapsed="false">
      <c r="A44" s="4"/>
      <c r="B44" s="8"/>
      <c r="C44" s="8"/>
      <c r="D44" s="8"/>
      <c r="E44" s="8"/>
      <c r="F44" s="8"/>
      <c r="G44" s="8"/>
    </row>
    <row r="45" customFormat="false" ht="15" hidden="false" customHeight="false" outlineLevel="0" collapsed="false">
      <c r="A45" s="4"/>
      <c r="B45" s="8"/>
      <c r="C45" s="8"/>
      <c r="D45" s="8"/>
      <c r="E45" s="8"/>
      <c r="F45" s="8"/>
      <c r="G45" s="8"/>
    </row>
    <row r="46" customFormat="false" ht="15" hidden="false" customHeight="false" outlineLevel="0" collapsed="false">
      <c r="A46" s="4"/>
      <c r="B46" s="8"/>
      <c r="C46" s="8"/>
      <c r="D46" s="8"/>
      <c r="E46" s="8"/>
      <c r="F46" s="8"/>
      <c r="G46" s="8"/>
    </row>
    <row r="47" customFormat="false" ht="15" hidden="false" customHeight="false" outlineLevel="0" collapsed="false">
      <c r="A47" s="4"/>
      <c r="B47" s="8"/>
      <c r="C47" s="8"/>
      <c r="D47" s="8"/>
      <c r="E47" s="8"/>
      <c r="F47" s="8"/>
      <c r="G47" s="8"/>
    </row>
    <row r="48" customFormat="false" ht="15" hidden="false" customHeight="false" outlineLevel="0" collapsed="false">
      <c r="A48" s="4"/>
      <c r="B48" s="8"/>
      <c r="C48" s="8"/>
      <c r="D48" s="8"/>
      <c r="E48" s="8"/>
      <c r="F48" s="8"/>
      <c r="G48" s="8"/>
    </row>
    <row r="49" customFormat="false" ht="15" hidden="false" customHeight="false" outlineLevel="0" collapsed="false">
      <c r="A49" s="4"/>
      <c r="B49" s="8"/>
      <c r="C49" s="8"/>
      <c r="D49" s="8"/>
      <c r="E49" s="8"/>
      <c r="F49" s="8"/>
      <c r="G49" s="8"/>
    </row>
    <row r="50" customFormat="false" ht="15" hidden="false" customHeight="false" outlineLevel="0" collapsed="false">
      <c r="A50" s="4"/>
      <c r="B50" s="8"/>
      <c r="C50" s="8"/>
      <c r="D50" s="8"/>
      <c r="E50" s="8"/>
      <c r="F50" s="8"/>
      <c r="G50" s="8"/>
    </row>
    <row r="51" customFormat="false" ht="15" hidden="false" customHeight="false" outlineLevel="0" collapsed="false">
      <c r="A51" s="4"/>
      <c r="B51" s="8"/>
      <c r="C51" s="8"/>
      <c r="D51" s="8"/>
      <c r="E51" s="8"/>
      <c r="F51" s="8"/>
      <c r="G51" s="8"/>
    </row>
    <row r="52" customFormat="false" ht="15" hidden="false" customHeight="false" outlineLevel="0" collapsed="false">
      <c r="A52" s="4"/>
      <c r="B52" s="8"/>
      <c r="C52" s="8"/>
      <c r="D52" s="8"/>
      <c r="E52" s="8"/>
      <c r="F52" s="8"/>
      <c r="G52" s="8"/>
    </row>
    <row r="53" customFormat="false" ht="15" hidden="false" customHeight="false" outlineLevel="0" collapsed="false">
      <c r="A53" s="4"/>
      <c r="B53" s="8"/>
      <c r="C53" s="8"/>
      <c r="D53" s="8"/>
      <c r="E53" s="8"/>
      <c r="F53" s="8"/>
      <c r="G53" s="8"/>
    </row>
    <row r="54" customFormat="false" ht="15" hidden="false" customHeight="false" outlineLevel="0" collapsed="false">
      <c r="A54" s="4"/>
      <c r="B54" s="8"/>
      <c r="C54" s="8"/>
      <c r="D54" s="8"/>
      <c r="E54" s="8"/>
      <c r="F54" s="8"/>
      <c r="G54" s="8"/>
    </row>
    <row r="55" customFormat="false" ht="15" hidden="false" customHeight="false" outlineLevel="0" collapsed="false">
      <c r="A55" s="4"/>
      <c r="B55" s="8"/>
      <c r="C55" s="8"/>
      <c r="D55" s="8"/>
      <c r="E55" s="8"/>
      <c r="F55" s="8"/>
      <c r="G55" s="8"/>
    </row>
    <row r="56" customFormat="false" ht="15" hidden="false" customHeight="false" outlineLevel="0" collapsed="false">
      <c r="A56" s="4"/>
      <c r="B56" s="8"/>
      <c r="C56" s="8"/>
      <c r="D56" s="8"/>
      <c r="E56" s="8"/>
      <c r="F56" s="8"/>
      <c r="G56" s="8"/>
    </row>
    <row r="57" customFormat="false" ht="15" hidden="false" customHeight="false" outlineLevel="0" collapsed="false">
      <c r="A57" s="4"/>
      <c r="B57" s="8"/>
      <c r="C57" s="8"/>
      <c r="D57" s="8"/>
      <c r="E57" s="8"/>
      <c r="F57" s="8"/>
      <c r="G57" s="8"/>
    </row>
    <row r="58" customFormat="false" ht="15" hidden="false" customHeight="false" outlineLevel="0" collapsed="false">
      <c r="A58" s="4"/>
      <c r="B58" s="8"/>
      <c r="C58" s="8"/>
      <c r="D58" s="8"/>
      <c r="E58" s="8"/>
      <c r="F58" s="8"/>
      <c r="G58" s="8"/>
    </row>
    <row r="59" customFormat="false" ht="15" hidden="false" customHeight="false" outlineLevel="0" collapsed="false">
      <c r="A59" s="4"/>
      <c r="B59" s="8"/>
      <c r="C59" s="8"/>
      <c r="D59" s="8"/>
      <c r="E59" s="8"/>
      <c r="F59" s="8"/>
      <c r="G59" s="8"/>
    </row>
    <row r="60" customFormat="false" ht="15" hidden="false" customHeight="false" outlineLevel="0" collapsed="false">
      <c r="A60" s="4"/>
      <c r="B60" s="8"/>
      <c r="C60" s="8"/>
      <c r="D60" s="8"/>
      <c r="E60" s="8"/>
      <c r="F60" s="8"/>
      <c r="G60" s="8"/>
    </row>
    <row r="61" customFormat="false" ht="15" hidden="false" customHeight="false" outlineLevel="0" collapsed="false">
      <c r="A61" s="4"/>
      <c r="B61" s="8"/>
      <c r="C61" s="8"/>
      <c r="D61" s="8"/>
      <c r="E61" s="8"/>
      <c r="F61" s="8"/>
      <c r="G61" s="8"/>
    </row>
    <row r="62" customFormat="false" ht="15" hidden="false" customHeight="false" outlineLevel="0" collapsed="false">
      <c r="A62" s="4"/>
      <c r="B62" s="8"/>
      <c r="C62" s="8"/>
      <c r="D62" s="8"/>
      <c r="E62" s="8"/>
      <c r="F62" s="8"/>
      <c r="G62" s="8"/>
    </row>
    <row r="63" customFormat="false" ht="15" hidden="false" customHeight="false" outlineLevel="0" collapsed="false">
      <c r="A63" s="4"/>
      <c r="B63" s="8"/>
      <c r="C63" s="8"/>
      <c r="D63" s="8"/>
      <c r="E63" s="8"/>
      <c r="F63" s="8"/>
      <c r="G63" s="8"/>
    </row>
    <row r="64" customFormat="false" ht="15" hidden="false" customHeight="false" outlineLevel="0" collapsed="false">
      <c r="A64" s="4"/>
      <c r="B64" s="8"/>
      <c r="C64" s="8"/>
      <c r="D64" s="8"/>
      <c r="E64" s="8"/>
      <c r="F64" s="8"/>
      <c r="G64" s="8"/>
    </row>
    <row r="65" customFormat="false" ht="15" hidden="false" customHeight="false" outlineLevel="0" collapsed="false">
      <c r="A65" s="4"/>
      <c r="B65" s="8"/>
      <c r="C65" s="8"/>
      <c r="D65" s="8"/>
      <c r="E65" s="8"/>
      <c r="F65" s="8"/>
      <c r="G65" s="8"/>
    </row>
    <row r="66" customFormat="false" ht="15" hidden="false" customHeight="false" outlineLevel="0" collapsed="false">
      <c r="A66" s="4"/>
      <c r="B66" s="8"/>
      <c r="C66" s="8"/>
      <c r="D66" s="8"/>
      <c r="E66" s="8"/>
      <c r="F66" s="8"/>
      <c r="G66" s="8"/>
    </row>
    <row r="67" customFormat="false" ht="15" hidden="false" customHeight="false" outlineLevel="0" collapsed="false">
      <c r="A67" s="4"/>
      <c r="B67" s="8"/>
      <c r="C67" s="8"/>
      <c r="D67" s="8"/>
      <c r="E67" s="8"/>
      <c r="F67" s="8"/>
      <c r="G67" s="8"/>
    </row>
    <row r="68" customFormat="false" ht="15" hidden="false" customHeight="false" outlineLevel="0" collapsed="false">
      <c r="A68" s="4"/>
      <c r="B68" s="8"/>
      <c r="C68" s="8"/>
      <c r="D68" s="8"/>
      <c r="E68" s="8"/>
      <c r="F68" s="8"/>
      <c r="G68" s="8"/>
    </row>
    <row r="69" customFormat="false" ht="15" hidden="false" customHeight="false" outlineLevel="0" collapsed="false">
      <c r="A69" s="4"/>
      <c r="B69" s="8"/>
      <c r="C69" s="8"/>
      <c r="D69" s="8"/>
      <c r="E69" s="8"/>
      <c r="F69" s="8"/>
      <c r="G69" s="8"/>
    </row>
    <row r="70" customFormat="false" ht="15" hidden="false" customHeight="false" outlineLevel="0" collapsed="false">
      <c r="A70" s="4"/>
      <c r="B70" s="8"/>
      <c r="C70" s="8"/>
      <c r="D70" s="8"/>
      <c r="E70" s="8"/>
      <c r="F70" s="8"/>
      <c r="G70" s="8"/>
    </row>
    <row r="71" customFormat="false" ht="15" hidden="false" customHeight="false" outlineLevel="0" collapsed="false">
      <c r="A71" s="4"/>
      <c r="B71" s="8"/>
      <c r="C71" s="8"/>
      <c r="D71" s="8"/>
      <c r="E71" s="8"/>
      <c r="F71" s="8"/>
      <c r="G71" s="8"/>
    </row>
    <row r="72" customFormat="false" ht="15" hidden="false" customHeight="false" outlineLevel="0" collapsed="false">
      <c r="A72" s="4"/>
      <c r="B72" s="8"/>
      <c r="C72" s="8"/>
      <c r="D72" s="8"/>
      <c r="E72" s="8"/>
      <c r="F72" s="8"/>
      <c r="G72" s="8"/>
    </row>
    <row r="73" customFormat="false" ht="15" hidden="false" customHeight="false" outlineLevel="0" collapsed="false">
      <c r="A73" s="4"/>
      <c r="B73" s="8"/>
      <c r="C73" s="8"/>
      <c r="D73" s="8"/>
      <c r="E73" s="8"/>
      <c r="F73" s="8"/>
      <c r="G73" s="8"/>
    </row>
    <row r="74" customFormat="false" ht="15" hidden="false" customHeight="false" outlineLevel="0" collapsed="false">
      <c r="A74" s="4"/>
      <c r="B74" s="8"/>
      <c r="C74" s="8"/>
      <c r="D74" s="8"/>
      <c r="E74" s="8"/>
      <c r="F74" s="8"/>
      <c r="G74" s="8"/>
    </row>
    <row r="75" customFormat="false" ht="15" hidden="false" customHeight="false" outlineLevel="0" collapsed="false">
      <c r="A75" s="4"/>
      <c r="B75" s="8"/>
      <c r="C75" s="8"/>
      <c r="D75" s="8"/>
      <c r="E75" s="8"/>
      <c r="F75" s="8"/>
      <c r="G75" s="8"/>
    </row>
    <row r="76" customFormat="false" ht="15" hidden="false" customHeight="false" outlineLevel="0" collapsed="false">
      <c r="A76" s="4"/>
      <c r="B76" s="8"/>
      <c r="C76" s="8"/>
      <c r="D76" s="8"/>
      <c r="E76" s="8"/>
      <c r="F76" s="8"/>
      <c r="G76" s="8"/>
    </row>
    <row r="77" customFormat="false" ht="15" hidden="false" customHeight="false" outlineLevel="0" collapsed="false">
      <c r="A77" s="4"/>
      <c r="B77" s="8"/>
      <c r="C77" s="8"/>
      <c r="D77" s="8"/>
      <c r="E77" s="8"/>
      <c r="F77" s="8"/>
      <c r="G77" s="8"/>
    </row>
    <row r="78" customFormat="false" ht="15" hidden="false" customHeight="false" outlineLevel="0" collapsed="false">
      <c r="A78" s="4"/>
      <c r="B78" s="8"/>
      <c r="C78" s="8"/>
      <c r="D78" s="8"/>
      <c r="E78" s="8"/>
      <c r="F78" s="8"/>
      <c r="G78" s="8"/>
    </row>
    <row r="79" customFormat="false" ht="15" hidden="false" customHeight="false" outlineLevel="0" collapsed="false">
      <c r="A79" s="4"/>
      <c r="B79" s="8"/>
      <c r="C79" s="8"/>
      <c r="D79" s="8"/>
      <c r="E79" s="8"/>
      <c r="F79" s="8"/>
      <c r="G79" s="8"/>
    </row>
    <row r="80" customFormat="false" ht="15" hidden="false" customHeight="false" outlineLevel="0" collapsed="false">
      <c r="A80" s="4"/>
      <c r="B80" s="8"/>
      <c r="C80" s="8"/>
      <c r="D80" s="8"/>
      <c r="E80" s="8"/>
      <c r="F80" s="8"/>
      <c r="G80" s="8"/>
    </row>
    <row r="81" customFormat="false" ht="15" hidden="false" customHeight="false" outlineLevel="0" collapsed="false">
      <c r="A81" s="4"/>
      <c r="B81" s="8"/>
      <c r="C81" s="8"/>
      <c r="D81" s="8"/>
      <c r="E81" s="8"/>
      <c r="F81" s="8"/>
      <c r="G81" s="8"/>
    </row>
    <row r="82" customFormat="false" ht="15" hidden="false" customHeight="false" outlineLevel="0" collapsed="false">
      <c r="A82" s="4"/>
      <c r="B82" s="8"/>
      <c r="C82" s="8"/>
      <c r="D82" s="8"/>
      <c r="E82" s="8"/>
      <c r="F82" s="8"/>
      <c r="G82" s="8"/>
    </row>
    <row r="83" customFormat="false" ht="15" hidden="false" customHeight="false" outlineLevel="0" collapsed="false">
      <c r="A83" s="4"/>
      <c r="B83" s="8"/>
      <c r="C83" s="8"/>
      <c r="D83" s="8"/>
      <c r="E83" s="8"/>
      <c r="F83" s="8"/>
      <c r="G83" s="8"/>
    </row>
    <row r="84" customFormat="false" ht="15" hidden="false" customHeight="false" outlineLevel="0" collapsed="false">
      <c r="A84" s="4"/>
      <c r="B84" s="8"/>
      <c r="C84" s="8"/>
      <c r="D84" s="8"/>
      <c r="E84" s="8"/>
      <c r="F84" s="8"/>
      <c r="G84" s="8"/>
    </row>
    <row r="85" customFormat="false" ht="15" hidden="false" customHeight="false" outlineLevel="0" collapsed="false">
      <c r="A85" s="4"/>
      <c r="B85" s="8"/>
      <c r="C85" s="8"/>
      <c r="D85" s="8"/>
      <c r="E85" s="8"/>
      <c r="F85" s="8"/>
      <c r="G85" s="8"/>
    </row>
    <row r="86" customFormat="false" ht="15" hidden="false" customHeight="false" outlineLevel="0" collapsed="false">
      <c r="A86" s="4"/>
      <c r="B86" s="8"/>
      <c r="C86" s="8"/>
      <c r="D86" s="8"/>
      <c r="E86" s="8"/>
      <c r="F86" s="8"/>
      <c r="G86" s="8"/>
    </row>
    <row r="87" customFormat="false" ht="15" hidden="false" customHeight="false" outlineLevel="0" collapsed="false">
      <c r="A87" s="4"/>
      <c r="B87" s="8"/>
      <c r="C87" s="8"/>
      <c r="D87" s="8"/>
      <c r="E87" s="8"/>
      <c r="F87" s="8"/>
      <c r="G87" s="8"/>
    </row>
    <row r="88" customFormat="false" ht="15" hidden="false" customHeight="false" outlineLevel="0" collapsed="false">
      <c r="A88" s="4"/>
      <c r="B88" s="8"/>
      <c r="C88" s="8"/>
      <c r="D88" s="8"/>
      <c r="E88" s="8"/>
      <c r="F88" s="8"/>
      <c r="G88" s="8"/>
    </row>
    <row r="89" customFormat="false" ht="15" hidden="false" customHeight="false" outlineLevel="0" collapsed="false">
      <c r="A89" s="4"/>
      <c r="B89" s="8"/>
      <c r="C89" s="8"/>
      <c r="D89" s="8"/>
      <c r="E89" s="8"/>
      <c r="F89" s="8"/>
      <c r="G89" s="8"/>
    </row>
    <row r="90" customFormat="false" ht="15" hidden="false" customHeight="false" outlineLevel="0" collapsed="false">
      <c r="A90" s="4"/>
      <c r="B90" s="8"/>
      <c r="C90" s="8"/>
      <c r="D90" s="8"/>
      <c r="E90" s="8"/>
      <c r="F90" s="8"/>
      <c r="G90" s="8"/>
    </row>
    <row r="91" customFormat="false" ht="15" hidden="false" customHeight="false" outlineLevel="0" collapsed="false">
      <c r="A91" s="4"/>
      <c r="B91" s="8"/>
      <c r="C91" s="8"/>
      <c r="D91" s="8"/>
      <c r="E91" s="8"/>
      <c r="F91" s="8"/>
      <c r="G91" s="8"/>
    </row>
    <row r="92" customFormat="false" ht="15" hidden="false" customHeight="false" outlineLevel="0" collapsed="false">
      <c r="A92" s="4"/>
      <c r="B92" s="8"/>
      <c r="C92" s="8"/>
      <c r="D92" s="8"/>
      <c r="E92" s="8"/>
      <c r="F92" s="8"/>
      <c r="G92" s="8"/>
    </row>
    <row r="93" customFormat="false" ht="15" hidden="false" customHeight="false" outlineLevel="0" collapsed="false">
      <c r="A93" s="4"/>
      <c r="B93" s="8"/>
      <c r="C93" s="8"/>
      <c r="D93" s="8"/>
      <c r="E93" s="8"/>
      <c r="F93" s="8"/>
      <c r="G93" s="8"/>
    </row>
    <row r="94" customFormat="false" ht="15" hidden="false" customHeight="false" outlineLevel="0" collapsed="false">
      <c r="A94" s="4"/>
      <c r="B94" s="8"/>
      <c r="C94" s="8"/>
      <c r="D94" s="8"/>
      <c r="E94" s="8"/>
      <c r="F94" s="8"/>
      <c r="G94" s="8"/>
    </row>
    <row r="95" customFormat="false" ht="15" hidden="false" customHeight="false" outlineLevel="0" collapsed="false">
      <c r="A95" s="4"/>
      <c r="B95" s="8"/>
      <c r="C95" s="8"/>
      <c r="D95" s="8"/>
      <c r="E95" s="8"/>
      <c r="F95" s="8"/>
      <c r="G95" s="8"/>
    </row>
    <row r="96" customFormat="false" ht="15" hidden="false" customHeight="false" outlineLevel="0" collapsed="false">
      <c r="A96" s="4"/>
      <c r="B96" s="8"/>
      <c r="C96" s="8"/>
      <c r="D96" s="8"/>
      <c r="E96" s="8"/>
      <c r="F96" s="8"/>
      <c r="G96" s="8"/>
    </row>
    <row r="97" customFormat="false" ht="15" hidden="false" customHeight="false" outlineLevel="0" collapsed="false">
      <c r="A97" s="4"/>
      <c r="B97" s="8"/>
      <c r="C97" s="8"/>
      <c r="D97" s="8"/>
      <c r="E97" s="8"/>
      <c r="F97" s="8"/>
      <c r="G97" s="8"/>
    </row>
    <row r="98" customFormat="false" ht="15" hidden="false" customHeight="false" outlineLevel="0" collapsed="false">
      <c r="A98" s="4"/>
      <c r="B98" s="8"/>
      <c r="C98" s="8"/>
      <c r="D98" s="8"/>
      <c r="E98" s="8"/>
      <c r="F98" s="8"/>
      <c r="G98" s="8"/>
    </row>
    <row r="99" customFormat="false" ht="15" hidden="false" customHeight="false" outlineLevel="0" collapsed="false">
      <c r="A99" s="4"/>
      <c r="B99" s="8"/>
      <c r="C99" s="8"/>
      <c r="D99" s="8"/>
      <c r="E99" s="8"/>
      <c r="F99" s="8"/>
      <c r="G99" s="8"/>
    </row>
    <row r="100" customFormat="false" ht="15" hidden="false" customHeight="false" outlineLevel="0" collapsed="false">
      <c r="A100" s="4"/>
      <c r="B100" s="8"/>
      <c r="C100" s="8"/>
      <c r="D100" s="8"/>
      <c r="E100" s="8"/>
      <c r="F100" s="8"/>
      <c r="G100" s="8"/>
    </row>
    <row r="101" customFormat="false" ht="15" hidden="false" customHeight="false" outlineLevel="0" collapsed="false">
      <c r="A101" s="4"/>
      <c r="B101" s="8"/>
      <c r="C101" s="8"/>
      <c r="D101" s="8"/>
      <c r="E101" s="8"/>
      <c r="F101" s="8"/>
      <c r="G101" s="8"/>
    </row>
    <row r="102" customFormat="false" ht="15" hidden="false" customHeight="false" outlineLevel="0" collapsed="false">
      <c r="A102" s="4"/>
      <c r="B102" s="8"/>
      <c r="C102" s="8"/>
      <c r="D102" s="8"/>
      <c r="E102" s="8"/>
      <c r="F102" s="8"/>
      <c r="G102" s="8"/>
    </row>
    <row r="103" customFormat="false" ht="15" hidden="false" customHeight="false" outlineLevel="0" collapsed="false">
      <c r="A103" s="4"/>
      <c r="B103" s="8"/>
      <c r="C103" s="8"/>
      <c r="D103" s="8"/>
      <c r="E103" s="8"/>
      <c r="F103" s="8"/>
      <c r="G103" s="8"/>
    </row>
    <row r="104" customFormat="false" ht="15" hidden="false" customHeight="false" outlineLevel="0" collapsed="false">
      <c r="A104" s="4"/>
      <c r="B104" s="8"/>
      <c r="C104" s="8"/>
      <c r="D104" s="8"/>
      <c r="E104" s="8"/>
      <c r="F104" s="8"/>
      <c r="G104" s="8"/>
    </row>
    <row r="105" customFormat="false" ht="15" hidden="false" customHeight="false" outlineLevel="0" collapsed="false">
      <c r="A105" s="4"/>
      <c r="B105" s="8"/>
      <c r="C105" s="8"/>
      <c r="D105" s="8"/>
      <c r="E105" s="8"/>
      <c r="F105" s="8"/>
      <c r="G105" s="8"/>
    </row>
    <row r="106" customFormat="false" ht="15" hidden="false" customHeight="false" outlineLevel="0" collapsed="false">
      <c r="A106" s="4"/>
      <c r="B106" s="8"/>
      <c r="C106" s="8"/>
      <c r="D106" s="8"/>
      <c r="E106" s="8"/>
      <c r="F106" s="8"/>
      <c r="G106" s="8"/>
    </row>
    <row r="107" customFormat="false" ht="15" hidden="false" customHeight="false" outlineLevel="0" collapsed="false">
      <c r="A107" s="4"/>
      <c r="B107" s="8"/>
      <c r="C107" s="8"/>
      <c r="D107" s="8"/>
      <c r="E107" s="8"/>
      <c r="F107" s="8"/>
      <c r="G107" s="8"/>
    </row>
    <row r="108" customFormat="false" ht="15" hidden="false" customHeight="false" outlineLevel="0" collapsed="false">
      <c r="A108" s="4"/>
      <c r="B108" s="8"/>
      <c r="C108" s="8"/>
      <c r="D108" s="8"/>
      <c r="E108" s="8"/>
      <c r="F108" s="8"/>
      <c r="G108" s="8"/>
    </row>
    <row r="109" customFormat="false" ht="15" hidden="false" customHeight="false" outlineLevel="0" collapsed="false">
      <c r="A109" s="4"/>
      <c r="B109" s="8"/>
      <c r="C109" s="8"/>
      <c r="D109" s="8"/>
      <c r="E109" s="8"/>
      <c r="F109" s="8"/>
      <c r="G109" s="8"/>
    </row>
    <row r="110" customFormat="false" ht="15" hidden="false" customHeight="false" outlineLevel="0" collapsed="false">
      <c r="A110" s="4"/>
      <c r="B110" s="8"/>
      <c r="C110" s="8"/>
      <c r="D110" s="8"/>
      <c r="E110" s="8"/>
      <c r="F110" s="8"/>
      <c r="G110" s="8"/>
    </row>
    <row r="111" customFormat="false" ht="15" hidden="false" customHeight="false" outlineLevel="0" collapsed="false">
      <c r="A111" s="4"/>
      <c r="B111" s="8"/>
      <c r="C111" s="8"/>
      <c r="D111" s="8"/>
      <c r="E111" s="8"/>
      <c r="F111" s="8"/>
      <c r="G111" s="8"/>
    </row>
    <row r="112" customFormat="false" ht="15" hidden="false" customHeight="false" outlineLevel="0" collapsed="false">
      <c r="A112" s="4"/>
      <c r="B112" s="8"/>
      <c r="C112" s="8"/>
      <c r="D112" s="8"/>
      <c r="E112" s="8"/>
      <c r="F112" s="8"/>
      <c r="G112" s="8"/>
    </row>
    <row r="113" customFormat="false" ht="15" hidden="false" customHeight="false" outlineLevel="0" collapsed="false">
      <c r="A113" s="4"/>
      <c r="B113" s="8"/>
      <c r="C113" s="8"/>
      <c r="D113" s="8"/>
      <c r="E113" s="8"/>
      <c r="F113" s="8"/>
      <c r="G113" s="8"/>
    </row>
    <row r="114" customFormat="false" ht="15" hidden="false" customHeight="false" outlineLevel="0" collapsed="false">
      <c r="A114" s="4"/>
      <c r="B114" s="8"/>
      <c r="C114" s="8"/>
      <c r="D114" s="8"/>
      <c r="E114" s="8"/>
      <c r="F114" s="8"/>
      <c r="G114" s="8"/>
    </row>
    <row r="115" customFormat="false" ht="15" hidden="false" customHeight="false" outlineLevel="0" collapsed="false">
      <c r="A115" s="4"/>
      <c r="B115" s="8"/>
      <c r="C115" s="8"/>
      <c r="D115" s="8"/>
      <c r="E115" s="8"/>
      <c r="F115" s="8"/>
      <c r="G115" s="8"/>
    </row>
    <row r="116" customFormat="false" ht="15" hidden="false" customHeight="false" outlineLevel="0" collapsed="false">
      <c r="A116" s="4"/>
      <c r="B116" s="8"/>
      <c r="C116" s="8"/>
      <c r="D116" s="8"/>
      <c r="E116" s="8"/>
      <c r="F116" s="8"/>
      <c r="G116" s="8"/>
    </row>
    <row r="117" customFormat="false" ht="15" hidden="false" customHeight="false" outlineLevel="0" collapsed="false">
      <c r="A117" s="4"/>
      <c r="B117" s="8"/>
      <c r="C117" s="8"/>
      <c r="D117" s="8"/>
      <c r="E117" s="8"/>
      <c r="F117" s="8"/>
      <c r="G117" s="8"/>
    </row>
    <row r="118" customFormat="false" ht="15" hidden="false" customHeight="false" outlineLevel="0" collapsed="false">
      <c r="A118" s="4"/>
      <c r="B118" s="8"/>
      <c r="C118" s="8"/>
      <c r="D118" s="8"/>
      <c r="E118" s="8"/>
      <c r="F118" s="8"/>
      <c r="G118" s="8"/>
    </row>
    <row r="119" customFormat="false" ht="15" hidden="false" customHeight="false" outlineLevel="0" collapsed="false">
      <c r="A119" s="4"/>
      <c r="B119" s="8"/>
      <c r="C119" s="8"/>
      <c r="D119" s="8"/>
      <c r="E119" s="8"/>
      <c r="F119" s="8"/>
      <c r="G119" s="8"/>
    </row>
    <row r="120" customFormat="false" ht="15" hidden="false" customHeight="false" outlineLevel="0" collapsed="false">
      <c r="A120" s="4"/>
      <c r="B120" s="8"/>
      <c r="C120" s="8"/>
      <c r="D120" s="8"/>
      <c r="E120" s="8"/>
      <c r="F120" s="8"/>
      <c r="G120" s="8"/>
    </row>
    <row r="121" customFormat="false" ht="15" hidden="false" customHeight="false" outlineLevel="0" collapsed="false">
      <c r="A121" s="4"/>
      <c r="B121" s="8"/>
      <c r="C121" s="8"/>
      <c r="D121" s="8"/>
      <c r="E121" s="8"/>
      <c r="F121" s="8"/>
      <c r="G121" s="8"/>
    </row>
    <row r="122" customFormat="false" ht="15" hidden="false" customHeight="false" outlineLevel="0" collapsed="false">
      <c r="A122" s="4"/>
      <c r="B122" s="8"/>
      <c r="C122" s="8"/>
      <c r="D122" s="8"/>
      <c r="E122" s="8"/>
      <c r="F122" s="8"/>
      <c r="G122" s="8"/>
    </row>
    <row r="123" customFormat="false" ht="15" hidden="false" customHeight="false" outlineLevel="0" collapsed="false">
      <c r="A123" s="4"/>
      <c r="B123" s="8"/>
      <c r="C123" s="8"/>
      <c r="D123" s="8"/>
      <c r="E123" s="8"/>
      <c r="F123" s="8"/>
      <c r="G123" s="8"/>
    </row>
    <row r="124" customFormat="false" ht="15" hidden="false" customHeight="false" outlineLevel="0" collapsed="false">
      <c r="A124" s="4"/>
      <c r="B124" s="8"/>
      <c r="C124" s="8"/>
      <c r="D124" s="8"/>
      <c r="E124" s="8"/>
      <c r="F124" s="8"/>
      <c r="G124" s="8"/>
    </row>
    <row r="125" customFormat="false" ht="15" hidden="false" customHeight="false" outlineLevel="0" collapsed="false">
      <c r="A125" s="4"/>
      <c r="B125" s="8"/>
      <c r="C125" s="8"/>
      <c r="D125" s="8"/>
      <c r="E125" s="8"/>
      <c r="F125" s="8"/>
      <c r="G125" s="8"/>
    </row>
    <row r="126" customFormat="false" ht="15" hidden="false" customHeight="false" outlineLevel="0" collapsed="false">
      <c r="A126" s="4"/>
      <c r="B126" s="8"/>
      <c r="C126" s="8"/>
      <c r="D126" s="8"/>
      <c r="E126" s="8"/>
      <c r="F126" s="8"/>
      <c r="G126" s="8"/>
    </row>
    <row r="127" customFormat="false" ht="15" hidden="false" customHeight="false" outlineLevel="0" collapsed="false">
      <c r="A127" s="4"/>
      <c r="B127" s="8"/>
      <c r="C127" s="8"/>
      <c r="D127" s="8"/>
      <c r="E127" s="8"/>
      <c r="F127" s="8"/>
      <c r="G127" s="8"/>
    </row>
    <row r="128" customFormat="false" ht="15" hidden="false" customHeight="false" outlineLevel="0" collapsed="false">
      <c r="A128" s="4"/>
      <c r="B128" s="8"/>
      <c r="C128" s="8"/>
      <c r="D128" s="8"/>
      <c r="E128" s="8"/>
      <c r="F128" s="8"/>
      <c r="G128" s="8"/>
    </row>
    <row r="129" customFormat="false" ht="15" hidden="false" customHeight="false" outlineLevel="0" collapsed="false">
      <c r="A129" s="4"/>
      <c r="B129" s="8"/>
      <c r="C129" s="8"/>
      <c r="D129" s="8"/>
      <c r="E129" s="8"/>
      <c r="F129" s="8"/>
      <c r="G129" s="8"/>
    </row>
    <row r="130" customFormat="false" ht="15" hidden="false" customHeight="false" outlineLevel="0" collapsed="false">
      <c r="A130" s="4"/>
      <c r="B130" s="8"/>
      <c r="C130" s="8"/>
      <c r="D130" s="8"/>
      <c r="E130" s="8"/>
      <c r="F130" s="8"/>
      <c r="G130" s="8"/>
    </row>
    <row r="131" customFormat="false" ht="15" hidden="false" customHeight="false" outlineLevel="0" collapsed="false">
      <c r="A131" s="4"/>
      <c r="B131" s="8"/>
      <c r="C131" s="8"/>
      <c r="D131" s="8"/>
      <c r="E131" s="8"/>
      <c r="F131" s="8"/>
      <c r="G131" s="8"/>
    </row>
    <row r="132" customFormat="false" ht="15" hidden="false" customHeight="false" outlineLevel="0" collapsed="false">
      <c r="A132" s="4"/>
      <c r="B132" s="8"/>
      <c r="C132" s="8"/>
      <c r="D132" s="8"/>
      <c r="E132" s="8"/>
      <c r="F132" s="8"/>
      <c r="G132" s="8"/>
    </row>
    <row r="133" customFormat="false" ht="15" hidden="false" customHeight="false" outlineLevel="0" collapsed="false">
      <c r="A133" s="4"/>
      <c r="B133" s="8"/>
      <c r="C133" s="8"/>
      <c r="D133" s="8"/>
      <c r="E133" s="8"/>
      <c r="F133" s="8"/>
      <c r="G133" s="8"/>
    </row>
    <row r="134" customFormat="false" ht="15" hidden="false" customHeight="false" outlineLevel="0" collapsed="false">
      <c r="A134" s="4"/>
      <c r="B134" s="8"/>
      <c r="C134" s="8"/>
      <c r="D134" s="8"/>
      <c r="E134" s="8"/>
      <c r="F134" s="8"/>
      <c r="G134" s="8"/>
    </row>
    <row r="135" customFormat="false" ht="15" hidden="false" customHeight="false" outlineLevel="0" collapsed="false">
      <c r="A135" s="4"/>
      <c r="B135" s="8"/>
      <c r="C135" s="8"/>
      <c r="D135" s="8"/>
      <c r="E135" s="8"/>
      <c r="F135" s="8"/>
      <c r="G135" s="8"/>
    </row>
    <row r="136" customFormat="false" ht="15" hidden="false" customHeight="false" outlineLevel="0" collapsed="false">
      <c r="A136" s="4"/>
      <c r="B136" s="8"/>
      <c r="C136" s="8"/>
      <c r="D136" s="8"/>
      <c r="E136" s="8"/>
      <c r="F136" s="8"/>
      <c r="G136" s="8"/>
    </row>
    <row r="137" customFormat="false" ht="15" hidden="false" customHeight="false" outlineLevel="0" collapsed="false">
      <c r="A137" s="4"/>
      <c r="B137" s="8"/>
      <c r="C137" s="8"/>
      <c r="D137" s="8"/>
      <c r="E137" s="8"/>
      <c r="F137" s="8"/>
      <c r="G137" s="8"/>
    </row>
    <row r="138" customFormat="false" ht="15" hidden="false" customHeight="false" outlineLevel="0" collapsed="false">
      <c r="A138" s="4"/>
      <c r="B138" s="8"/>
      <c r="C138" s="8"/>
      <c r="D138" s="8"/>
      <c r="E138" s="8"/>
      <c r="F138" s="8"/>
      <c r="G138" s="8"/>
    </row>
    <row r="139" customFormat="false" ht="15" hidden="false" customHeight="false" outlineLevel="0" collapsed="false">
      <c r="A139" s="4"/>
      <c r="B139" s="8"/>
      <c r="C139" s="8"/>
      <c r="D139" s="8"/>
      <c r="E139" s="8"/>
      <c r="F139" s="8"/>
      <c r="G139" s="8"/>
    </row>
    <row r="140" customFormat="false" ht="15" hidden="false" customHeight="false" outlineLevel="0" collapsed="false">
      <c r="A140" s="4"/>
      <c r="B140" s="8"/>
      <c r="C140" s="8"/>
      <c r="D140" s="8"/>
      <c r="E140" s="8"/>
      <c r="F140" s="8"/>
      <c r="G140" s="8"/>
    </row>
    <row r="141" customFormat="false" ht="15" hidden="false" customHeight="false" outlineLevel="0" collapsed="false">
      <c r="A141" s="4"/>
      <c r="B141" s="8"/>
      <c r="C141" s="8"/>
      <c r="D141" s="8"/>
      <c r="E141" s="8"/>
      <c r="F141" s="8"/>
      <c r="G141" s="8"/>
    </row>
    <row r="142" customFormat="false" ht="15" hidden="false" customHeight="false" outlineLevel="0" collapsed="false">
      <c r="A142" s="4"/>
      <c r="B142" s="8"/>
      <c r="C142" s="8"/>
      <c r="D142" s="8"/>
      <c r="E142" s="8"/>
      <c r="F142" s="8"/>
      <c r="G142" s="8"/>
    </row>
    <row r="143" customFormat="false" ht="15" hidden="false" customHeight="false" outlineLevel="0" collapsed="false">
      <c r="A143" s="4"/>
      <c r="B143" s="8"/>
      <c r="C143" s="8"/>
      <c r="D143" s="8"/>
      <c r="E143" s="8"/>
      <c r="F143" s="8"/>
      <c r="G143" s="8"/>
    </row>
    <row r="144" customFormat="false" ht="15" hidden="false" customHeight="false" outlineLevel="0" collapsed="false">
      <c r="A144" s="4"/>
      <c r="B144" s="8"/>
      <c r="C144" s="8"/>
      <c r="D144" s="8"/>
      <c r="E144" s="8"/>
      <c r="F144" s="8"/>
      <c r="G144" s="8"/>
    </row>
    <row r="145" customFormat="false" ht="15" hidden="false" customHeight="false" outlineLevel="0" collapsed="false">
      <c r="A145" s="4"/>
      <c r="B145" s="8"/>
      <c r="C145" s="8"/>
      <c r="D145" s="8"/>
      <c r="E145" s="8"/>
      <c r="F145" s="8"/>
      <c r="G145" s="8"/>
    </row>
    <row r="146" customFormat="false" ht="15" hidden="false" customHeight="false" outlineLevel="0" collapsed="false">
      <c r="A146" s="4"/>
      <c r="B146" s="8"/>
      <c r="C146" s="8"/>
      <c r="D146" s="8"/>
      <c r="E146" s="8"/>
      <c r="F146" s="8"/>
      <c r="G146" s="8"/>
    </row>
    <row r="147" customFormat="false" ht="15" hidden="false" customHeight="false" outlineLevel="0" collapsed="false">
      <c r="A147" s="4"/>
      <c r="B147" s="8"/>
      <c r="C147" s="8"/>
      <c r="D147" s="8"/>
      <c r="E147" s="8"/>
      <c r="F147" s="8"/>
      <c r="G147" s="8"/>
    </row>
    <row r="148" customFormat="false" ht="15" hidden="false" customHeight="false" outlineLevel="0" collapsed="false">
      <c r="A148" s="4"/>
      <c r="B148" s="8"/>
      <c r="C148" s="8"/>
      <c r="D148" s="8"/>
      <c r="E148" s="8"/>
      <c r="F148" s="8"/>
      <c r="G148" s="8"/>
    </row>
    <row r="149" customFormat="false" ht="15" hidden="false" customHeight="false" outlineLevel="0" collapsed="false">
      <c r="A149" s="4"/>
      <c r="B149" s="8"/>
      <c r="C149" s="8"/>
      <c r="D149" s="8"/>
      <c r="E149" s="8"/>
      <c r="F149" s="8"/>
      <c r="G149" s="8"/>
    </row>
    <row r="150" customFormat="false" ht="15" hidden="false" customHeight="false" outlineLevel="0" collapsed="false">
      <c r="A150" s="4"/>
      <c r="B150" s="8"/>
      <c r="C150" s="8"/>
      <c r="D150" s="8"/>
      <c r="E150" s="8"/>
      <c r="F150" s="8"/>
      <c r="G150" s="8"/>
    </row>
    <row r="151" customFormat="false" ht="15" hidden="false" customHeight="false" outlineLevel="0" collapsed="false">
      <c r="A151" s="4"/>
      <c r="B151" s="8"/>
      <c r="C151" s="8"/>
      <c r="D151" s="8"/>
      <c r="E151" s="8"/>
      <c r="F151" s="8"/>
      <c r="G151" s="8"/>
    </row>
    <row r="152" customFormat="false" ht="15" hidden="false" customHeight="false" outlineLevel="0" collapsed="false">
      <c r="A152" s="4"/>
      <c r="B152" s="8"/>
      <c r="C152" s="8"/>
      <c r="D152" s="8"/>
      <c r="E152" s="8"/>
      <c r="F152" s="8"/>
      <c r="G152" s="8"/>
    </row>
    <row r="153" customFormat="false" ht="15" hidden="false" customHeight="false" outlineLevel="0" collapsed="false">
      <c r="A153" s="4"/>
      <c r="B153" s="8"/>
      <c r="C153" s="8"/>
      <c r="D153" s="8"/>
      <c r="E153" s="8"/>
      <c r="F153" s="8"/>
      <c r="G153" s="8"/>
    </row>
    <row r="154" customFormat="false" ht="15" hidden="false" customHeight="false" outlineLevel="0" collapsed="false">
      <c r="A154" s="4"/>
      <c r="B154" s="8"/>
      <c r="C154" s="8"/>
      <c r="D154" s="8"/>
      <c r="E154" s="8"/>
      <c r="F154" s="8"/>
      <c r="G154" s="8"/>
    </row>
    <row r="155" customFormat="false" ht="15" hidden="false" customHeight="false" outlineLevel="0" collapsed="false">
      <c r="A155" s="4"/>
      <c r="B155" s="8"/>
      <c r="C155" s="8"/>
      <c r="D155" s="8"/>
      <c r="E155" s="8"/>
      <c r="F155" s="8"/>
      <c r="G155" s="8"/>
    </row>
    <row r="156" customFormat="false" ht="15" hidden="false" customHeight="false" outlineLevel="0" collapsed="false">
      <c r="A156" s="4"/>
      <c r="B156" s="8"/>
      <c r="C156" s="8"/>
      <c r="D156" s="8"/>
      <c r="E156" s="8"/>
      <c r="F156" s="8"/>
      <c r="G156" s="8"/>
    </row>
    <row r="157" customFormat="false" ht="15" hidden="false" customHeight="false" outlineLevel="0" collapsed="false">
      <c r="A157" s="4"/>
      <c r="B157" s="8"/>
      <c r="C157" s="8"/>
      <c r="D157" s="8"/>
      <c r="E157" s="8"/>
      <c r="F157" s="8"/>
      <c r="G157" s="8"/>
    </row>
    <row r="158" customFormat="false" ht="15" hidden="false" customHeight="false" outlineLevel="0" collapsed="false">
      <c r="A158" s="4"/>
      <c r="B158" s="8"/>
      <c r="C158" s="8"/>
      <c r="D158" s="8"/>
      <c r="E158" s="8"/>
      <c r="F158" s="8"/>
      <c r="G158" s="8"/>
    </row>
    <row r="159" customFormat="false" ht="15" hidden="false" customHeight="false" outlineLevel="0" collapsed="false">
      <c r="A159" s="4"/>
      <c r="B159" s="8"/>
      <c r="C159" s="8"/>
      <c r="D159" s="8"/>
      <c r="E159" s="8"/>
      <c r="F159" s="8"/>
      <c r="G159" s="8"/>
    </row>
    <row r="160" customFormat="false" ht="15" hidden="false" customHeight="false" outlineLevel="0" collapsed="false">
      <c r="A160" s="4"/>
      <c r="B160" s="8"/>
      <c r="C160" s="8"/>
      <c r="D160" s="8"/>
      <c r="E160" s="8"/>
      <c r="F160" s="8"/>
      <c r="G160" s="8"/>
    </row>
    <row r="161" customFormat="false" ht="15" hidden="false" customHeight="false" outlineLevel="0" collapsed="false">
      <c r="A161" s="4"/>
      <c r="B161" s="8"/>
      <c r="C161" s="8"/>
      <c r="D161" s="8"/>
      <c r="E161" s="8"/>
      <c r="F161" s="8"/>
      <c r="G161" s="8"/>
    </row>
    <row r="162" customFormat="false" ht="15" hidden="false" customHeight="false" outlineLevel="0" collapsed="false">
      <c r="A162" s="4"/>
      <c r="B162" s="8"/>
      <c r="C162" s="8"/>
      <c r="D162" s="8"/>
      <c r="E162" s="8"/>
      <c r="F162" s="8"/>
      <c r="G162" s="8"/>
    </row>
    <row r="163" customFormat="false" ht="15" hidden="false" customHeight="false" outlineLevel="0" collapsed="false">
      <c r="A163" s="4"/>
      <c r="B163" s="8"/>
      <c r="C163" s="8"/>
      <c r="D163" s="8"/>
      <c r="E163" s="8"/>
      <c r="F163" s="8"/>
      <c r="G163" s="8"/>
    </row>
    <row r="164" customFormat="false" ht="15" hidden="false" customHeight="false" outlineLevel="0" collapsed="false">
      <c r="A164" s="4"/>
      <c r="B164" s="8"/>
      <c r="C164" s="8"/>
      <c r="D164" s="8"/>
      <c r="E164" s="8"/>
      <c r="F164" s="8"/>
      <c r="G164" s="8"/>
    </row>
    <row r="165" customFormat="false" ht="15" hidden="false" customHeight="false" outlineLevel="0" collapsed="false">
      <c r="A165" s="4"/>
      <c r="B165" s="8"/>
      <c r="C165" s="8"/>
      <c r="D165" s="8"/>
      <c r="E165" s="8"/>
      <c r="F165" s="8"/>
      <c r="G165" s="8"/>
    </row>
    <row r="166" customFormat="false" ht="15" hidden="false" customHeight="false" outlineLevel="0" collapsed="false">
      <c r="A166" s="4"/>
      <c r="B166" s="8"/>
      <c r="C166" s="8"/>
      <c r="D166" s="8"/>
      <c r="E166" s="8"/>
      <c r="F166" s="8"/>
      <c r="G166" s="8"/>
    </row>
    <row r="167" customFormat="false" ht="15" hidden="false" customHeight="false" outlineLevel="0" collapsed="false">
      <c r="A167" s="4"/>
      <c r="B167" s="8"/>
      <c r="C167" s="8"/>
      <c r="D167" s="8"/>
      <c r="E167" s="8"/>
      <c r="F167" s="8"/>
      <c r="G167" s="8"/>
    </row>
    <row r="168" customFormat="false" ht="15" hidden="false" customHeight="false" outlineLevel="0" collapsed="false">
      <c r="A168" s="4"/>
      <c r="B168" s="8"/>
      <c r="C168" s="8"/>
      <c r="D168" s="8"/>
      <c r="E168" s="8"/>
      <c r="F168" s="8"/>
      <c r="G168" s="8"/>
    </row>
    <row r="169" customFormat="false" ht="15" hidden="false" customHeight="false" outlineLevel="0" collapsed="false">
      <c r="A169" s="4"/>
      <c r="B169" s="8"/>
      <c r="C169" s="8"/>
      <c r="D169" s="8"/>
      <c r="E169" s="8"/>
      <c r="F169" s="8"/>
      <c r="G169" s="8"/>
    </row>
    <row r="170" customFormat="false" ht="15" hidden="false" customHeight="false" outlineLevel="0" collapsed="false">
      <c r="A170" s="4"/>
      <c r="B170" s="8"/>
      <c r="C170" s="8"/>
      <c r="D170" s="8"/>
      <c r="E170" s="8"/>
      <c r="F170" s="8"/>
      <c r="G170" s="8"/>
    </row>
    <row r="171" customFormat="false" ht="15" hidden="false" customHeight="false" outlineLevel="0" collapsed="false">
      <c r="A171" s="4"/>
      <c r="B171" s="8"/>
      <c r="C171" s="8"/>
      <c r="D171" s="8"/>
      <c r="E171" s="8"/>
      <c r="F171" s="8"/>
      <c r="G171" s="8"/>
    </row>
    <row r="172" customFormat="false" ht="15" hidden="false" customHeight="false" outlineLevel="0" collapsed="false">
      <c r="A172" s="4"/>
      <c r="B172" s="8"/>
      <c r="C172" s="8"/>
      <c r="D172" s="8"/>
      <c r="E172" s="8"/>
      <c r="F172" s="8"/>
      <c r="G172" s="8"/>
    </row>
    <row r="173" customFormat="false" ht="15" hidden="false" customHeight="false" outlineLevel="0" collapsed="false">
      <c r="A173" s="4"/>
      <c r="B173" s="8"/>
      <c r="C173" s="8"/>
      <c r="D173" s="8"/>
      <c r="E173" s="8"/>
      <c r="F173" s="8"/>
      <c r="G173" s="8"/>
    </row>
    <row r="174" customFormat="false" ht="15" hidden="false" customHeight="false" outlineLevel="0" collapsed="false">
      <c r="A174" s="4"/>
      <c r="B174" s="8"/>
      <c r="C174" s="8"/>
      <c r="D174" s="8"/>
      <c r="E174" s="8"/>
      <c r="F174" s="8"/>
      <c r="G174" s="8"/>
    </row>
    <row r="175" customFormat="false" ht="15" hidden="false" customHeight="false" outlineLevel="0" collapsed="false">
      <c r="A175" s="4"/>
      <c r="B175" s="8"/>
      <c r="C175" s="8"/>
      <c r="D175" s="8"/>
      <c r="E175" s="8"/>
      <c r="F175" s="8"/>
      <c r="G175" s="8"/>
    </row>
    <row r="176" customFormat="false" ht="15" hidden="false" customHeight="false" outlineLevel="0" collapsed="false">
      <c r="A176" s="4"/>
      <c r="B176" s="8"/>
      <c r="C176" s="8"/>
      <c r="D176" s="8"/>
      <c r="E176" s="8"/>
      <c r="F176" s="8"/>
      <c r="G176" s="8"/>
    </row>
    <row r="177" customFormat="false" ht="15" hidden="false" customHeight="false" outlineLevel="0" collapsed="false">
      <c r="A177" s="4"/>
      <c r="B177" s="8"/>
      <c r="C177" s="8"/>
      <c r="D177" s="8"/>
      <c r="E177" s="8"/>
      <c r="F177" s="8"/>
      <c r="G177" s="8"/>
    </row>
    <row r="178" customFormat="false" ht="15" hidden="false" customHeight="false" outlineLevel="0" collapsed="false">
      <c r="A178" s="4"/>
      <c r="B178" s="8"/>
      <c r="C178" s="8"/>
      <c r="D178" s="8"/>
      <c r="E178" s="8"/>
      <c r="F178" s="8"/>
      <c r="G178" s="8"/>
    </row>
    <row r="179" customFormat="false" ht="15" hidden="false" customHeight="false" outlineLevel="0" collapsed="false">
      <c r="A179" s="4"/>
      <c r="B179" s="8"/>
      <c r="C179" s="8"/>
      <c r="D179" s="8"/>
      <c r="E179" s="8"/>
      <c r="F179" s="8"/>
      <c r="G179" s="8"/>
    </row>
    <row r="180" customFormat="false" ht="15" hidden="false" customHeight="false" outlineLevel="0" collapsed="false">
      <c r="A180" s="4"/>
      <c r="B180" s="8"/>
      <c r="C180" s="8"/>
      <c r="D180" s="8"/>
      <c r="E180" s="8"/>
      <c r="F180" s="8"/>
      <c r="G180" s="8"/>
    </row>
    <row r="181" customFormat="false" ht="15" hidden="false" customHeight="false" outlineLevel="0" collapsed="false">
      <c r="A181" s="4"/>
      <c r="B181" s="8"/>
      <c r="C181" s="8"/>
      <c r="D181" s="8"/>
      <c r="E181" s="8"/>
      <c r="F181" s="8"/>
      <c r="G181" s="8"/>
    </row>
    <row r="182" customFormat="false" ht="15" hidden="false" customHeight="false" outlineLevel="0" collapsed="false">
      <c r="A182" s="4"/>
      <c r="B182" s="8"/>
      <c r="C182" s="8"/>
      <c r="D182" s="8"/>
      <c r="E182" s="8"/>
      <c r="F182" s="8"/>
      <c r="G182" s="8"/>
    </row>
    <row r="183" customFormat="false" ht="15" hidden="false" customHeight="false" outlineLevel="0" collapsed="false">
      <c r="A183" s="4"/>
      <c r="B183" s="8"/>
      <c r="C183" s="8"/>
      <c r="D183" s="8"/>
      <c r="E183" s="8"/>
      <c r="F183" s="8"/>
      <c r="G183" s="8"/>
    </row>
    <row r="184" customFormat="false" ht="15" hidden="false" customHeight="false" outlineLevel="0" collapsed="false">
      <c r="A184" s="4"/>
      <c r="B184" s="8"/>
      <c r="C184" s="8"/>
      <c r="D184" s="8"/>
      <c r="E184" s="8"/>
      <c r="F184" s="8"/>
      <c r="G184" s="8"/>
    </row>
    <row r="185" customFormat="false" ht="15" hidden="false" customHeight="false" outlineLevel="0" collapsed="false">
      <c r="A185" s="4"/>
      <c r="B185" s="8"/>
      <c r="C185" s="8"/>
      <c r="D185" s="8"/>
      <c r="E185" s="8"/>
      <c r="F185" s="8"/>
      <c r="G185" s="8"/>
    </row>
    <row r="186" customFormat="false" ht="15" hidden="false" customHeight="false" outlineLevel="0" collapsed="false">
      <c r="A186" s="4"/>
      <c r="B186" s="8"/>
      <c r="C186" s="8"/>
      <c r="D186" s="8"/>
      <c r="E186" s="8"/>
      <c r="F186" s="8"/>
      <c r="G186" s="8"/>
    </row>
    <row r="187" customFormat="false" ht="15" hidden="false" customHeight="false" outlineLevel="0" collapsed="false">
      <c r="A187" s="4"/>
      <c r="B187" s="8"/>
      <c r="C187" s="8"/>
      <c r="D187" s="8"/>
      <c r="E187" s="8"/>
      <c r="F187" s="8"/>
      <c r="G187" s="8"/>
    </row>
    <row r="188" customFormat="false" ht="15" hidden="false" customHeight="false" outlineLevel="0" collapsed="false">
      <c r="A188" s="4"/>
      <c r="B188" s="8"/>
      <c r="C188" s="8"/>
      <c r="D188" s="8"/>
      <c r="E188" s="8"/>
      <c r="F188" s="8"/>
      <c r="G188" s="8"/>
    </row>
    <row r="189" customFormat="false" ht="15" hidden="false" customHeight="false" outlineLevel="0" collapsed="false">
      <c r="A189" s="4"/>
      <c r="B189" s="8"/>
      <c r="C189" s="8"/>
      <c r="D189" s="8"/>
      <c r="E189" s="8"/>
      <c r="F189" s="8"/>
      <c r="G189" s="8"/>
    </row>
    <row r="190" customFormat="false" ht="15" hidden="false" customHeight="false" outlineLevel="0" collapsed="false">
      <c r="A190" s="4"/>
      <c r="B190" s="8"/>
      <c r="C190" s="8"/>
      <c r="D190" s="8"/>
      <c r="E190" s="8"/>
      <c r="F190" s="8"/>
      <c r="G190" s="8"/>
    </row>
    <row r="191" customFormat="false" ht="15" hidden="false" customHeight="false" outlineLevel="0" collapsed="false">
      <c r="A191" s="4"/>
      <c r="B191" s="8"/>
      <c r="C191" s="8"/>
      <c r="D191" s="8"/>
      <c r="E191" s="8"/>
      <c r="F191" s="8"/>
      <c r="G191" s="8"/>
    </row>
    <row r="192" customFormat="false" ht="15" hidden="false" customHeight="false" outlineLevel="0" collapsed="false">
      <c r="A192" s="4"/>
      <c r="B192" s="8"/>
      <c r="C192" s="8"/>
      <c r="D192" s="8"/>
      <c r="E192" s="8"/>
      <c r="F192" s="8"/>
      <c r="G192" s="8"/>
    </row>
    <row r="193" customFormat="false" ht="15" hidden="false" customHeight="false" outlineLevel="0" collapsed="false">
      <c r="A193" s="4"/>
      <c r="B193" s="8"/>
      <c r="C193" s="8"/>
      <c r="D193" s="8"/>
      <c r="E193" s="8"/>
      <c r="F193" s="8"/>
      <c r="G193" s="8"/>
    </row>
    <row r="194" customFormat="false" ht="15" hidden="false" customHeight="false" outlineLevel="0" collapsed="false">
      <c r="A194" s="4"/>
      <c r="B194" s="8"/>
      <c r="C194" s="8"/>
      <c r="D194" s="8"/>
      <c r="E194" s="8"/>
      <c r="F194" s="8"/>
      <c r="G194" s="8"/>
    </row>
    <row r="195" customFormat="false" ht="15" hidden="false" customHeight="false" outlineLevel="0" collapsed="false">
      <c r="A195" s="4"/>
      <c r="B195" s="8"/>
      <c r="C195" s="8"/>
      <c r="D195" s="8"/>
      <c r="E195" s="8"/>
      <c r="F195" s="8"/>
      <c r="G195" s="8"/>
    </row>
    <row r="196" customFormat="false" ht="15" hidden="false" customHeight="false" outlineLevel="0" collapsed="false">
      <c r="A196" s="4"/>
      <c r="B196" s="8"/>
      <c r="C196" s="8"/>
      <c r="D196" s="8"/>
      <c r="E196" s="8"/>
      <c r="F196" s="8"/>
      <c r="G196" s="8"/>
    </row>
    <row r="197" customFormat="false" ht="15" hidden="false" customHeight="false" outlineLevel="0" collapsed="false">
      <c r="A197" s="4"/>
      <c r="B197" s="8"/>
      <c r="C197" s="8"/>
      <c r="D197" s="8"/>
      <c r="E197" s="8"/>
      <c r="F197" s="8"/>
      <c r="G197" s="8"/>
    </row>
    <row r="198" customFormat="false" ht="15" hidden="false" customHeight="false" outlineLevel="0" collapsed="false">
      <c r="A198" s="4"/>
      <c r="B198" s="8"/>
      <c r="C198" s="8"/>
      <c r="D198" s="8"/>
      <c r="E198" s="8"/>
      <c r="F198" s="8"/>
      <c r="G198" s="8"/>
    </row>
    <row r="199" customFormat="false" ht="15" hidden="false" customHeight="false" outlineLevel="0" collapsed="false">
      <c r="A199" s="4"/>
      <c r="B199" s="8"/>
      <c r="C199" s="8"/>
      <c r="D199" s="8"/>
      <c r="E199" s="8"/>
      <c r="F199" s="8"/>
      <c r="G199" s="8"/>
    </row>
    <row r="200" customFormat="false" ht="15" hidden="false" customHeight="false" outlineLevel="0" collapsed="false">
      <c r="A200" s="4"/>
      <c r="B200" s="8"/>
      <c r="C200" s="8"/>
      <c r="D200" s="8"/>
      <c r="E200" s="8"/>
      <c r="F200" s="8"/>
      <c r="G200" s="8"/>
    </row>
  </sheetData>
  <autoFilter ref="A1:G200"/>
  <dataValidations count="2">
    <dataValidation allowBlank="true" error="Choose a value from the Tier list (Lists sheet), or leave blank." errorStyle="stop" errorTitle="Not on the list" operator="between" showDropDown="false" showErrorMessage="true" showInputMessage="false" sqref="E2:E200" type="list">
      <formula1>Lists!$D$2:$D$3</formula1>
      <formula2>0</formula2>
    </dataValidation>
    <dataValidation allowBlank="true" error="Choose a value from the Status list (Lists sheet), or leave blank." errorStyle="stop" errorTitle="Not on the list" operator="between" showDropDown="false" showErrorMessage="true" showInputMessage="false" sqref="F2:F200" type="list">
      <formula1>Lists!$E$2:$E$6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6"/>
    <col collapsed="false" customWidth="true" hidden="false" outlineLevel="0" max="5" min="5" style="0" width="34"/>
    <col collapsed="false" customWidth="true" hidden="false" outlineLevel="0" max="6" min="6" style="0" width="40"/>
    <col collapsed="false" customWidth="true" hidden="false" outlineLevel="0" max="7" min="7" style="0" width="14"/>
    <col collapsed="false" customWidth="true" hidden="false" outlineLevel="0" max="8" min="8" style="0" width="10"/>
    <col collapsed="false" customWidth="true" hidden="false" outlineLevel="0" max="9" min="9" style="0" width="30"/>
  </cols>
  <sheetData>
    <row r="1" customFormat="false" ht="31.5" hidden="false" customHeight="true" outlineLevel="0" collapsed="false">
      <c r="A1" s="7" t="s">
        <v>88</v>
      </c>
      <c r="B1" s="7" t="s">
        <v>8278</v>
      </c>
      <c r="C1" s="7" t="s">
        <v>8279</v>
      </c>
      <c r="D1" s="7" t="s">
        <v>8280</v>
      </c>
      <c r="E1" s="7" t="s">
        <v>8281</v>
      </c>
      <c r="F1" s="7" t="s">
        <v>93</v>
      </c>
      <c r="G1" s="7" t="s">
        <v>8282</v>
      </c>
      <c r="H1" s="7" t="s">
        <v>5</v>
      </c>
      <c r="I1" s="7" t="s">
        <v>97</v>
      </c>
    </row>
    <row r="2" customFormat="false" ht="15" hidden="false" customHeight="false" outlineLevel="0" collapsed="false">
      <c r="A2" s="4" t="s">
        <v>8283</v>
      </c>
      <c r="B2" s="4" t="n">
        <v>1</v>
      </c>
      <c r="C2" s="4" t="n">
        <v>1</v>
      </c>
      <c r="D2" s="8" t="s">
        <v>8284</v>
      </c>
      <c r="E2" s="8" t="s">
        <v>8285</v>
      </c>
      <c r="F2" s="8" t="s">
        <v>8286</v>
      </c>
      <c r="G2" s="8" t="s">
        <v>8287</v>
      </c>
      <c r="H2" s="8" t="s">
        <v>62</v>
      </c>
      <c r="I2" s="8"/>
    </row>
    <row r="3" customFormat="false" ht="15" hidden="false" customHeight="false" outlineLevel="0" collapsed="false">
      <c r="A3" s="4" t="s">
        <v>8288</v>
      </c>
      <c r="B3" s="4" t="n">
        <v>2</v>
      </c>
      <c r="C3" s="4" t="n">
        <v>2</v>
      </c>
      <c r="D3" s="8" t="s">
        <v>8289</v>
      </c>
      <c r="E3" s="8" t="s">
        <v>117</v>
      </c>
      <c r="F3" s="8" t="s">
        <v>118</v>
      </c>
      <c r="G3" s="8" t="s">
        <v>8287</v>
      </c>
      <c r="H3" s="8" t="s">
        <v>62</v>
      </c>
      <c r="I3" s="8"/>
    </row>
    <row r="4" customFormat="false" ht="15" hidden="false" customHeight="false" outlineLevel="0" collapsed="false">
      <c r="A4" s="4" t="s">
        <v>8290</v>
      </c>
      <c r="B4" s="4" t="n">
        <v>3</v>
      </c>
      <c r="C4" s="4" t="n">
        <v>3</v>
      </c>
      <c r="D4" s="8" t="s">
        <v>8291</v>
      </c>
      <c r="E4" s="8" t="s">
        <v>698</v>
      </c>
      <c r="F4" s="8" t="s">
        <v>7003</v>
      </c>
      <c r="G4" s="8" t="s">
        <v>8287</v>
      </c>
      <c r="H4" s="8" t="s">
        <v>62</v>
      </c>
      <c r="I4" s="8"/>
    </row>
    <row r="5" customFormat="false" ht="15" hidden="false" customHeight="false" outlineLevel="0" collapsed="false">
      <c r="A5" s="4" t="s">
        <v>8292</v>
      </c>
      <c r="B5" s="4" t="n">
        <v>4</v>
      </c>
      <c r="C5" s="4" t="n">
        <v>4</v>
      </c>
      <c r="D5" s="8" t="s">
        <v>8284</v>
      </c>
      <c r="E5" s="8" t="s">
        <v>8293</v>
      </c>
      <c r="F5" s="8" t="s">
        <v>8294</v>
      </c>
      <c r="G5" s="8" t="s">
        <v>8287</v>
      </c>
      <c r="H5" s="8" t="s">
        <v>62</v>
      </c>
      <c r="I5" s="8"/>
    </row>
    <row r="6" customFormat="false" ht="15" hidden="false" customHeight="false" outlineLevel="0" collapsed="false">
      <c r="A6" s="4" t="s">
        <v>8295</v>
      </c>
      <c r="B6" s="4" t="n">
        <v>5</v>
      </c>
      <c r="C6" s="4" t="n">
        <v>7</v>
      </c>
      <c r="D6" s="8" t="s">
        <v>8291</v>
      </c>
      <c r="E6" s="8" t="s">
        <v>8296</v>
      </c>
      <c r="F6" s="8" t="s">
        <v>7035</v>
      </c>
      <c r="G6" s="8" t="s">
        <v>8287</v>
      </c>
      <c r="H6" s="8" t="s">
        <v>62</v>
      </c>
      <c r="I6" s="8"/>
    </row>
    <row r="7" customFormat="false" ht="15" hidden="false" customHeight="false" outlineLevel="0" collapsed="false">
      <c r="A7" s="4" t="s">
        <v>8297</v>
      </c>
      <c r="B7" s="4" t="n">
        <v>6</v>
      </c>
      <c r="C7" s="4" t="n">
        <v>8</v>
      </c>
      <c r="D7" s="8" t="s">
        <v>8291</v>
      </c>
      <c r="E7" s="8" t="s">
        <v>114</v>
      </c>
      <c r="F7" s="8" t="s">
        <v>115</v>
      </c>
      <c r="G7" s="8" t="s">
        <v>8287</v>
      </c>
      <c r="H7" s="8" t="s">
        <v>62</v>
      </c>
      <c r="I7" s="8"/>
    </row>
    <row r="8" customFormat="false" ht="15" hidden="false" customHeight="false" outlineLevel="0" collapsed="false">
      <c r="A8" s="4" t="s">
        <v>8298</v>
      </c>
      <c r="B8" s="4" t="n">
        <v>7</v>
      </c>
      <c r="C8" s="4" t="n">
        <v>9</v>
      </c>
      <c r="D8" s="8" t="s">
        <v>8291</v>
      </c>
      <c r="E8" s="8" t="s">
        <v>8299</v>
      </c>
      <c r="F8" s="8" t="s">
        <v>8300</v>
      </c>
      <c r="G8" s="8" t="s">
        <v>8287</v>
      </c>
      <c r="H8" s="8" t="s">
        <v>62</v>
      </c>
      <c r="I8" s="8"/>
    </row>
    <row r="9" customFormat="false" ht="15" hidden="false" customHeight="false" outlineLevel="0" collapsed="false">
      <c r="A9" s="4" t="s">
        <v>8301</v>
      </c>
      <c r="B9" s="4" t="n">
        <v>8</v>
      </c>
      <c r="C9" s="4" t="n">
        <v>10</v>
      </c>
      <c r="D9" s="8" t="s">
        <v>8291</v>
      </c>
      <c r="E9" s="8" t="s">
        <v>8302</v>
      </c>
      <c r="F9" s="8" t="s">
        <v>8303</v>
      </c>
      <c r="G9" s="8" t="s">
        <v>8287</v>
      </c>
      <c r="H9" s="8" t="s">
        <v>62</v>
      </c>
      <c r="I9" s="8"/>
    </row>
    <row r="10" customFormat="false" ht="15" hidden="false" customHeight="false" outlineLevel="0" collapsed="false">
      <c r="A10" s="4" t="s">
        <v>8304</v>
      </c>
      <c r="B10" s="4" t="n">
        <v>9</v>
      </c>
      <c r="C10" s="4" t="n">
        <v>11</v>
      </c>
      <c r="D10" s="8" t="s">
        <v>8305</v>
      </c>
      <c r="E10" s="8" t="s">
        <v>7100</v>
      </c>
      <c r="F10" s="8" t="s">
        <v>7101</v>
      </c>
      <c r="G10" s="8" t="s">
        <v>8287</v>
      </c>
      <c r="H10" s="8" t="s">
        <v>62</v>
      </c>
      <c r="I10" s="8"/>
    </row>
    <row r="11" customFormat="false" ht="15" hidden="false" customHeight="false" outlineLevel="0" collapsed="false">
      <c r="A11" s="4" t="s">
        <v>8306</v>
      </c>
      <c r="B11" s="4" t="n">
        <v>10</v>
      </c>
      <c r="C11" s="4" t="n">
        <v>12</v>
      </c>
      <c r="D11" s="8" t="s">
        <v>8284</v>
      </c>
      <c r="E11" s="8" t="s">
        <v>8307</v>
      </c>
      <c r="F11" s="8" t="s">
        <v>8308</v>
      </c>
      <c r="G11" s="8" t="s">
        <v>8287</v>
      </c>
      <c r="H11" s="8" t="s">
        <v>62</v>
      </c>
      <c r="I11" s="8"/>
    </row>
    <row r="12" customFormat="false" ht="15" hidden="false" customHeight="false" outlineLevel="0" collapsed="false">
      <c r="A12" s="4" t="s">
        <v>8309</v>
      </c>
      <c r="B12" s="4" t="n">
        <v>11</v>
      </c>
      <c r="C12" s="4" t="n">
        <v>13</v>
      </c>
      <c r="D12" s="8" t="s">
        <v>8310</v>
      </c>
      <c r="E12" s="8" t="s">
        <v>8311</v>
      </c>
      <c r="F12" s="8" t="s">
        <v>7076</v>
      </c>
      <c r="G12" s="8" t="s">
        <v>8287</v>
      </c>
      <c r="H12" s="8" t="s">
        <v>62</v>
      </c>
      <c r="I12" s="8"/>
    </row>
    <row r="13" customFormat="false" ht="15" hidden="false" customHeight="false" outlineLevel="0" collapsed="false">
      <c r="A13" s="4" t="s">
        <v>8312</v>
      </c>
      <c r="B13" s="4" t="n">
        <v>12</v>
      </c>
      <c r="C13" s="4" t="n">
        <v>14</v>
      </c>
      <c r="D13" s="8" t="s">
        <v>8305</v>
      </c>
      <c r="E13" s="8" t="s">
        <v>8313</v>
      </c>
      <c r="F13" s="8" t="s">
        <v>8314</v>
      </c>
      <c r="G13" s="8" t="s">
        <v>8287</v>
      </c>
      <c r="H13" s="8" t="s">
        <v>62</v>
      </c>
      <c r="I13" s="8"/>
    </row>
    <row r="14" customFormat="false" ht="15" hidden="false" customHeight="false" outlineLevel="0" collapsed="false">
      <c r="A14" s="4" t="s">
        <v>8315</v>
      </c>
      <c r="B14" s="4" t="n">
        <v>13</v>
      </c>
      <c r="C14" s="4" t="n">
        <v>15</v>
      </c>
      <c r="D14" s="8" t="s">
        <v>8291</v>
      </c>
      <c r="E14" s="8" t="s">
        <v>8316</v>
      </c>
      <c r="F14" s="8" t="s">
        <v>8317</v>
      </c>
      <c r="G14" s="8" t="s">
        <v>8287</v>
      </c>
      <c r="H14" s="8" t="s">
        <v>62</v>
      </c>
      <c r="I14" s="8"/>
    </row>
    <row r="15" customFormat="false" ht="15" hidden="false" customHeight="false" outlineLevel="0" collapsed="false">
      <c r="A15" s="4" t="s">
        <v>8318</v>
      </c>
      <c r="B15" s="4" t="n">
        <v>14</v>
      </c>
      <c r="C15" s="4" t="n">
        <v>16</v>
      </c>
      <c r="D15" s="8" t="s">
        <v>8319</v>
      </c>
      <c r="E15" s="8" t="s">
        <v>8320</v>
      </c>
      <c r="F15" s="8" t="s">
        <v>8321</v>
      </c>
      <c r="G15" s="8" t="s">
        <v>8287</v>
      </c>
      <c r="H15" s="8" t="s">
        <v>62</v>
      </c>
      <c r="I15" s="8"/>
    </row>
    <row r="16" customFormat="false" ht="15" hidden="false" customHeight="false" outlineLevel="0" collapsed="false">
      <c r="A16" s="4" t="s">
        <v>8322</v>
      </c>
      <c r="B16" s="4" t="n">
        <v>15</v>
      </c>
      <c r="C16" s="4" t="n">
        <v>17</v>
      </c>
      <c r="D16" s="8" t="s">
        <v>8323</v>
      </c>
      <c r="E16" s="8" t="s">
        <v>8324</v>
      </c>
      <c r="F16" s="8" t="s">
        <v>8325</v>
      </c>
      <c r="G16" s="8" t="s">
        <v>8287</v>
      </c>
      <c r="H16" s="8" t="s">
        <v>62</v>
      </c>
      <c r="I16" s="8"/>
    </row>
    <row r="17" customFormat="false" ht="15" hidden="false" customHeight="false" outlineLevel="0" collapsed="false">
      <c r="A17" s="4" t="s">
        <v>8326</v>
      </c>
      <c r="B17" s="4" t="n">
        <v>16</v>
      </c>
      <c r="C17" s="4" t="n">
        <v>19</v>
      </c>
      <c r="D17" s="8" t="s">
        <v>8323</v>
      </c>
      <c r="E17" s="8" t="s">
        <v>8327</v>
      </c>
      <c r="F17" s="8" t="s">
        <v>8328</v>
      </c>
      <c r="G17" s="8" t="s">
        <v>8287</v>
      </c>
      <c r="H17" s="8" t="s">
        <v>62</v>
      </c>
      <c r="I17" s="8"/>
    </row>
    <row r="18" customFormat="false" ht="15" hidden="false" customHeight="false" outlineLevel="0" collapsed="false">
      <c r="A18" s="4" t="s">
        <v>8329</v>
      </c>
      <c r="B18" s="4" t="n">
        <v>17</v>
      </c>
      <c r="C18" s="4" t="n">
        <v>20</v>
      </c>
      <c r="D18" s="8" t="s">
        <v>8284</v>
      </c>
      <c r="E18" s="8" t="s">
        <v>8330</v>
      </c>
      <c r="F18" s="8" t="s">
        <v>8331</v>
      </c>
      <c r="G18" s="8" t="s">
        <v>8287</v>
      </c>
      <c r="H18" s="8" t="s">
        <v>62</v>
      </c>
      <c r="I18" s="8"/>
    </row>
    <row r="19" customFormat="false" ht="15" hidden="false" customHeight="false" outlineLevel="0" collapsed="false">
      <c r="A19" s="4" t="s">
        <v>8332</v>
      </c>
      <c r="B19" s="4" t="n">
        <v>18</v>
      </c>
      <c r="C19" s="4" t="n">
        <v>21</v>
      </c>
      <c r="D19" s="8" t="s">
        <v>8323</v>
      </c>
      <c r="E19" s="8" t="s">
        <v>8333</v>
      </c>
      <c r="F19" s="8" t="s">
        <v>8334</v>
      </c>
      <c r="G19" s="8" t="s">
        <v>8287</v>
      </c>
      <c r="H19" s="8" t="s">
        <v>62</v>
      </c>
      <c r="I19" s="8"/>
    </row>
    <row r="20" customFormat="false" ht="15" hidden="false" customHeight="false" outlineLevel="0" collapsed="false">
      <c r="A20" s="4" t="s">
        <v>8335</v>
      </c>
      <c r="B20" s="4" t="n">
        <v>19</v>
      </c>
      <c r="C20" s="4" t="n">
        <v>22</v>
      </c>
      <c r="D20" s="8" t="s">
        <v>8336</v>
      </c>
      <c r="E20" s="8" t="s">
        <v>8337</v>
      </c>
      <c r="F20" s="8" t="s">
        <v>8338</v>
      </c>
      <c r="G20" s="8" t="s">
        <v>8287</v>
      </c>
      <c r="H20" s="8" t="s">
        <v>62</v>
      </c>
      <c r="I20" s="8"/>
    </row>
    <row r="21" customFormat="false" ht="15" hidden="false" customHeight="false" outlineLevel="0" collapsed="false">
      <c r="A21" s="4" t="s">
        <v>8339</v>
      </c>
      <c r="B21" s="4" t="n">
        <v>20</v>
      </c>
      <c r="C21" s="4" t="n">
        <v>23</v>
      </c>
      <c r="D21" s="8" t="s">
        <v>8289</v>
      </c>
      <c r="E21" s="8" t="s">
        <v>104</v>
      </c>
      <c r="F21" s="8" t="s">
        <v>105</v>
      </c>
      <c r="G21" s="8" t="s">
        <v>8287</v>
      </c>
      <c r="H21" s="8" t="s">
        <v>62</v>
      </c>
      <c r="I21" s="8"/>
    </row>
    <row r="22" customFormat="false" ht="15" hidden="false" customHeight="false" outlineLevel="0" collapsed="false">
      <c r="A22" s="4" t="s">
        <v>8340</v>
      </c>
      <c r="B22" s="4" t="n">
        <v>21</v>
      </c>
      <c r="C22" s="4" t="n">
        <v>24</v>
      </c>
      <c r="D22" s="8" t="s">
        <v>8305</v>
      </c>
      <c r="E22" s="8" t="s">
        <v>6517</v>
      </c>
      <c r="F22" s="8" t="s">
        <v>6518</v>
      </c>
      <c r="G22" s="8" t="s">
        <v>8287</v>
      </c>
      <c r="H22" s="8" t="s">
        <v>62</v>
      </c>
      <c r="I22" s="8"/>
    </row>
    <row r="23" customFormat="false" ht="15" hidden="false" customHeight="false" outlineLevel="0" collapsed="false">
      <c r="A23" s="4" t="s">
        <v>8341</v>
      </c>
      <c r="B23" s="4" t="n">
        <v>22</v>
      </c>
      <c r="C23" s="4" t="n">
        <v>25</v>
      </c>
      <c r="D23" s="8" t="s">
        <v>8323</v>
      </c>
      <c r="E23" s="8" t="s">
        <v>8342</v>
      </c>
      <c r="F23" s="8" t="s">
        <v>8343</v>
      </c>
      <c r="G23" s="8" t="s">
        <v>8287</v>
      </c>
      <c r="H23" s="8" t="s">
        <v>62</v>
      </c>
      <c r="I23" s="8"/>
    </row>
    <row r="24" customFormat="false" ht="15" hidden="false" customHeight="false" outlineLevel="0" collapsed="false">
      <c r="A24" s="4" t="s">
        <v>8344</v>
      </c>
      <c r="B24" s="4" t="n">
        <v>23</v>
      </c>
      <c r="C24" s="4" t="n">
        <v>26</v>
      </c>
      <c r="D24" s="8" t="s">
        <v>8289</v>
      </c>
      <c r="E24" s="8" t="s">
        <v>6502</v>
      </c>
      <c r="F24" s="8" t="s">
        <v>6503</v>
      </c>
      <c r="G24" s="8" t="s">
        <v>8287</v>
      </c>
      <c r="H24" s="8" t="s">
        <v>62</v>
      </c>
      <c r="I24" s="8"/>
    </row>
    <row r="25" customFormat="false" ht="15" hidden="false" customHeight="false" outlineLevel="0" collapsed="false">
      <c r="A25" s="4" t="s">
        <v>8345</v>
      </c>
      <c r="B25" s="4" t="n">
        <v>24</v>
      </c>
      <c r="C25" s="4" t="n">
        <v>28</v>
      </c>
      <c r="D25" s="8" t="s">
        <v>8291</v>
      </c>
      <c r="E25" s="8" t="s">
        <v>8346</v>
      </c>
      <c r="F25" s="8" t="s">
        <v>8347</v>
      </c>
      <c r="G25" s="8" t="s">
        <v>8287</v>
      </c>
      <c r="H25" s="8" t="s">
        <v>62</v>
      </c>
      <c r="I25" s="8"/>
    </row>
    <row r="26" customFormat="false" ht="15" hidden="false" customHeight="false" outlineLevel="0" collapsed="false">
      <c r="A26" s="4" t="s">
        <v>8348</v>
      </c>
      <c r="B26" s="4" t="n">
        <v>25</v>
      </c>
      <c r="C26" s="4" t="n">
        <v>29</v>
      </c>
      <c r="D26" s="8" t="s">
        <v>8291</v>
      </c>
      <c r="E26" s="8" t="s">
        <v>8349</v>
      </c>
      <c r="F26" s="8" t="s">
        <v>8350</v>
      </c>
      <c r="G26" s="8" t="s">
        <v>8287</v>
      </c>
      <c r="H26" s="8" t="s">
        <v>62</v>
      </c>
      <c r="I26" s="8"/>
    </row>
    <row r="27" customFormat="false" ht="15" hidden="false" customHeight="false" outlineLevel="0" collapsed="false">
      <c r="A27" s="4" t="s">
        <v>8351</v>
      </c>
      <c r="B27" s="4" t="n">
        <v>26</v>
      </c>
      <c r="C27" s="4" t="n">
        <v>30</v>
      </c>
      <c r="D27" s="8" t="s">
        <v>8291</v>
      </c>
      <c r="E27" s="8" t="s">
        <v>6490</v>
      </c>
      <c r="F27" s="8" t="s">
        <v>8352</v>
      </c>
      <c r="G27" s="8" t="s">
        <v>8287</v>
      </c>
      <c r="H27" s="8" t="s">
        <v>62</v>
      </c>
      <c r="I27" s="8"/>
    </row>
    <row r="28" customFormat="false" ht="15" hidden="false" customHeight="false" outlineLevel="0" collapsed="false">
      <c r="A28" s="4" t="s">
        <v>8353</v>
      </c>
      <c r="B28" s="4" t="n">
        <v>27</v>
      </c>
      <c r="C28" s="4" t="n">
        <v>31</v>
      </c>
      <c r="D28" s="8" t="s">
        <v>8291</v>
      </c>
      <c r="E28" s="8" t="s">
        <v>8354</v>
      </c>
      <c r="F28" s="8" t="s">
        <v>8355</v>
      </c>
      <c r="G28" s="8" t="s">
        <v>8287</v>
      </c>
      <c r="H28" s="8" t="s">
        <v>62</v>
      </c>
      <c r="I28" s="8"/>
    </row>
    <row r="29" customFormat="false" ht="15" hidden="false" customHeight="false" outlineLevel="0" collapsed="false">
      <c r="A29" s="4" t="s">
        <v>8356</v>
      </c>
      <c r="B29" s="4" t="n">
        <v>28</v>
      </c>
      <c r="C29" s="4" t="n">
        <v>32</v>
      </c>
      <c r="D29" s="8" t="s">
        <v>8291</v>
      </c>
      <c r="E29" s="8" t="s">
        <v>8357</v>
      </c>
      <c r="F29" s="8" t="s">
        <v>8358</v>
      </c>
      <c r="G29" s="8" t="s">
        <v>8287</v>
      </c>
      <c r="H29" s="8" t="s">
        <v>62</v>
      </c>
      <c r="I29" s="8"/>
    </row>
    <row r="30" customFormat="false" ht="15" hidden="false" customHeight="false" outlineLevel="0" collapsed="false">
      <c r="A30" s="4" t="s">
        <v>8359</v>
      </c>
      <c r="B30" s="4" t="n">
        <v>29</v>
      </c>
      <c r="C30" s="4" t="n">
        <v>33</v>
      </c>
      <c r="D30" s="8" t="s">
        <v>8360</v>
      </c>
      <c r="E30" s="8" t="s">
        <v>8361</v>
      </c>
      <c r="F30" s="8" t="s">
        <v>8362</v>
      </c>
      <c r="G30" s="8" t="s">
        <v>8287</v>
      </c>
      <c r="H30" s="8" t="s">
        <v>62</v>
      </c>
      <c r="I30" s="8"/>
    </row>
    <row r="31" customFormat="false" ht="15" hidden="false" customHeight="false" outlineLevel="0" collapsed="false">
      <c r="A31" s="4" t="s">
        <v>8363</v>
      </c>
      <c r="B31" s="4" t="n">
        <v>30</v>
      </c>
      <c r="C31" s="4" t="n">
        <v>34</v>
      </c>
      <c r="D31" s="8" t="s">
        <v>8284</v>
      </c>
      <c r="E31" s="8" t="s">
        <v>6517</v>
      </c>
      <c r="F31" s="8" t="s">
        <v>6518</v>
      </c>
      <c r="G31" s="8" t="s">
        <v>8287</v>
      </c>
      <c r="H31" s="8" t="s">
        <v>62</v>
      </c>
      <c r="I31" s="8"/>
    </row>
    <row r="32" customFormat="false" ht="15" hidden="false" customHeight="false" outlineLevel="0" collapsed="false">
      <c r="A32" s="4" t="s">
        <v>8364</v>
      </c>
      <c r="B32" s="4" t="n">
        <v>31</v>
      </c>
      <c r="C32" s="4" t="n">
        <v>35</v>
      </c>
      <c r="D32" s="8" t="s">
        <v>8284</v>
      </c>
      <c r="E32" s="8" t="s">
        <v>8365</v>
      </c>
      <c r="F32" s="8" t="s">
        <v>87</v>
      </c>
      <c r="G32" s="8" t="s">
        <v>8287</v>
      </c>
      <c r="H32" s="8" t="s">
        <v>62</v>
      </c>
      <c r="I32" s="8"/>
    </row>
    <row r="33" customFormat="false" ht="15" hidden="false" customHeight="false" outlineLevel="0" collapsed="false">
      <c r="A33" s="4" t="s">
        <v>8366</v>
      </c>
      <c r="B33" s="4" t="n">
        <v>32</v>
      </c>
      <c r="C33" s="4" t="n">
        <v>39</v>
      </c>
      <c r="D33" s="8" t="s">
        <v>8305</v>
      </c>
      <c r="E33" s="8" t="s">
        <v>7093</v>
      </c>
      <c r="F33" s="8" t="s">
        <v>7094</v>
      </c>
      <c r="G33" s="8" t="s">
        <v>8287</v>
      </c>
      <c r="H33" s="8" t="s">
        <v>62</v>
      </c>
      <c r="I33" s="8"/>
    </row>
    <row r="34" customFormat="false" ht="15" hidden="false" customHeight="false" outlineLevel="0" collapsed="false">
      <c r="A34" s="4" t="s">
        <v>8367</v>
      </c>
      <c r="B34" s="4" t="n">
        <v>33</v>
      </c>
      <c r="C34" s="4" t="n">
        <v>40</v>
      </c>
      <c r="D34" s="8" t="s">
        <v>8305</v>
      </c>
      <c r="E34" s="8" t="s">
        <v>371</v>
      </c>
      <c r="F34" s="8" t="s">
        <v>372</v>
      </c>
      <c r="G34" s="8" t="s">
        <v>8287</v>
      </c>
      <c r="H34" s="8" t="s">
        <v>62</v>
      </c>
      <c r="I34" s="8"/>
    </row>
    <row r="35" customFormat="false" ht="15" hidden="false" customHeight="false" outlineLevel="0" collapsed="false">
      <c r="A35" s="4" t="s">
        <v>8368</v>
      </c>
      <c r="B35" s="4" t="n">
        <v>34</v>
      </c>
      <c r="C35" s="4" t="n">
        <v>41</v>
      </c>
      <c r="D35" s="8" t="s">
        <v>8310</v>
      </c>
      <c r="E35" s="8" t="s">
        <v>8369</v>
      </c>
      <c r="F35" s="8" t="s">
        <v>8370</v>
      </c>
      <c r="G35" s="8" t="s">
        <v>8287</v>
      </c>
      <c r="H35" s="8" t="s">
        <v>62</v>
      </c>
      <c r="I35" s="8"/>
    </row>
    <row r="36" customFormat="false" ht="15" hidden="false" customHeight="false" outlineLevel="0" collapsed="false">
      <c r="A36" s="4" t="s">
        <v>8371</v>
      </c>
      <c r="B36" s="4" t="n">
        <v>35</v>
      </c>
      <c r="C36" s="4" t="n">
        <v>45</v>
      </c>
      <c r="D36" s="8" t="s">
        <v>8305</v>
      </c>
      <c r="E36" s="8" t="s">
        <v>7112</v>
      </c>
      <c r="F36" s="8" t="s">
        <v>8372</v>
      </c>
      <c r="G36" s="8" t="s">
        <v>8287</v>
      </c>
      <c r="H36" s="8" t="s">
        <v>62</v>
      </c>
      <c r="I36" s="8"/>
    </row>
    <row r="37" customFormat="false" ht="15" hidden="false" customHeight="false" outlineLevel="0" collapsed="false">
      <c r="A37" s="4" t="s">
        <v>8373</v>
      </c>
      <c r="B37" s="4" t="n">
        <v>36</v>
      </c>
      <c r="C37" s="4" t="n">
        <v>46</v>
      </c>
      <c r="D37" s="8" t="s">
        <v>8374</v>
      </c>
      <c r="E37" s="8" t="s">
        <v>8375</v>
      </c>
      <c r="F37" s="8" t="s">
        <v>8376</v>
      </c>
      <c r="G37" s="8" t="s">
        <v>8287</v>
      </c>
      <c r="H37" s="8" t="s">
        <v>62</v>
      </c>
      <c r="I37" s="8"/>
    </row>
    <row r="38" customFormat="false" ht="15" hidden="false" customHeight="false" outlineLevel="0" collapsed="false">
      <c r="A38" s="4" t="s">
        <v>8377</v>
      </c>
      <c r="B38" s="4" t="n">
        <v>37</v>
      </c>
      <c r="C38" s="4" t="n">
        <v>47</v>
      </c>
      <c r="D38" s="8" t="s">
        <v>8378</v>
      </c>
      <c r="E38" s="8" t="s">
        <v>8379</v>
      </c>
      <c r="F38" s="8" t="s">
        <v>8380</v>
      </c>
      <c r="G38" s="8" t="s">
        <v>8287</v>
      </c>
      <c r="H38" s="8" t="s">
        <v>62</v>
      </c>
      <c r="I38" s="8"/>
    </row>
    <row r="39" customFormat="false" ht="15" hidden="false" customHeight="false" outlineLevel="0" collapsed="false">
      <c r="A39" s="4" t="s">
        <v>8381</v>
      </c>
      <c r="B39" s="4" t="n">
        <v>38</v>
      </c>
      <c r="C39" s="4" t="n">
        <v>50</v>
      </c>
      <c r="D39" s="8" t="s">
        <v>8378</v>
      </c>
      <c r="E39" s="8" t="s">
        <v>8382</v>
      </c>
      <c r="F39" s="8" t="s">
        <v>8383</v>
      </c>
      <c r="G39" s="8" t="s">
        <v>8287</v>
      </c>
      <c r="H39" s="8" t="s">
        <v>62</v>
      </c>
      <c r="I39" s="8"/>
    </row>
    <row r="40" customFormat="false" ht="15" hidden="false" customHeight="false" outlineLevel="0" collapsed="false">
      <c r="A40" s="4" t="s">
        <v>8384</v>
      </c>
      <c r="B40" s="4" t="n">
        <v>39</v>
      </c>
      <c r="C40" s="4" t="n">
        <v>51</v>
      </c>
      <c r="D40" s="8" t="s">
        <v>8289</v>
      </c>
      <c r="E40" s="8" t="s">
        <v>6490</v>
      </c>
      <c r="F40" s="8" t="s">
        <v>6977</v>
      </c>
      <c r="G40" s="8" t="s">
        <v>8287</v>
      </c>
      <c r="H40" s="8" t="s">
        <v>62</v>
      </c>
      <c r="I40" s="8"/>
    </row>
    <row r="41" customFormat="false" ht="15" hidden="false" customHeight="false" outlineLevel="0" collapsed="false">
      <c r="A41" s="4" t="s">
        <v>8385</v>
      </c>
      <c r="B41" s="4" t="n">
        <v>40</v>
      </c>
      <c r="C41" s="4" t="n">
        <v>52</v>
      </c>
      <c r="D41" s="8" t="s">
        <v>8289</v>
      </c>
      <c r="E41" s="8" t="s">
        <v>8386</v>
      </c>
      <c r="F41" s="8" t="s">
        <v>8387</v>
      </c>
      <c r="G41" s="8" t="s">
        <v>8287</v>
      </c>
      <c r="H41" s="8" t="s">
        <v>62</v>
      </c>
      <c r="I41" s="8"/>
    </row>
    <row r="42" customFormat="false" ht="15" hidden="false" customHeight="false" outlineLevel="0" collapsed="false">
      <c r="A42" s="4" t="s">
        <v>8388</v>
      </c>
      <c r="B42" s="4" t="n">
        <v>41</v>
      </c>
      <c r="C42" s="4" t="n">
        <v>53</v>
      </c>
      <c r="D42" s="8" t="s">
        <v>8389</v>
      </c>
      <c r="E42" s="8" t="s">
        <v>8390</v>
      </c>
      <c r="F42" s="8" t="s">
        <v>8391</v>
      </c>
      <c r="G42" s="8" t="s">
        <v>8287</v>
      </c>
      <c r="H42" s="8" t="s">
        <v>62</v>
      </c>
      <c r="I42" s="8"/>
    </row>
    <row r="43" customFormat="false" ht="15" hidden="false" customHeight="false" outlineLevel="0" collapsed="false">
      <c r="A43" s="4" t="s">
        <v>8392</v>
      </c>
      <c r="B43" s="4" t="n">
        <v>42</v>
      </c>
      <c r="C43" s="4" t="n">
        <v>54</v>
      </c>
      <c r="D43" s="8" t="s">
        <v>8336</v>
      </c>
      <c r="E43" s="8" t="s">
        <v>8393</v>
      </c>
      <c r="F43" s="8" t="s">
        <v>8394</v>
      </c>
      <c r="G43" s="8" t="s">
        <v>8287</v>
      </c>
      <c r="H43" s="8" t="s">
        <v>62</v>
      </c>
      <c r="I43" s="8"/>
    </row>
    <row r="44" customFormat="false" ht="15" hidden="false" customHeight="false" outlineLevel="0" collapsed="false">
      <c r="A44" s="4" t="s">
        <v>8395</v>
      </c>
      <c r="B44" s="4" t="n">
        <v>43</v>
      </c>
      <c r="C44" s="4" t="n">
        <v>55</v>
      </c>
      <c r="D44" s="8" t="s">
        <v>8396</v>
      </c>
      <c r="E44" s="8" t="s">
        <v>1222</v>
      </c>
      <c r="F44" s="8" t="s">
        <v>8397</v>
      </c>
      <c r="G44" s="8" t="s">
        <v>8287</v>
      </c>
      <c r="H44" s="8" t="s">
        <v>62</v>
      </c>
      <c r="I44" s="8"/>
    </row>
    <row r="45" customFormat="false" ht="15" hidden="false" customHeight="false" outlineLevel="0" collapsed="false">
      <c r="A45" s="4" t="s">
        <v>8398</v>
      </c>
      <c r="B45" s="4" t="n">
        <v>44</v>
      </c>
      <c r="C45" s="4" t="n">
        <v>56</v>
      </c>
      <c r="D45" s="8" t="s">
        <v>8305</v>
      </c>
      <c r="E45" s="8" t="s">
        <v>8399</v>
      </c>
      <c r="F45" s="8" t="s">
        <v>8400</v>
      </c>
      <c r="G45" s="8" t="s">
        <v>8287</v>
      </c>
      <c r="H45" s="8" t="s">
        <v>62</v>
      </c>
      <c r="I45" s="8"/>
    </row>
    <row r="46" customFormat="false" ht="15" hidden="false" customHeight="false" outlineLevel="0" collapsed="false">
      <c r="A46" s="4" t="s">
        <v>8401</v>
      </c>
      <c r="B46" s="4" t="n">
        <v>45</v>
      </c>
      <c r="C46" s="4" t="n">
        <v>57</v>
      </c>
      <c r="D46" s="8" t="s">
        <v>8378</v>
      </c>
      <c r="E46" s="8" t="s">
        <v>8402</v>
      </c>
      <c r="F46" s="8" t="s">
        <v>8403</v>
      </c>
      <c r="G46" s="8" t="s">
        <v>8287</v>
      </c>
      <c r="H46" s="8" t="s">
        <v>62</v>
      </c>
      <c r="I46" s="8"/>
    </row>
    <row r="47" customFormat="false" ht="15" hidden="false" customHeight="false" outlineLevel="0" collapsed="false">
      <c r="A47" s="4" t="s">
        <v>8404</v>
      </c>
      <c r="B47" s="4" t="n">
        <v>46</v>
      </c>
      <c r="C47" s="4" t="n">
        <v>58</v>
      </c>
      <c r="D47" s="8" t="s">
        <v>8305</v>
      </c>
      <c r="E47" s="8" t="s">
        <v>7103</v>
      </c>
      <c r="F47" s="8" t="s">
        <v>7104</v>
      </c>
      <c r="G47" s="8" t="s">
        <v>8287</v>
      </c>
      <c r="H47" s="8" t="s">
        <v>62</v>
      </c>
      <c r="I47" s="8"/>
    </row>
    <row r="48" customFormat="false" ht="15" hidden="false" customHeight="false" outlineLevel="0" collapsed="false">
      <c r="A48" s="4" t="s">
        <v>8405</v>
      </c>
      <c r="B48" s="4" t="n">
        <v>47</v>
      </c>
      <c r="C48" s="4" t="n">
        <v>61</v>
      </c>
      <c r="D48" s="8" t="s">
        <v>8284</v>
      </c>
      <c r="E48" s="8" t="s">
        <v>8285</v>
      </c>
      <c r="F48" s="8" t="s">
        <v>8406</v>
      </c>
      <c r="G48" s="8" t="s">
        <v>8287</v>
      </c>
      <c r="H48" s="8" t="s">
        <v>62</v>
      </c>
      <c r="I48" s="8"/>
    </row>
    <row r="49" customFormat="false" ht="15" hidden="false" customHeight="false" outlineLevel="0" collapsed="false">
      <c r="A49" s="4" t="s">
        <v>8407</v>
      </c>
      <c r="B49" s="4" t="n">
        <v>48</v>
      </c>
      <c r="C49" s="4" t="n">
        <v>63</v>
      </c>
      <c r="D49" s="8" t="s">
        <v>8305</v>
      </c>
      <c r="E49" s="8" t="s">
        <v>7097</v>
      </c>
      <c r="F49" s="8" t="s">
        <v>8408</v>
      </c>
      <c r="G49" s="8" t="s">
        <v>8287</v>
      </c>
      <c r="H49" s="8" t="s">
        <v>62</v>
      </c>
      <c r="I49" s="8"/>
    </row>
    <row r="50" customFormat="false" ht="15" hidden="false" customHeight="false" outlineLevel="0" collapsed="false">
      <c r="A50" s="4" t="s">
        <v>8409</v>
      </c>
      <c r="B50" s="4" t="n">
        <v>49</v>
      </c>
      <c r="C50" s="4" t="n">
        <v>64</v>
      </c>
      <c r="D50" s="8" t="s">
        <v>8410</v>
      </c>
      <c r="E50" s="8" t="s">
        <v>335</v>
      </c>
      <c r="F50" s="8" t="s">
        <v>336</v>
      </c>
      <c r="G50" s="8" t="s">
        <v>8287</v>
      </c>
      <c r="H50" s="8" t="s">
        <v>62</v>
      </c>
      <c r="I50" s="8"/>
    </row>
    <row r="51" customFormat="false" ht="15" hidden="false" customHeight="false" outlineLevel="0" collapsed="false">
      <c r="A51" s="4" t="s">
        <v>8411</v>
      </c>
      <c r="B51" s="4" t="n">
        <v>50</v>
      </c>
      <c r="C51" s="4" t="n">
        <v>65</v>
      </c>
      <c r="D51" s="8" t="s">
        <v>8396</v>
      </c>
      <c r="E51" s="8" t="s">
        <v>8412</v>
      </c>
      <c r="F51" s="8" t="s">
        <v>8413</v>
      </c>
      <c r="G51" s="8" t="s">
        <v>8287</v>
      </c>
      <c r="H51" s="8" t="s">
        <v>62</v>
      </c>
      <c r="I51" s="8"/>
    </row>
    <row r="52" customFormat="false" ht="15" hidden="false" customHeight="false" outlineLevel="0" collapsed="false">
      <c r="A52" s="4" t="s">
        <v>8414</v>
      </c>
      <c r="B52" s="4" t="n">
        <v>51</v>
      </c>
      <c r="C52" s="4" t="n">
        <v>66</v>
      </c>
      <c r="D52" s="8" t="s">
        <v>8415</v>
      </c>
      <c r="E52" s="8" t="s">
        <v>8416</v>
      </c>
      <c r="F52" s="8" t="s">
        <v>8417</v>
      </c>
      <c r="G52" s="8" t="s">
        <v>8287</v>
      </c>
      <c r="H52" s="8" t="s">
        <v>62</v>
      </c>
      <c r="I52" s="8"/>
    </row>
    <row r="53" customFormat="false" ht="15" hidden="false" customHeight="false" outlineLevel="0" collapsed="false">
      <c r="A53" s="4" t="s">
        <v>8418</v>
      </c>
      <c r="B53" s="4" t="n">
        <v>52</v>
      </c>
      <c r="C53" s="4" t="n">
        <v>68</v>
      </c>
      <c r="D53" s="8" t="s">
        <v>8336</v>
      </c>
      <c r="E53" s="8" t="s">
        <v>8419</v>
      </c>
      <c r="F53" s="8" t="s">
        <v>8420</v>
      </c>
      <c r="G53" s="8" t="s">
        <v>8287</v>
      </c>
      <c r="H53" s="8" t="s">
        <v>62</v>
      </c>
      <c r="I53" s="8"/>
    </row>
    <row r="54" customFormat="false" ht="15" hidden="false" customHeight="false" outlineLevel="0" collapsed="false">
      <c r="A54" s="4" t="s">
        <v>8421</v>
      </c>
      <c r="B54" s="4" t="n">
        <v>53</v>
      </c>
      <c r="C54" s="4" t="n">
        <v>69</v>
      </c>
      <c r="D54" s="8" t="s">
        <v>8289</v>
      </c>
      <c r="E54" s="8" t="s">
        <v>8422</v>
      </c>
      <c r="F54" s="8" t="s">
        <v>6506</v>
      </c>
      <c r="G54" s="8" t="s">
        <v>8287</v>
      </c>
      <c r="H54" s="8" t="s">
        <v>62</v>
      </c>
      <c r="I54" s="8"/>
    </row>
    <row r="55" customFormat="false" ht="15" hidden="false" customHeight="false" outlineLevel="0" collapsed="false">
      <c r="A55" s="4" t="s">
        <v>8423</v>
      </c>
      <c r="B55" s="4" t="n">
        <v>54</v>
      </c>
      <c r="C55" s="4" t="n">
        <v>70</v>
      </c>
      <c r="D55" s="8" t="s">
        <v>8410</v>
      </c>
      <c r="E55" s="8" t="s">
        <v>8424</v>
      </c>
      <c r="F55" s="8" t="s">
        <v>8425</v>
      </c>
      <c r="G55" s="8" t="s">
        <v>8287</v>
      </c>
      <c r="H55" s="8" t="s">
        <v>62</v>
      </c>
      <c r="I55" s="8"/>
    </row>
    <row r="56" customFormat="false" ht="15" hidden="false" customHeight="false" outlineLevel="0" collapsed="false">
      <c r="A56" s="4" t="s">
        <v>8426</v>
      </c>
      <c r="B56" s="4" t="n">
        <v>55</v>
      </c>
      <c r="C56" s="4" t="n">
        <v>72</v>
      </c>
      <c r="D56" s="8" t="s">
        <v>8389</v>
      </c>
      <c r="E56" s="8" t="s">
        <v>8427</v>
      </c>
      <c r="F56" s="8" t="s">
        <v>8428</v>
      </c>
      <c r="G56" s="8" t="s">
        <v>8287</v>
      </c>
      <c r="H56" s="8" t="s">
        <v>62</v>
      </c>
      <c r="I56" s="8"/>
    </row>
    <row r="57" customFormat="false" ht="15" hidden="false" customHeight="false" outlineLevel="0" collapsed="false">
      <c r="A57" s="4" t="s">
        <v>8429</v>
      </c>
      <c r="B57" s="4" t="n">
        <v>56</v>
      </c>
      <c r="C57" s="4" t="n">
        <v>73</v>
      </c>
      <c r="D57" s="8" t="s">
        <v>8410</v>
      </c>
      <c r="E57" s="8" t="s">
        <v>8430</v>
      </c>
      <c r="F57" s="8" t="s">
        <v>8431</v>
      </c>
      <c r="G57" s="8" t="s">
        <v>8287</v>
      </c>
      <c r="H57" s="8" t="s">
        <v>62</v>
      </c>
      <c r="I57" s="8"/>
    </row>
    <row r="58" customFormat="false" ht="15" hidden="false" customHeight="false" outlineLevel="0" collapsed="false">
      <c r="A58" s="4" t="s">
        <v>8432</v>
      </c>
      <c r="B58" s="4" t="n">
        <v>57</v>
      </c>
      <c r="C58" s="4" t="n">
        <v>74</v>
      </c>
      <c r="D58" s="8" t="s">
        <v>8396</v>
      </c>
      <c r="E58" s="8" t="s">
        <v>8433</v>
      </c>
      <c r="F58" s="8" t="s">
        <v>6491</v>
      </c>
      <c r="G58" s="8" t="s">
        <v>8287</v>
      </c>
      <c r="H58" s="8" t="s">
        <v>62</v>
      </c>
      <c r="I58" s="8"/>
    </row>
    <row r="59" customFormat="false" ht="15" hidden="false" customHeight="false" outlineLevel="0" collapsed="false">
      <c r="A59" s="4" t="s">
        <v>8434</v>
      </c>
      <c r="B59" s="4" t="n">
        <v>58</v>
      </c>
      <c r="C59" s="4" t="n">
        <v>75</v>
      </c>
      <c r="D59" s="8" t="s">
        <v>8435</v>
      </c>
      <c r="E59" s="8" t="s">
        <v>8436</v>
      </c>
      <c r="F59" s="8" t="s">
        <v>8437</v>
      </c>
      <c r="G59" s="8" t="s">
        <v>8287</v>
      </c>
      <c r="H59" s="8" t="s">
        <v>62</v>
      </c>
      <c r="I59" s="8"/>
    </row>
    <row r="60" customFormat="false" ht="15" hidden="false" customHeight="false" outlineLevel="0" collapsed="false">
      <c r="A60" s="4" t="s">
        <v>8438</v>
      </c>
      <c r="B60" s="4" t="n">
        <v>59</v>
      </c>
      <c r="C60" s="4" t="n">
        <v>76</v>
      </c>
      <c r="D60" s="8" t="s">
        <v>8305</v>
      </c>
      <c r="E60" s="8" t="s">
        <v>8330</v>
      </c>
      <c r="F60" s="8" t="s">
        <v>8331</v>
      </c>
      <c r="G60" s="8" t="s">
        <v>8287</v>
      </c>
      <c r="H60" s="8" t="s">
        <v>62</v>
      </c>
      <c r="I60" s="8"/>
    </row>
    <row r="61" customFormat="false" ht="15" hidden="false" customHeight="false" outlineLevel="0" collapsed="false">
      <c r="A61" s="4" t="s">
        <v>8439</v>
      </c>
      <c r="B61" s="4" t="n">
        <v>60</v>
      </c>
      <c r="C61" s="4" t="n">
        <v>77</v>
      </c>
      <c r="D61" s="8" t="s">
        <v>8396</v>
      </c>
      <c r="E61" s="8" t="s">
        <v>8361</v>
      </c>
      <c r="F61" s="8" t="s">
        <v>8440</v>
      </c>
      <c r="G61" s="8" t="s">
        <v>8287</v>
      </c>
      <c r="H61" s="8" t="s">
        <v>62</v>
      </c>
      <c r="I61" s="8"/>
    </row>
    <row r="62" customFormat="false" ht="15" hidden="false" customHeight="false" outlineLevel="0" collapsed="false">
      <c r="A62" s="4" t="s">
        <v>8441</v>
      </c>
      <c r="B62" s="4" t="n">
        <v>61</v>
      </c>
      <c r="C62" s="4" t="n">
        <v>78</v>
      </c>
      <c r="D62" s="8" t="s">
        <v>8305</v>
      </c>
      <c r="E62" s="8" t="s">
        <v>8442</v>
      </c>
      <c r="F62" s="8" t="s">
        <v>8443</v>
      </c>
      <c r="G62" s="8" t="s">
        <v>8287</v>
      </c>
      <c r="H62" s="8" t="s">
        <v>62</v>
      </c>
      <c r="I62" s="8"/>
    </row>
    <row r="63" customFormat="false" ht="15" hidden="false" customHeight="false" outlineLevel="0" collapsed="false">
      <c r="A63" s="4" t="s">
        <v>8444</v>
      </c>
      <c r="B63" s="4" t="n">
        <v>62</v>
      </c>
      <c r="C63" s="4" t="n">
        <v>79</v>
      </c>
      <c r="D63" s="8" t="s">
        <v>8378</v>
      </c>
      <c r="E63" s="8" t="s">
        <v>8445</v>
      </c>
      <c r="F63" s="8" t="s">
        <v>8446</v>
      </c>
      <c r="G63" s="8" t="s">
        <v>8287</v>
      </c>
      <c r="H63" s="8" t="s">
        <v>62</v>
      </c>
      <c r="I63" s="8"/>
    </row>
    <row r="64" customFormat="false" ht="15" hidden="false" customHeight="false" outlineLevel="0" collapsed="false">
      <c r="A64" s="4" t="s">
        <v>8447</v>
      </c>
      <c r="B64" s="4" t="n">
        <v>63</v>
      </c>
      <c r="C64" s="4" t="n">
        <v>80</v>
      </c>
      <c r="D64" s="8" t="s">
        <v>8415</v>
      </c>
      <c r="E64" s="8" t="s">
        <v>603</v>
      </c>
      <c r="F64" s="8" t="s">
        <v>8448</v>
      </c>
      <c r="G64" s="8" t="s">
        <v>8287</v>
      </c>
      <c r="H64" s="8" t="s">
        <v>62</v>
      </c>
      <c r="I64" s="8"/>
    </row>
    <row r="65" customFormat="false" ht="15" hidden="false" customHeight="false" outlineLevel="0" collapsed="false">
      <c r="A65" s="4" t="s">
        <v>8449</v>
      </c>
      <c r="B65" s="4" t="n">
        <v>64</v>
      </c>
      <c r="C65" s="4" t="n">
        <v>82</v>
      </c>
      <c r="D65" s="8" t="s">
        <v>8284</v>
      </c>
      <c r="E65" s="8" t="s">
        <v>1514</v>
      </c>
      <c r="F65" s="8" t="s">
        <v>1515</v>
      </c>
      <c r="G65" s="8" t="s">
        <v>8287</v>
      </c>
      <c r="H65" s="8" t="s">
        <v>62</v>
      </c>
      <c r="I65" s="8"/>
    </row>
    <row r="66" customFormat="false" ht="15" hidden="false" customHeight="false" outlineLevel="0" collapsed="false">
      <c r="A66" s="4" t="s">
        <v>8450</v>
      </c>
      <c r="B66" s="4" t="n">
        <v>65</v>
      </c>
      <c r="C66" s="4" t="n">
        <v>83</v>
      </c>
      <c r="D66" s="8" t="s">
        <v>8336</v>
      </c>
      <c r="E66" s="8" t="s">
        <v>8451</v>
      </c>
      <c r="F66" s="8" t="s">
        <v>8452</v>
      </c>
      <c r="G66" s="8" t="s">
        <v>8287</v>
      </c>
      <c r="H66" s="8" t="s">
        <v>62</v>
      </c>
      <c r="I66" s="8"/>
    </row>
    <row r="67" customFormat="false" ht="15" hidden="false" customHeight="false" outlineLevel="0" collapsed="false">
      <c r="A67" s="4" t="s">
        <v>8453</v>
      </c>
      <c r="B67" s="4" t="n">
        <v>66</v>
      </c>
      <c r="C67" s="4" t="n">
        <v>84</v>
      </c>
      <c r="D67" s="8" t="s">
        <v>8396</v>
      </c>
      <c r="E67" s="8" t="s">
        <v>8454</v>
      </c>
      <c r="F67" s="8" t="s">
        <v>8455</v>
      </c>
      <c r="G67" s="8" t="s">
        <v>8287</v>
      </c>
      <c r="H67" s="8" t="s">
        <v>62</v>
      </c>
      <c r="I67" s="8"/>
    </row>
    <row r="68" customFormat="false" ht="15" hidden="false" customHeight="false" outlineLevel="0" collapsed="false">
      <c r="A68" s="4" t="s">
        <v>8456</v>
      </c>
      <c r="B68" s="4" t="n">
        <v>67</v>
      </c>
      <c r="C68" s="4" t="n">
        <v>85</v>
      </c>
      <c r="D68" s="8" t="s">
        <v>8396</v>
      </c>
      <c r="E68" s="8" t="s">
        <v>1242</v>
      </c>
      <c r="F68" s="8" t="s">
        <v>1243</v>
      </c>
      <c r="G68" s="8" t="s">
        <v>8287</v>
      </c>
      <c r="H68" s="8" t="s">
        <v>62</v>
      </c>
      <c r="I68" s="8"/>
    </row>
    <row r="69" customFormat="false" ht="15" hidden="false" customHeight="false" outlineLevel="0" collapsed="false">
      <c r="A69" s="4" t="s">
        <v>8457</v>
      </c>
      <c r="B69" s="4" t="n">
        <v>68</v>
      </c>
      <c r="C69" s="4" t="n">
        <v>86</v>
      </c>
      <c r="D69" s="8" t="s">
        <v>8291</v>
      </c>
      <c r="E69" s="8" t="s">
        <v>7028</v>
      </c>
      <c r="F69" s="8" t="s">
        <v>7029</v>
      </c>
      <c r="G69" s="8" t="s">
        <v>8287</v>
      </c>
      <c r="H69" s="8" t="s">
        <v>62</v>
      </c>
      <c r="I69" s="8"/>
    </row>
    <row r="70" customFormat="false" ht="15" hidden="false" customHeight="false" outlineLevel="0" collapsed="false">
      <c r="A70" s="4" t="s">
        <v>8458</v>
      </c>
      <c r="B70" s="4" t="n">
        <v>69</v>
      </c>
      <c r="C70" s="4" t="n">
        <v>87</v>
      </c>
      <c r="D70" s="8" t="s">
        <v>8284</v>
      </c>
      <c r="E70" s="8" t="s">
        <v>8459</v>
      </c>
      <c r="F70" s="8" t="s">
        <v>8460</v>
      </c>
      <c r="G70" s="8" t="s">
        <v>8287</v>
      </c>
      <c r="H70" s="8" t="s">
        <v>62</v>
      </c>
      <c r="I70" s="8"/>
    </row>
    <row r="71" customFormat="false" ht="15" hidden="false" customHeight="false" outlineLevel="0" collapsed="false">
      <c r="A71" s="4" t="s">
        <v>8461</v>
      </c>
      <c r="B71" s="4" t="n">
        <v>70</v>
      </c>
      <c r="C71" s="4" t="n">
        <v>88</v>
      </c>
      <c r="D71" s="8" t="s">
        <v>8415</v>
      </c>
      <c r="E71" s="8" t="s">
        <v>138</v>
      </c>
      <c r="F71" s="8" t="s">
        <v>8462</v>
      </c>
      <c r="G71" s="8" t="s">
        <v>8287</v>
      </c>
      <c r="H71" s="8" t="s">
        <v>62</v>
      </c>
      <c r="I71" s="8"/>
    </row>
    <row r="72" customFormat="false" ht="15" hidden="false" customHeight="false" outlineLevel="0" collapsed="false">
      <c r="A72" s="4" t="s">
        <v>8463</v>
      </c>
      <c r="B72" s="4" t="n">
        <v>71</v>
      </c>
      <c r="C72" s="4" t="n">
        <v>90</v>
      </c>
      <c r="D72" s="8" t="s">
        <v>8378</v>
      </c>
      <c r="E72" s="8" t="s">
        <v>8464</v>
      </c>
      <c r="F72" s="8" t="s">
        <v>8465</v>
      </c>
      <c r="G72" s="8" t="s">
        <v>8287</v>
      </c>
      <c r="H72" s="8" t="s">
        <v>62</v>
      </c>
      <c r="I72" s="8"/>
    </row>
    <row r="73" customFormat="false" ht="15" hidden="false" customHeight="false" outlineLevel="0" collapsed="false">
      <c r="A73" s="4" t="s">
        <v>8466</v>
      </c>
      <c r="B73" s="4" t="n">
        <v>72</v>
      </c>
      <c r="C73" s="4" t="n">
        <v>93</v>
      </c>
      <c r="D73" s="8" t="s">
        <v>8310</v>
      </c>
      <c r="E73" s="8" t="s">
        <v>8467</v>
      </c>
      <c r="F73" s="8" t="s">
        <v>7076</v>
      </c>
      <c r="G73" s="8" t="s">
        <v>8287</v>
      </c>
      <c r="H73" s="8" t="s">
        <v>62</v>
      </c>
      <c r="I73" s="8"/>
    </row>
    <row r="74" customFormat="false" ht="15" hidden="false" customHeight="false" outlineLevel="0" collapsed="false">
      <c r="A74" s="4" t="s">
        <v>8468</v>
      </c>
      <c r="B74" s="4" t="n">
        <v>73</v>
      </c>
      <c r="C74" s="4" t="n">
        <v>95</v>
      </c>
      <c r="D74" s="8" t="s">
        <v>8319</v>
      </c>
      <c r="E74" s="8" t="s">
        <v>8469</v>
      </c>
      <c r="F74" s="8" t="s">
        <v>8470</v>
      </c>
      <c r="G74" s="8" t="s">
        <v>8287</v>
      </c>
      <c r="H74" s="8" t="s">
        <v>62</v>
      </c>
      <c r="I74" s="8"/>
    </row>
    <row r="75" customFormat="false" ht="15" hidden="false" customHeight="false" outlineLevel="0" collapsed="false">
      <c r="A75" s="4" t="s">
        <v>8471</v>
      </c>
      <c r="B75" s="4" t="n">
        <v>74</v>
      </c>
      <c r="C75" s="4" t="n">
        <v>96</v>
      </c>
      <c r="D75" s="8" t="s">
        <v>8291</v>
      </c>
      <c r="E75" s="8" t="s">
        <v>7037</v>
      </c>
      <c r="F75" s="8" t="s">
        <v>8472</v>
      </c>
      <c r="G75" s="8" t="s">
        <v>8287</v>
      </c>
      <c r="H75" s="8" t="s">
        <v>62</v>
      </c>
      <c r="I75" s="8"/>
    </row>
    <row r="76" customFormat="false" ht="15" hidden="false" customHeight="false" outlineLevel="0" collapsed="false">
      <c r="A76" s="4" t="s">
        <v>8473</v>
      </c>
      <c r="B76" s="4" t="n">
        <v>75</v>
      </c>
      <c r="C76" s="4" t="n">
        <v>98</v>
      </c>
      <c r="D76" s="8" t="s">
        <v>8474</v>
      </c>
      <c r="E76" s="8" t="s">
        <v>8475</v>
      </c>
      <c r="F76" s="8" t="s">
        <v>8476</v>
      </c>
      <c r="G76" s="8" t="s">
        <v>8287</v>
      </c>
      <c r="H76" s="8" t="s">
        <v>62</v>
      </c>
      <c r="I76" s="8"/>
    </row>
    <row r="77" customFormat="false" ht="15" hidden="false" customHeight="false" outlineLevel="0" collapsed="false">
      <c r="A77" s="4" t="s">
        <v>8477</v>
      </c>
      <c r="B77" s="4" t="n">
        <v>76</v>
      </c>
      <c r="C77" s="4" t="n">
        <v>100</v>
      </c>
      <c r="D77" s="8" t="s">
        <v>8336</v>
      </c>
      <c r="E77" s="8" t="s">
        <v>8478</v>
      </c>
      <c r="F77" s="8" t="s">
        <v>8479</v>
      </c>
      <c r="G77" s="8" t="s">
        <v>8287</v>
      </c>
      <c r="H77" s="8" t="s">
        <v>62</v>
      </c>
      <c r="I77" s="8"/>
    </row>
    <row r="78" customFormat="false" ht="15" hidden="false" customHeight="false" outlineLevel="0" collapsed="false">
      <c r="A78" s="4" t="s">
        <v>8480</v>
      </c>
      <c r="B78" s="4" t="n">
        <v>77</v>
      </c>
      <c r="C78" s="4" t="n">
        <v>101</v>
      </c>
      <c r="D78" s="8" t="s">
        <v>8415</v>
      </c>
      <c r="E78" s="8" t="s">
        <v>8481</v>
      </c>
      <c r="F78" s="8" t="s">
        <v>6374</v>
      </c>
      <c r="G78" s="8" t="s">
        <v>8287</v>
      </c>
      <c r="H78" s="8" t="s">
        <v>62</v>
      </c>
      <c r="I78" s="8"/>
    </row>
    <row r="79" customFormat="false" ht="15" hidden="false" customHeight="false" outlineLevel="0" collapsed="false">
      <c r="A79" s="4" t="s">
        <v>8482</v>
      </c>
      <c r="B79" s="4" t="n">
        <v>78</v>
      </c>
      <c r="C79" s="4" t="n">
        <v>102</v>
      </c>
      <c r="D79" s="8" t="s">
        <v>8378</v>
      </c>
      <c r="E79" s="8" t="s">
        <v>8483</v>
      </c>
      <c r="F79" s="8" t="s">
        <v>8484</v>
      </c>
      <c r="G79" s="8" t="s">
        <v>8287</v>
      </c>
      <c r="H79" s="8" t="s">
        <v>62</v>
      </c>
      <c r="I79" s="8"/>
    </row>
    <row r="80" customFormat="false" ht="15" hidden="false" customHeight="false" outlineLevel="0" collapsed="false">
      <c r="A80" s="4" t="s">
        <v>8485</v>
      </c>
      <c r="B80" s="4" t="n">
        <v>79</v>
      </c>
      <c r="C80" s="4" t="n">
        <v>104</v>
      </c>
      <c r="D80" s="8" t="s">
        <v>8415</v>
      </c>
      <c r="E80" s="8" t="s">
        <v>8486</v>
      </c>
      <c r="F80" s="8" t="s">
        <v>8487</v>
      </c>
      <c r="G80" s="8" t="s">
        <v>8287</v>
      </c>
      <c r="H80" s="8" t="s">
        <v>62</v>
      </c>
      <c r="I80" s="8"/>
    </row>
    <row r="81" customFormat="false" ht="15" hidden="false" customHeight="false" outlineLevel="0" collapsed="false">
      <c r="A81" s="4" t="s">
        <v>8488</v>
      </c>
      <c r="B81" s="4" t="n">
        <v>80</v>
      </c>
      <c r="C81" s="4" t="n">
        <v>105</v>
      </c>
      <c r="D81" s="8" t="s">
        <v>8410</v>
      </c>
      <c r="E81" s="8" t="s">
        <v>8489</v>
      </c>
      <c r="F81" s="8" t="s">
        <v>8490</v>
      </c>
      <c r="G81" s="8" t="s">
        <v>8287</v>
      </c>
      <c r="H81" s="8" t="s">
        <v>62</v>
      </c>
      <c r="I81" s="8"/>
    </row>
    <row r="82" customFormat="false" ht="15" hidden="false" customHeight="false" outlineLevel="0" collapsed="false">
      <c r="A82" s="4" t="s">
        <v>8491</v>
      </c>
      <c r="B82" s="4" t="n">
        <v>81</v>
      </c>
      <c r="C82" s="4" t="n">
        <v>107</v>
      </c>
      <c r="D82" s="8" t="s">
        <v>8396</v>
      </c>
      <c r="E82" s="8" t="s">
        <v>8492</v>
      </c>
      <c r="F82" s="8" t="s">
        <v>8493</v>
      </c>
      <c r="G82" s="8" t="s">
        <v>8287</v>
      </c>
      <c r="H82" s="8" t="s">
        <v>62</v>
      </c>
      <c r="I82" s="8"/>
    </row>
    <row r="83" customFormat="false" ht="15" hidden="false" customHeight="false" outlineLevel="0" collapsed="false">
      <c r="A83" s="4" t="s">
        <v>8494</v>
      </c>
      <c r="B83" s="4" t="n">
        <v>82</v>
      </c>
      <c r="C83" s="4" t="n">
        <v>108</v>
      </c>
      <c r="D83" s="8" t="s">
        <v>8336</v>
      </c>
      <c r="E83" s="8" t="s">
        <v>8495</v>
      </c>
      <c r="F83" s="8" t="s">
        <v>8496</v>
      </c>
      <c r="G83" s="8" t="s">
        <v>8287</v>
      </c>
      <c r="H83" s="8" t="s">
        <v>62</v>
      </c>
      <c r="I83" s="8"/>
    </row>
    <row r="84" customFormat="false" ht="15" hidden="false" customHeight="false" outlineLevel="0" collapsed="false">
      <c r="A84" s="4" t="s">
        <v>8497</v>
      </c>
      <c r="B84" s="4" t="n">
        <v>83</v>
      </c>
      <c r="C84" s="4" t="n">
        <v>112</v>
      </c>
      <c r="D84" s="8" t="s">
        <v>8389</v>
      </c>
      <c r="E84" s="8" t="s">
        <v>8498</v>
      </c>
      <c r="F84" s="8" t="s">
        <v>8499</v>
      </c>
      <c r="G84" s="8" t="s">
        <v>8287</v>
      </c>
      <c r="H84" s="8" t="s">
        <v>62</v>
      </c>
      <c r="I84" s="8"/>
    </row>
    <row r="85" customFormat="false" ht="15" hidden="false" customHeight="false" outlineLevel="0" collapsed="false">
      <c r="A85" s="4" t="s">
        <v>8500</v>
      </c>
      <c r="B85" s="4" t="n">
        <v>84</v>
      </c>
      <c r="C85" s="4" t="n">
        <v>114</v>
      </c>
      <c r="D85" s="8" t="s">
        <v>8284</v>
      </c>
      <c r="E85" s="8" t="s">
        <v>8501</v>
      </c>
      <c r="F85" s="8" t="s">
        <v>8502</v>
      </c>
      <c r="G85" s="8" t="s">
        <v>8287</v>
      </c>
      <c r="H85" s="8" t="s">
        <v>62</v>
      </c>
      <c r="I85" s="8"/>
    </row>
    <row r="86" customFormat="false" ht="15" hidden="false" customHeight="false" outlineLevel="0" collapsed="false">
      <c r="A86" s="4" t="s">
        <v>8503</v>
      </c>
      <c r="B86" s="4" t="n">
        <v>85</v>
      </c>
      <c r="C86" s="4" t="n">
        <v>115</v>
      </c>
      <c r="D86" s="8" t="s">
        <v>8504</v>
      </c>
      <c r="E86" s="8" t="s">
        <v>6904</v>
      </c>
      <c r="F86" s="8" t="s">
        <v>8505</v>
      </c>
      <c r="G86" s="8" t="s">
        <v>8287</v>
      </c>
      <c r="H86" s="8" t="s">
        <v>62</v>
      </c>
      <c r="I86" s="8"/>
    </row>
    <row r="87" customFormat="false" ht="15" hidden="false" customHeight="false" outlineLevel="0" collapsed="false">
      <c r="A87" s="4" t="s">
        <v>8506</v>
      </c>
      <c r="B87" s="4" t="n">
        <v>86</v>
      </c>
      <c r="C87" s="4" t="n">
        <v>116</v>
      </c>
      <c r="D87" s="8" t="s">
        <v>8389</v>
      </c>
      <c r="E87" s="8" t="s">
        <v>8507</v>
      </c>
      <c r="F87" s="8" t="s">
        <v>8508</v>
      </c>
      <c r="G87" s="8" t="s">
        <v>8287</v>
      </c>
      <c r="H87" s="8" t="s">
        <v>62</v>
      </c>
      <c r="I87" s="8"/>
    </row>
    <row r="88" customFormat="false" ht="15" hidden="false" customHeight="false" outlineLevel="0" collapsed="false">
      <c r="A88" s="4" t="s">
        <v>8509</v>
      </c>
      <c r="B88" s="4" t="n">
        <v>87</v>
      </c>
      <c r="C88" s="4" t="n">
        <v>117</v>
      </c>
      <c r="D88" s="8" t="s">
        <v>8360</v>
      </c>
      <c r="E88" s="8" t="s">
        <v>8510</v>
      </c>
      <c r="F88" s="8" t="s">
        <v>8511</v>
      </c>
      <c r="G88" s="8" t="s">
        <v>8287</v>
      </c>
      <c r="H88" s="8" t="s">
        <v>62</v>
      </c>
      <c r="I88" s="8"/>
    </row>
    <row r="89" customFormat="false" ht="15" hidden="false" customHeight="false" outlineLevel="0" collapsed="false">
      <c r="A89" s="4" t="s">
        <v>8512</v>
      </c>
      <c r="B89" s="4" t="n">
        <v>88</v>
      </c>
      <c r="C89" s="4" t="n">
        <v>118</v>
      </c>
      <c r="D89" s="8" t="s">
        <v>8336</v>
      </c>
      <c r="E89" s="8" t="s">
        <v>8513</v>
      </c>
      <c r="F89" s="8" t="s">
        <v>8514</v>
      </c>
      <c r="G89" s="8" t="s">
        <v>8287</v>
      </c>
      <c r="H89" s="8" t="s">
        <v>62</v>
      </c>
      <c r="I89" s="8"/>
    </row>
    <row r="90" customFormat="false" ht="15" hidden="false" customHeight="false" outlineLevel="0" collapsed="false">
      <c r="A90" s="4" t="s">
        <v>8515</v>
      </c>
      <c r="B90" s="4" t="n">
        <v>89</v>
      </c>
      <c r="C90" s="4" t="n">
        <v>119</v>
      </c>
      <c r="D90" s="8" t="s">
        <v>8360</v>
      </c>
      <c r="E90" s="8" t="s">
        <v>8469</v>
      </c>
      <c r="F90" s="8" t="s">
        <v>8516</v>
      </c>
      <c r="G90" s="8" t="s">
        <v>8287</v>
      </c>
      <c r="H90" s="8" t="s">
        <v>62</v>
      </c>
      <c r="I90" s="8"/>
    </row>
    <row r="91" customFormat="false" ht="15" hidden="false" customHeight="false" outlineLevel="0" collapsed="false">
      <c r="A91" s="4" t="s">
        <v>8517</v>
      </c>
      <c r="B91" s="4" t="n">
        <v>90</v>
      </c>
      <c r="C91" s="4" t="n">
        <v>120</v>
      </c>
      <c r="D91" s="8" t="s">
        <v>8389</v>
      </c>
      <c r="E91" s="8" t="s">
        <v>8518</v>
      </c>
      <c r="F91" s="8" t="s">
        <v>8519</v>
      </c>
      <c r="G91" s="8" t="s">
        <v>8287</v>
      </c>
      <c r="H91" s="8" t="s">
        <v>62</v>
      </c>
      <c r="I91" s="8"/>
    </row>
    <row r="92" customFormat="false" ht="15" hidden="false" customHeight="false" outlineLevel="0" collapsed="false">
      <c r="A92" s="4" t="s">
        <v>8520</v>
      </c>
      <c r="B92" s="4" t="n">
        <v>91</v>
      </c>
      <c r="C92" s="4" t="n">
        <v>121</v>
      </c>
      <c r="D92" s="8" t="s">
        <v>8389</v>
      </c>
      <c r="E92" s="8" t="s">
        <v>5912</v>
      </c>
      <c r="F92" s="8" t="s">
        <v>5913</v>
      </c>
      <c r="G92" s="8" t="s">
        <v>8287</v>
      </c>
      <c r="H92" s="8" t="s">
        <v>62</v>
      </c>
      <c r="I92" s="8"/>
    </row>
    <row r="93" customFormat="false" ht="15" hidden="false" customHeight="false" outlineLevel="0" collapsed="false">
      <c r="A93" s="4" t="s">
        <v>8521</v>
      </c>
      <c r="B93" s="4" t="n">
        <v>92</v>
      </c>
      <c r="C93" s="4" t="n">
        <v>124</v>
      </c>
      <c r="D93" s="8" t="s">
        <v>8396</v>
      </c>
      <c r="E93" s="8" t="s">
        <v>8522</v>
      </c>
      <c r="F93" s="8" t="s">
        <v>8523</v>
      </c>
      <c r="G93" s="8" t="s">
        <v>8287</v>
      </c>
      <c r="H93" s="8" t="s">
        <v>62</v>
      </c>
      <c r="I93" s="8"/>
    </row>
    <row r="94" customFormat="false" ht="15" hidden="false" customHeight="false" outlineLevel="0" collapsed="false">
      <c r="A94" s="4" t="s">
        <v>8524</v>
      </c>
      <c r="B94" s="4" t="n">
        <v>93</v>
      </c>
      <c r="C94" s="4" t="n">
        <v>125</v>
      </c>
      <c r="D94" s="8" t="s">
        <v>8336</v>
      </c>
      <c r="E94" s="8" t="s">
        <v>8525</v>
      </c>
      <c r="F94" s="8" t="s">
        <v>8526</v>
      </c>
      <c r="G94" s="8" t="s">
        <v>8287</v>
      </c>
      <c r="H94" s="8" t="s">
        <v>62</v>
      </c>
      <c r="I94" s="8"/>
    </row>
    <row r="95" customFormat="false" ht="15" hidden="false" customHeight="false" outlineLevel="0" collapsed="false">
      <c r="A95" s="4" t="s">
        <v>8527</v>
      </c>
      <c r="B95" s="4" t="n">
        <v>94</v>
      </c>
      <c r="C95" s="4" t="n">
        <v>126</v>
      </c>
      <c r="D95" s="8" t="s">
        <v>8323</v>
      </c>
      <c r="E95" s="8" t="s">
        <v>8528</v>
      </c>
      <c r="F95" s="8" t="s">
        <v>8529</v>
      </c>
      <c r="G95" s="8" t="s">
        <v>8287</v>
      </c>
      <c r="H95" s="8" t="s">
        <v>62</v>
      </c>
      <c r="I95" s="8"/>
    </row>
    <row r="96" customFormat="false" ht="15" hidden="false" customHeight="false" outlineLevel="0" collapsed="false">
      <c r="A96" s="4" t="s">
        <v>8530</v>
      </c>
      <c r="B96" s="4" t="n">
        <v>95</v>
      </c>
      <c r="C96" s="4" t="n">
        <v>127</v>
      </c>
      <c r="D96" s="8" t="s">
        <v>8305</v>
      </c>
      <c r="E96" s="8" t="s">
        <v>7106</v>
      </c>
      <c r="F96" s="8" t="s">
        <v>8531</v>
      </c>
      <c r="G96" s="8" t="s">
        <v>8287</v>
      </c>
      <c r="H96" s="8" t="s">
        <v>62</v>
      </c>
      <c r="I96" s="8"/>
    </row>
    <row r="97" customFormat="false" ht="15" hidden="false" customHeight="false" outlineLevel="0" collapsed="false">
      <c r="A97" s="4" t="s">
        <v>8532</v>
      </c>
      <c r="B97" s="4" t="n">
        <v>96</v>
      </c>
      <c r="C97" s="4" t="n">
        <v>130</v>
      </c>
      <c r="D97" s="8" t="s">
        <v>8310</v>
      </c>
      <c r="E97" s="8" t="s">
        <v>8533</v>
      </c>
      <c r="F97" s="8" t="s">
        <v>8534</v>
      </c>
      <c r="G97" s="8" t="s">
        <v>8287</v>
      </c>
      <c r="H97" s="8" t="s">
        <v>62</v>
      </c>
      <c r="I97" s="8"/>
    </row>
    <row r="98" customFormat="false" ht="15" hidden="false" customHeight="false" outlineLevel="0" collapsed="false">
      <c r="A98" s="4" t="s">
        <v>8535</v>
      </c>
      <c r="B98" s="4" t="n">
        <v>97</v>
      </c>
      <c r="C98" s="4" t="n">
        <v>132</v>
      </c>
      <c r="D98" s="8" t="s">
        <v>8336</v>
      </c>
      <c r="E98" s="8" t="s">
        <v>8536</v>
      </c>
      <c r="F98" s="8" t="s">
        <v>8537</v>
      </c>
      <c r="G98" s="8" t="s">
        <v>8287</v>
      </c>
      <c r="H98" s="8" t="s">
        <v>62</v>
      </c>
      <c r="I98" s="8"/>
    </row>
    <row r="99" customFormat="false" ht="15" hidden="false" customHeight="false" outlineLevel="0" collapsed="false">
      <c r="A99" s="4" t="s">
        <v>8538</v>
      </c>
      <c r="B99" s="4" t="n">
        <v>98</v>
      </c>
      <c r="C99" s="4" t="n">
        <v>133</v>
      </c>
      <c r="D99" s="8" t="s">
        <v>8504</v>
      </c>
      <c r="E99" s="8" t="s">
        <v>8539</v>
      </c>
      <c r="F99" s="8" t="s">
        <v>8540</v>
      </c>
      <c r="G99" s="8" t="s">
        <v>8287</v>
      </c>
      <c r="H99" s="8" t="s">
        <v>62</v>
      </c>
      <c r="I99" s="8"/>
    </row>
    <row r="100" customFormat="false" ht="15" hidden="false" customHeight="false" outlineLevel="0" collapsed="false">
      <c r="A100" s="4" t="s">
        <v>8541</v>
      </c>
      <c r="B100" s="4" t="n">
        <v>99</v>
      </c>
      <c r="C100" s="4" t="n">
        <v>134</v>
      </c>
      <c r="D100" s="8" t="s">
        <v>8389</v>
      </c>
      <c r="E100" s="8" t="s">
        <v>203</v>
      </c>
      <c r="F100" s="8" t="s">
        <v>204</v>
      </c>
      <c r="G100" s="8" t="s">
        <v>8287</v>
      </c>
      <c r="H100" s="8" t="s">
        <v>62</v>
      </c>
      <c r="I100" s="8"/>
    </row>
    <row r="101" customFormat="false" ht="15" hidden="false" customHeight="false" outlineLevel="0" collapsed="false">
      <c r="A101" s="4" t="s">
        <v>8542</v>
      </c>
      <c r="B101" s="4" t="n">
        <v>100</v>
      </c>
      <c r="C101" s="4" t="n">
        <v>135</v>
      </c>
      <c r="D101" s="8" t="s">
        <v>8291</v>
      </c>
      <c r="E101" s="8" t="s">
        <v>1550</v>
      </c>
      <c r="F101" s="8" t="s">
        <v>7043</v>
      </c>
      <c r="G101" s="8" t="s">
        <v>8287</v>
      </c>
      <c r="H101" s="8" t="s">
        <v>62</v>
      </c>
      <c r="I101" s="8"/>
    </row>
    <row r="102" customFormat="false" ht="15" hidden="false" customHeight="false" outlineLevel="0" collapsed="false">
      <c r="A102" s="4" t="s">
        <v>8543</v>
      </c>
      <c r="B102" s="4" t="n">
        <v>101</v>
      </c>
      <c r="C102" s="4" t="n">
        <v>136</v>
      </c>
      <c r="D102" s="8" t="s">
        <v>8396</v>
      </c>
      <c r="E102" s="8" t="s">
        <v>3400</v>
      </c>
      <c r="F102" s="8" t="s">
        <v>8544</v>
      </c>
      <c r="G102" s="8" t="s">
        <v>8287</v>
      </c>
      <c r="H102" s="8" t="s">
        <v>62</v>
      </c>
      <c r="I102" s="8"/>
    </row>
    <row r="103" customFormat="false" ht="15" hidden="false" customHeight="false" outlineLevel="0" collapsed="false">
      <c r="A103" s="4" t="s">
        <v>8545</v>
      </c>
      <c r="B103" s="4" t="n">
        <v>102</v>
      </c>
      <c r="C103" s="4" t="n">
        <v>137</v>
      </c>
      <c r="D103" s="8" t="s">
        <v>8410</v>
      </c>
      <c r="E103" s="8" t="s">
        <v>8546</v>
      </c>
      <c r="F103" s="8" t="s">
        <v>8547</v>
      </c>
      <c r="G103" s="8" t="s">
        <v>8287</v>
      </c>
      <c r="H103" s="8" t="s">
        <v>62</v>
      </c>
      <c r="I103" s="8"/>
    </row>
    <row r="104" customFormat="false" ht="15" hidden="false" customHeight="false" outlineLevel="0" collapsed="false">
      <c r="A104" s="4" t="s">
        <v>8548</v>
      </c>
      <c r="B104" s="4" t="n">
        <v>103</v>
      </c>
      <c r="C104" s="4" t="n">
        <v>138</v>
      </c>
      <c r="D104" s="8" t="s">
        <v>8323</v>
      </c>
      <c r="E104" s="8" t="s">
        <v>8549</v>
      </c>
      <c r="F104" s="8" t="s">
        <v>8550</v>
      </c>
      <c r="G104" s="8" t="s">
        <v>8287</v>
      </c>
      <c r="H104" s="8" t="s">
        <v>62</v>
      </c>
      <c r="I104" s="8"/>
    </row>
    <row r="105" customFormat="false" ht="15" hidden="false" customHeight="false" outlineLevel="0" collapsed="false">
      <c r="A105" s="4" t="s">
        <v>8551</v>
      </c>
      <c r="B105" s="4" t="n">
        <v>104</v>
      </c>
      <c r="C105" s="4" t="n">
        <v>139</v>
      </c>
      <c r="D105" s="8" t="s">
        <v>8396</v>
      </c>
      <c r="E105" s="8" t="s">
        <v>1245</v>
      </c>
      <c r="F105" s="8" t="s">
        <v>8552</v>
      </c>
      <c r="G105" s="8" t="s">
        <v>8287</v>
      </c>
      <c r="H105" s="8" t="s">
        <v>62</v>
      </c>
      <c r="I105" s="8"/>
    </row>
    <row r="106" customFormat="false" ht="15" hidden="false" customHeight="false" outlineLevel="0" collapsed="false">
      <c r="A106" s="4" t="s">
        <v>8553</v>
      </c>
      <c r="B106" s="4" t="n">
        <v>105</v>
      </c>
      <c r="C106" s="4" t="n">
        <v>140</v>
      </c>
      <c r="D106" s="8" t="s">
        <v>8336</v>
      </c>
      <c r="E106" s="8" t="s">
        <v>8554</v>
      </c>
      <c r="F106" s="8" t="s">
        <v>8555</v>
      </c>
      <c r="G106" s="8" t="s">
        <v>8287</v>
      </c>
      <c r="H106" s="8" t="s">
        <v>62</v>
      </c>
      <c r="I106" s="8"/>
    </row>
    <row r="107" customFormat="false" ht="15" hidden="false" customHeight="false" outlineLevel="0" collapsed="false">
      <c r="A107" s="4" t="s">
        <v>8556</v>
      </c>
      <c r="B107" s="4" t="n">
        <v>106</v>
      </c>
      <c r="C107" s="4" t="n">
        <v>141</v>
      </c>
      <c r="D107" s="8" t="s">
        <v>8410</v>
      </c>
      <c r="E107" s="8" t="s">
        <v>4758</v>
      </c>
      <c r="F107" s="8" t="s">
        <v>8557</v>
      </c>
      <c r="G107" s="8" t="s">
        <v>8287</v>
      </c>
      <c r="H107" s="8" t="s">
        <v>62</v>
      </c>
      <c r="I107" s="8"/>
    </row>
    <row r="108" customFormat="false" ht="15" hidden="false" customHeight="false" outlineLevel="0" collapsed="false">
      <c r="A108" s="4" t="s">
        <v>8558</v>
      </c>
      <c r="B108" s="4" t="n">
        <v>107</v>
      </c>
      <c r="C108" s="4" t="n">
        <v>143</v>
      </c>
      <c r="D108" s="8" t="s">
        <v>8389</v>
      </c>
      <c r="E108" s="8" t="s">
        <v>8559</v>
      </c>
      <c r="F108" s="8" t="s">
        <v>8560</v>
      </c>
      <c r="G108" s="8" t="s">
        <v>8287</v>
      </c>
      <c r="H108" s="8" t="s">
        <v>62</v>
      </c>
      <c r="I108" s="8"/>
    </row>
    <row r="109" customFormat="false" ht="15" hidden="false" customHeight="false" outlineLevel="0" collapsed="false">
      <c r="A109" s="4" t="s">
        <v>8561</v>
      </c>
      <c r="B109" s="4" t="n">
        <v>108</v>
      </c>
      <c r="C109" s="4" t="n">
        <v>145</v>
      </c>
      <c r="D109" s="8" t="s">
        <v>8378</v>
      </c>
      <c r="E109" s="8" t="s">
        <v>8562</v>
      </c>
      <c r="F109" s="8" t="s">
        <v>8563</v>
      </c>
      <c r="G109" s="8" t="s">
        <v>8287</v>
      </c>
      <c r="H109" s="8" t="s">
        <v>62</v>
      </c>
      <c r="I109" s="8"/>
    </row>
    <row r="110" customFormat="false" ht="15" hidden="false" customHeight="false" outlineLevel="0" collapsed="false">
      <c r="A110" s="4" t="s">
        <v>8564</v>
      </c>
      <c r="B110" s="4" t="n">
        <v>109</v>
      </c>
      <c r="C110" s="4" t="n">
        <v>146</v>
      </c>
      <c r="D110" s="8" t="s">
        <v>8378</v>
      </c>
      <c r="E110" s="8" t="s">
        <v>8565</v>
      </c>
      <c r="F110" s="8" t="s">
        <v>8566</v>
      </c>
      <c r="G110" s="8" t="s">
        <v>8287</v>
      </c>
      <c r="H110" s="8" t="s">
        <v>62</v>
      </c>
      <c r="I110" s="8"/>
    </row>
    <row r="111" customFormat="false" ht="15" hidden="false" customHeight="false" outlineLevel="0" collapsed="false">
      <c r="A111" s="4" t="s">
        <v>8567</v>
      </c>
      <c r="B111" s="4" t="n">
        <v>110</v>
      </c>
      <c r="C111" s="4" t="n">
        <v>147</v>
      </c>
      <c r="D111" s="8" t="s">
        <v>8410</v>
      </c>
      <c r="E111" s="8" t="s">
        <v>8568</v>
      </c>
      <c r="F111" s="8" t="s">
        <v>6117</v>
      </c>
      <c r="G111" s="8" t="s">
        <v>8287</v>
      </c>
      <c r="H111" s="8" t="s">
        <v>62</v>
      </c>
      <c r="I111" s="8"/>
    </row>
    <row r="112" customFormat="false" ht="15" hidden="false" customHeight="false" outlineLevel="0" collapsed="false">
      <c r="A112" s="4" t="s">
        <v>8569</v>
      </c>
      <c r="B112" s="4" t="n">
        <v>111</v>
      </c>
      <c r="C112" s="4" t="n">
        <v>148</v>
      </c>
      <c r="D112" s="8" t="s">
        <v>8474</v>
      </c>
      <c r="E112" s="8" t="s">
        <v>8570</v>
      </c>
      <c r="F112" s="8" t="s">
        <v>8571</v>
      </c>
      <c r="G112" s="8" t="s">
        <v>8474</v>
      </c>
      <c r="H112" s="8" t="s">
        <v>62</v>
      </c>
      <c r="I112" s="8"/>
    </row>
    <row r="113" customFormat="false" ht="15" hidden="false" customHeight="false" outlineLevel="0" collapsed="false">
      <c r="A113" s="4" t="s">
        <v>8572</v>
      </c>
      <c r="B113" s="4" t="n">
        <v>112</v>
      </c>
      <c r="C113" s="4" t="n">
        <v>149</v>
      </c>
      <c r="D113" s="8" t="s">
        <v>8410</v>
      </c>
      <c r="E113" s="8" t="s">
        <v>8573</v>
      </c>
      <c r="F113" s="8" t="s">
        <v>8574</v>
      </c>
      <c r="G113" s="8" t="s">
        <v>8287</v>
      </c>
      <c r="H113" s="8" t="s">
        <v>62</v>
      </c>
      <c r="I113" s="8"/>
    </row>
    <row r="114" customFormat="false" ht="15" hidden="false" customHeight="false" outlineLevel="0" collapsed="false">
      <c r="A114" s="4" t="s">
        <v>8575</v>
      </c>
      <c r="B114" s="4" t="n">
        <v>113</v>
      </c>
      <c r="C114" s="4" t="n">
        <v>151</v>
      </c>
      <c r="D114" s="8" t="s">
        <v>8389</v>
      </c>
      <c r="E114" s="8" t="s">
        <v>8576</v>
      </c>
      <c r="F114" s="8" t="s">
        <v>8577</v>
      </c>
      <c r="G114" s="8" t="s">
        <v>8287</v>
      </c>
      <c r="H114" s="8" t="s">
        <v>62</v>
      </c>
      <c r="I114" s="8"/>
    </row>
    <row r="115" customFormat="false" ht="15" hidden="false" customHeight="false" outlineLevel="0" collapsed="false">
      <c r="A115" s="4" t="s">
        <v>8578</v>
      </c>
      <c r="B115" s="4" t="n">
        <v>114</v>
      </c>
      <c r="C115" s="4" t="n">
        <v>159</v>
      </c>
      <c r="D115" s="8" t="s">
        <v>8378</v>
      </c>
      <c r="E115" s="8" t="s">
        <v>8579</v>
      </c>
      <c r="F115" s="8" t="s">
        <v>8580</v>
      </c>
      <c r="G115" s="8" t="s">
        <v>8287</v>
      </c>
      <c r="H115" s="8" t="s">
        <v>62</v>
      </c>
      <c r="I115" s="8"/>
    </row>
    <row r="116" customFormat="false" ht="15" hidden="false" customHeight="false" outlineLevel="0" collapsed="false">
      <c r="A116" s="4" t="s">
        <v>8581</v>
      </c>
      <c r="B116" s="4" t="n">
        <v>115</v>
      </c>
      <c r="C116" s="4" t="n">
        <v>160</v>
      </c>
      <c r="D116" s="8" t="s">
        <v>8284</v>
      </c>
      <c r="E116" s="8" t="s">
        <v>6467</v>
      </c>
      <c r="F116" s="8" t="s">
        <v>8582</v>
      </c>
      <c r="G116" s="8" t="s">
        <v>8287</v>
      </c>
      <c r="H116" s="8" t="s">
        <v>62</v>
      </c>
      <c r="I116" s="8"/>
    </row>
    <row r="117" customFormat="false" ht="15" hidden="false" customHeight="false" outlineLevel="0" collapsed="false">
      <c r="A117" s="4" t="s">
        <v>8583</v>
      </c>
      <c r="B117" s="4" t="n">
        <v>116</v>
      </c>
      <c r="C117" s="4" t="n">
        <v>161</v>
      </c>
      <c r="D117" s="8" t="s">
        <v>8323</v>
      </c>
      <c r="E117" s="8" t="s">
        <v>2572</v>
      </c>
      <c r="F117" s="8" t="s">
        <v>8584</v>
      </c>
      <c r="G117" s="8" t="s">
        <v>8287</v>
      </c>
      <c r="H117" s="8" t="s">
        <v>62</v>
      </c>
      <c r="I117" s="8"/>
    </row>
    <row r="118" customFormat="false" ht="15" hidden="false" customHeight="false" outlineLevel="0" collapsed="false">
      <c r="A118" s="4" t="s">
        <v>8585</v>
      </c>
      <c r="B118" s="4" t="n">
        <v>117</v>
      </c>
      <c r="C118" s="4" t="n">
        <v>163</v>
      </c>
      <c r="D118" s="8" t="s">
        <v>8396</v>
      </c>
      <c r="E118" s="8" t="s">
        <v>1274</v>
      </c>
      <c r="F118" s="8" t="s">
        <v>1275</v>
      </c>
      <c r="G118" s="8" t="s">
        <v>8287</v>
      </c>
      <c r="H118" s="8" t="s">
        <v>62</v>
      </c>
      <c r="I118" s="8"/>
    </row>
    <row r="119" customFormat="false" ht="15" hidden="false" customHeight="false" outlineLevel="0" collapsed="false">
      <c r="A119" s="4" t="s">
        <v>8586</v>
      </c>
      <c r="B119" s="4" t="n">
        <v>118</v>
      </c>
      <c r="C119" s="4" t="n">
        <v>164</v>
      </c>
      <c r="D119" s="8" t="s">
        <v>8410</v>
      </c>
      <c r="E119" s="8" t="s">
        <v>8587</v>
      </c>
      <c r="F119" s="8" t="s">
        <v>8588</v>
      </c>
      <c r="G119" s="8" t="s">
        <v>8287</v>
      </c>
      <c r="H119" s="8" t="s">
        <v>62</v>
      </c>
      <c r="I119" s="8"/>
    </row>
    <row r="120" customFormat="false" ht="15" hidden="false" customHeight="false" outlineLevel="0" collapsed="false">
      <c r="A120" s="4" t="s">
        <v>8589</v>
      </c>
      <c r="B120" s="4" t="n">
        <v>119</v>
      </c>
      <c r="C120" s="4" t="n">
        <v>165</v>
      </c>
      <c r="D120" s="8" t="s">
        <v>8323</v>
      </c>
      <c r="E120" s="8" t="s">
        <v>8590</v>
      </c>
      <c r="F120" s="8" t="s">
        <v>8591</v>
      </c>
      <c r="G120" s="8" t="s">
        <v>8287</v>
      </c>
      <c r="H120" s="8" t="s">
        <v>62</v>
      </c>
      <c r="I120" s="8"/>
    </row>
    <row r="121" customFormat="false" ht="15" hidden="false" customHeight="false" outlineLevel="0" collapsed="false">
      <c r="A121" s="4" t="s">
        <v>8592</v>
      </c>
      <c r="B121" s="4" t="n">
        <v>120</v>
      </c>
      <c r="C121" s="4" t="n">
        <v>167</v>
      </c>
      <c r="D121" s="8" t="s">
        <v>8323</v>
      </c>
      <c r="E121" s="8" t="s">
        <v>2305</v>
      </c>
      <c r="F121" s="8" t="s">
        <v>8593</v>
      </c>
      <c r="G121" s="8" t="s">
        <v>8287</v>
      </c>
      <c r="H121" s="8" t="s">
        <v>62</v>
      </c>
      <c r="I121" s="8"/>
    </row>
    <row r="122" customFormat="false" ht="15" hidden="false" customHeight="false" outlineLevel="0" collapsed="false">
      <c r="A122" s="4" t="s">
        <v>8594</v>
      </c>
      <c r="B122" s="4" t="n">
        <v>121</v>
      </c>
      <c r="C122" s="4" t="n">
        <v>169</v>
      </c>
      <c r="D122" s="8" t="s">
        <v>8396</v>
      </c>
      <c r="E122" s="8" t="s">
        <v>8595</v>
      </c>
      <c r="F122" s="8" t="s">
        <v>8596</v>
      </c>
      <c r="G122" s="8" t="s">
        <v>8287</v>
      </c>
      <c r="H122" s="8" t="s">
        <v>62</v>
      </c>
      <c r="I122" s="8"/>
    </row>
    <row r="123" customFormat="false" ht="15" hidden="false" customHeight="false" outlineLevel="0" collapsed="false">
      <c r="A123" s="4" t="s">
        <v>8597</v>
      </c>
      <c r="B123" s="4" t="n">
        <v>122</v>
      </c>
      <c r="C123" s="4" t="n">
        <v>171</v>
      </c>
      <c r="D123" s="8" t="s">
        <v>8435</v>
      </c>
      <c r="E123" s="8" t="s">
        <v>8598</v>
      </c>
      <c r="F123" s="8" t="s">
        <v>8599</v>
      </c>
      <c r="G123" s="8" t="s">
        <v>8287</v>
      </c>
      <c r="H123" s="8" t="s">
        <v>62</v>
      </c>
      <c r="I123" s="8"/>
    </row>
    <row r="124" customFormat="false" ht="15" hidden="false" customHeight="false" outlineLevel="0" collapsed="false">
      <c r="A124" s="4" t="s">
        <v>8600</v>
      </c>
      <c r="B124" s="4" t="n">
        <v>123</v>
      </c>
      <c r="C124" s="4" t="n">
        <v>172</v>
      </c>
      <c r="D124" s="8" t="s">
        <v>8378</v>
      </c>
      <c r="E124" s="8" t="s">
        <v>3911</v>
      </c>
      <c r="F124" s="8" t="s">
        <v>8601</v>
      </c>
      <c r="G124" s="8" t="s">
        <v>8287</v>
      </c>
      <c r="H124" s="8" t="s">
        <v>62</v>
      </c>
      <c r="I124" s="8"/>
    </row>
    <row r="125" customFormat="false" ht="15" hidden="false" customHeight="false" outlineLevel="0" collapsed="false">
      <c r="A125" s="4" t="s">
        <v>8602</v>
      </c>
      <c r="B125" s="4" t="n">
        <v>124</v>
      </c>
      <c r="C125" s="4" t="n">
        <v>174</v>
      </c>
      <c r="D125" s="8" t="s">
        <v>8323</v>
      </c>
      <c r="E125" s="8" t="s">
        <v>8603</v>
      </c>
      <c r="F125" s="8" t="s">
        <v>8604</v>
      </c>
      <c r="G125" s="8" t="s">
        <v>8287</v>
      </c>
      <c r="H125" s="8" t="s">
        <v>62</v>
      </c>
      <c r="I125" s="8"/>
    </row>
    <row r="126" customFormat="false" ht="15" hidden="false" customHeight="false" outlineLevel="0" collapsed="false">
      <c r="A126" s="4" t="s">
        <v>8605</v>
      </c>
      <c r="B126" s="4" t="n">
        <v>125</v>
      </c>
      <c r="C126" s="4" t="n">
        <v>175</v>
      </c>
      <c r="D126" s="8" t="s">
        <v>8389</v>
      </c>
      <c r="E126" s="8" t="s">
        <v>8606</v>
      </c>
      <c r="F126" s="8" t="s">
        <v>8607</v>
      </c>
      <c r="G126" s="8" t="s">
        <v>8287</v>
      </c>
      <c r="H126" s="8" t="s">
        <v>62</v>
      </c>
      <c r="I126" s="8"/>
    </row>
    <row r="127" customFormat="false" ht="15" hidden="false" customHeight="false" outlineLevel="0" collapsed="false">
      <c r="A127" s="4" t="s">
        <v>8608</v>
      </c>
      <c r="B127" s="4" t="n">
        <v>126</v>
      </c>
      <c r="C127" s="4" t="n">
        <v>176</v>
      </c>
      <c r="D127" s="8" t="s">
        <v>8396</v>
      </c>
      <c r="E127" s="8" t="s">
        <v>8609</v>
      </c>
      <c r="F127" s="8" t="s">
        <v>8610</v>
      </c>
      <c r="G127" s="8" t="s">
        <v>8287</v>
      </c>
      <c r="H127" s="8" t="s">
        <v>62</v>
      </c>
      <c r="I127" s="8"/>
    </row>
    <row r="128" customFormat="false" ht="15" hidden="false" customHeight="false" outlineLevel="0" collapsed="false">
      <c r="A128" s="4" t="s">
        <v>8611</v>
      </c>
      <c r="B128" s="4" t="n">
        <v>127</v>
      </c>
      <c r="C128" s="4" t="n">
        <v>179</v>
      </c>
      <c r="D128" s="8" t="s">
        <v>8389</v>
      </c>
      <c r="E128" s="8" t="s">
        <v>8612</v>
      </c>
      <c r="F128" s="8" t="s">
        <v>8613</v>
      </c>
      <c r="G128" s="8" t="s">
        <v>8287</v>
      </c>
      <c r="H128" s="8" t="s">
        <v>62</v>
      </c>
      <c r="I128" s="8"/>
    </row>
    <row r="129" customFormat="false" ht="15" hidden="false" customHeight="false" outlineLevel="0" collapsed="false">
      <c r="A129" s="4" t="s">
        <v>8614</v>
      </c>
      <c r="B129" s="4" t="n">
        <v>128</v>
      </c>
      <c r="C129" s="4" t="n">
        <v>180</v>
      </c>
      <c r="D129" s="8" t="s">
        <v>8323</v>
      </c>
      <c r="E129" s="8" t="s">
        <v>8615</v>
      </c>
      <c r="F129" s="8" t="s">
        <v>8616</v>
      </c>
      <c r="G129" s="8" t="s">
        <v>8287</v>
      </c>
      <c r="H129" s="8" t="s">
        <v>62</v>
      </c>
      <c r="I129" s="8"/>
    </row>
    <row r="130" customFormat="false" ht="15" hidden="false" customHeight="false" outlineLevel="0" collapsed="false">
      <c r="A130" s="4" t="s">
        <v>8617</v>
      </c>
      <c r="B130" s="4" t="n">
        <v>129</v>
      </c>
      <c r="C130" s="4" t="n">
        <v>182</v>
      </c>
      <c r="D130" s="8" t="s">
        <v>8289</v>
      </c>
      <c r="E130" s="8" t="s">
        <v>6487</v>
      </c>
      <c r="F130" s="8" t="s">
        <v>6488</v>
      </c>
      <c r="G130" s="8" t="s">
        <v>8287</v>
      </c>
      <c r="H130" s="8" t="s">
        <v>62</v>
      </c>
      <c r="I130" s="8"/>
    </row>
    <row r="131" customFormat="false" ht="15" hidden="false" customHeight="false" outlineLevel="0" collapsed="false">
      <c r="A131" s="4" t="s">
        <v>8618</v>
      </c>
      <c r="B131" s="4" t="n">
        <v>130</v>
      </c>
      <c r="C131" s="4" t="n">
        <v>184</v>
      </c>
      <c r="D131" s="8" t="s">
        <v>8291</v>
      </c>
      <c r="E131" s="8" t="s">
        <v>7010</v>
      </c>
      <c r="F131" s="8" t="s">
        <v>8303</v>
      </c>
      <c r="G131" s="8" t="s">
        <v>8287</v>
      </c>
      <c r="H131" s="8" t="s">
        <v>62</v>
      </c>
      <c r="I131" s="8"/>
    </row>
    <row r="132" customFormat="false" ht="15" hidden="false" customHeight="false" outlineLevel="0" collapsed="false">
      <c r="A132" s="4" t="s">
        <v>8619</v>
      </c>
      <c r="B132" s="4" t="n">
        <v>131</v>
      </c>
      <c r="C132" s="4" t="n">
        <v>185</v>
      </c>
      <c r="D132" s="8" t="s">
        <v>8415</v>
      </c>
      <c r="E132" s="8" t="s">
        <v>8620</v>
      </c>
      <c r="F132" s="8" t="s">
        <v>8621</v>
      </c>
      <c r="G132" s="8" t="s">
        <v>8287</v>
      </c>
      <c r="H132" s="8" t="s">
        <v>62</v>
      </c>
      <c r="I132" s="8"/>
    </row>
    <row r="133" customFormat="false" ht="15" hidden="false" customHeight="false" outlineLevel="0" collapsed="false">
      <c r="A133" s="4" t="s">
        <v>8622</v>
      </c>
      <c r="B133" s="4" t="n">
        <v>132</v>
      </c>
      <c r="C133" s="4" t="n">
        <v>186</v>
      </c>
      <c r="D133" s="8" t="s">
        <v>8410</v>
      </c>
      <c r="E133" s="8" t="s">
        <v>8623</v>
      </c>
      <c r="F133" s="8" t="s">
        <v>8624</v>
      </c>
      <c r="G133" s="8" t="s">
        <v>8287</v>
      </c>
      <c r="H133" s="8" t="s">
        <v>62</v>
      </c>
      <c r="I133" s="8"/>
    </row>
    <row r="134" customFormat="false" ht="15" hidden="false" customHeight="false" outlineLevel="0" collapsed="false">
      <c r="A134" s="4" t="s">
        <v>8625</v>
      </c>
      <c r="B134" s="4" t="n">
        <v>133</v>
      </c>
      <c r="C134" s="4" t="n">
        <v>187</v>
      </c>
      <c r="D134" s="8" t="s">
        <v>8291</v>
      </c>
      <c r="E134" s="8" t="s">
        <v>8626</v>
      </c>
      <c r="F134" s="8" t="s">
        <v>8627</v>
      </c>
      <c r="G134" s="8" t="s">
        <v>8287</v>
      </c>
      <c r="H134" s="8" t="s">
        <v>62</v>
      </c>
      <c r="I134" s="8"/>
    </row>
    <row r="135" customFormat="false" ht="15" hidden="false" customHeight="false" outlineLevel="0" collapsed="false">
      <c r="A135" s="4" t="s">
        <v>8628</v>
      </c>
      <c r="B135" s="4" t="n">
        <v>134</v>
      </c>
      <c r="C135" s="4" t="n">
        <v>190</v>
      </c>
      <c r="D135" s="8" t="s">
        <v>8336</v>
      </c>
      <c r="E135" s="8" t="s">
        <v>8629</v>
      </c>
      <c r="F135" s="8" t="s">
        <v>8630</v>
      </c>
      <c r="G135" s="8" t="s">
        <v>8287</v>
      </c>
      <c r="H135" s="8" t="s">
        <v>62</v>
      </c>
      <c r="I135" s="8"/>
    </row>
    <row r="136" customFormat="false" ht="15" hidden="false" customHeight="false" outlineLevel="0" collapsed="false">
      <c r="A136" s="4" t="s">
        <v>8631</v>
      </c>
      <c r="B136" s="4" t="n">
        <v>135</v>
      </c>
      <c r="C136" s="4" t="n">
        <v>191</v>
      </c>
      <c r="D136" s="8" t="s">
        <v>8396</v>
      </c>
      <c r="E136" s="8" t="s">
        <v>8632</v>
      </c>
      <c r="F136" s="8" t="s">
        <v>6948</v>
      </c>
      <c r="G136" s="8" t="s">
        <v>8287</v>
      </c>
      <c r="H136" s="8" t="s">
        <v>62</v>
      </c>
      <c r="I136" s="8"/>
    </row>
    <row r="137" customFormat="false" ht="15" hidden="false" customHeight="false" outlineLevel="0" collapsed="false">
      <c r="A137" s="4" t="s">
        <v>8633</v>
      </c>
      <c r="B137" s="4" t="n">
        <v>136</v>
      </c>
      <c r="C137" s="4" t="n">
        <v>192</v>
      </c>
      <c r="D137" s="8" t="s">
        <v>8415</v>
      </c>
      <c r="E137" s="8" t="s">
        <v>8634</v>
      </c>
      <c r="F137" s="8" t="s">
        <v>8635</v>
      </c>
      <c r="G137" s="8" t="s">
        <v>8287</v>
      </c>
      <c r="H137" s="8" t="s">
        <v>62</v>
      </c>
      <c r="I137" s="8"/>
    </row>
    <row r="138" customFormat="false" ht="15" hidden="false" customHeight="false" outlineLevel="0" collapsed="false">
      <c r="A138" s="4" t="s">
        <v>8636</v>
      </c>
      <c r="B138" s="4" t="n">
        <v>137</v>
      </c>
      <c r="C138" s="4" t="n">
        <v>193</v>
      </c>
      <c r="D138" s="8" t="s">
        <v>8415</v>
      </c>
      <c r="E138" s="8" t="s">
        <v>8637</v>
      </c>
      <c r="F138" s="8" t="s">
        <v>8638</v>
      </c>
      <c r="G138" s="8" t="s">
        <v>8287</v>
      </c>
      <c r="H138" s="8" t="s">
        <v>62</v>
      </c>
      <c r="I138" s="8"/>
    </row>
    <row r="139" customFormat="false" ht="15" hidden="false" customHeight="false" outlineLevel="0" collapsed="false">
      <c r="A139" s="4" t="s">
        <v>8639</v>
      </c>
      <c r="B139" s="4" t="n">
        <v>138</v>
      </c>
      <c r="C139" s="4" t="n">
        <v>194</v>
      </c>
      <c r="D139" s="8" t="s">
        <v>8323</v>
      </c>
      <c r="E139" s="8" t="s">
        <v>8640</v>
      </c>
      <c r="F139" s="8" t="s">
        <v>8641</v>
      </c>
      <c r="G139" s="8" t="s">
        <v>8287</v>
      </c>
      <c r="H139" s="8" t="s">
        <v>62</v>
      </c>
      <c r="I139" s="8"/>
    </row>
    <row r="140" customFormat="false" ht="15" hidden="false" customHeight="false" outlineLevel="0" collapsed="false">
      <c r="A140" s="4" t="s">
        <v>8642</v>
      </c>
      <c r="B140" s="4" t="n">
        <v>139</v>
      </c>
      <c r="C140" s="4" t="n">
        <v>196</v>
      </c>
      <c r="D140" s="8" t="s">
        <v>8336</v>
      </c>
      <c r="E140" s="8" t="s">
        <v>8643</v>
      </c>
      <c r="F140" s="8" t="s">
        <v>8644</v>
      </c>
      <c r="G140" s="8" t="s">
        <v>8287</v>
      </c>
      <c r="H140" s="8" t="s">
        <v>62</v>
      </c>
      <c r="I140" s="8"/>
    </row>
    <row r="141" customFormat="false" ht="15" hidden="false" customHeight="false" outlineLevel="0" collapsed="false">
      <c r="A141" s="4" t="s">
        <v>8645</v>
      </c>
      <c r="B141" s="4" t="n">
        <v>140</v>
      </c>
      <c r="C141" s="4" t="n">
        <v>198</v>
      </c>
      <c r="D141" s="8" t="s">
        <v>8396</v>
      </c>
      <c r="E141" s="8" t="s">
        <v>8646</v>
      </c>
      <c r="F141" s="8" t="s">
        <v>8647</v>
      </c>
      <c r="G141" s="8" t="s">
        <v>8287</v>
      </c>
      <c r="H141" s="8" t="s">
        <v>62</v>
      </c>
      <c r="I141" s="8"/>
    </row>
    <row r="142" customFormat="false" ht="15" hidden="false" customHeight="false" outlineLevel="0" collapsed="false">
      <c r="A142" s="4" t="s">
        <v>8648</v>
      </c>
      <c r="B142" s="4" t="n">
        <v>141</v>
      </c>
      <c r="C142" s="4" t="n">
        <v>199</v>
      </c>
      <c r="D142" s="8" t="s">
        <v>8396</v>
      </c>
      <c r="E142" s="8" t="s">
        <v>8649</v>
      </c>
      <c r="F142" s="8" t="s">
        <v>8650</v>
      </c>
      <c r="G142" s="8" t="s">
        <v>8287</v>
      </c>
      <c r="H142" s="8" t="s">
        <v>62</v>
      </c>
      <c r="I142" s="8"/>
    </row>
    <row r="143" customFormat="false" ht="15" hidden="false" customHeight="false" outlineLevel="0" collapsed="false">
      <c r="A143" s="4" t="s">
        <v>8651</v>
      </c>
      <c r="B143" s="4" t="n">
        <v>142</v>
      </c>
      <c r="C143" s="4" t="n">
        <v>200</v>
      </c>
      <c r="D143" s="8" t="s">
        <v>8410</v>
      </c>
      <c r="E143" s="8" t="s">
        <v>356</v>
      </c>
      <c r="F143" s="8" t="s">
        <v>357</v>
      </c>
      <c r="G143" s="8" t="s">
        <v>8287</v>
      </c>
      <c r="H143" s="8" t="s">
        <v>62</v>
      </c>
      <c r="I143" s="8"/>
    </row>
    <row r="144" customFormat="false" ht="15" hidden="false" customHeight="false" outlineLevel="0" collapsed="false">
      <c r="A144" s="4" t="s">
        <v>8652</v>
      </c>
      <c r="B144" s="4" t="n">
        <v>143</v>
      </c>
      <c r="C144" s="4" t="n">
        <v>201</v>
      </c>
      <c r="D144" s="8" t="s">
        <v>8336</v>
      </c>
      <c r="E144" s="8" t="s">
        <v>8653</v>
      </c>
      <c r="F144" s="8" t="s">
        <v>8654</v>
      </c>
      <c r="G144" s="8" t="s">
        <v>8287</v>
      </c>
      <c r="H144" s="8" t="s">
        <v>62</v>
      </c>
      <c r="I144" s="8"/>
    </row>
    <row r="145" customFormat="false" ht="15" hidden="false" customHeight="false" outlineLevel="0" collapsed="false">
      <c r="A145" s="4" t="s">
        <v>8655</v>
      </c>
      <c r="B145" s="4" t="n">
        <v>144</v>
      </c>
      <c r="C145" s="4" t="n">
        <v>202</v>
      </c>
      <c r="D145" s="8" t="s">
        <v>8410</v>
      </c>
      <c r="E145" s="8" t="s">
        <v>8656</v>
      </c>
      <c r="F145" s="8" t="s">
        <v>8657</v>
      </c>
      <c r="G145" s="8" t="s">
        <v>8287</v>
      </c>
      <c r="H145" s="8" t="s">
        <v>62</v>
      </c>
      <c r="I145" s="8"/>
    </row>
    <row r="146" customFormat="false" ht="15" hidden="false" customHeight="false" outlineLevel="0" collapsed="false">
      <c r="A146" s="4" t="s">
        <v>8658</v>
      </c>
      <c r="B146" s="4" t="n">
        <v>145</v>
      </c>
      <c r="C146" s="4" t="n">
        <v>203</v>
      </c>
      <c r="D146" s="8" t="s">
        <v>8410</v>
      </c>
      <c r="E146" s="8" t="s">
        <v>8659</v>
      </c>
      <c r="F146" s="8" t="s">
        <v>8660</v>
      </c>
      <c r="G146" s="8" t="s">
        <v>8287</v>
      </c>
      <c r="H146" s="8" t="s">
        <v>62</v>
      </c>
      <c r="I146" s="8"/>
    </row>
    <row r="147" customFormat="false" ht="15" hidden="false" customHeight="false" outlineLevel="0" collapsed="false">
      <c r="A147" s="4" t="s">
        <v>8661</v>
      </c>
      <c r="B147" s="4" t="n">
        <v>146</v>
      </c>
      <c r="C147" s="4" t="n">
        <v>206</v>
      </c>
      <c r="D147" s="8" t="s">
        <v>8396</v>
      </c>
      <c r="E147" s="8" t="s">
        <v>8662</v>
      </c>
      <c r="F147" s="8" t="s">
        <v>8663</v>
      </c>
      <c r="G147" s="8" t="s">
        <v>8287</v>
      </c>
      <c r="H147" s="8" t="s">
        <v>62</v>
      </c>
      <c r="I147" s="8"/>
    </row>
    <row r="148" customFormat="false" ht="15" hidden="false" customHeight="false" outlineLevel="0" collapsed="false">
      <c r="A148" s="4" t="s">
        <v>8664</v>
      </c>
      <c r="B148" s="4" t="n">
        <v>147</v>
      </c>
      <c r="C148" s="4" t="n">
        <v>207</v>
      </c>
      <c r="D148" s="8" t="s">
        <v>8323</v>
      </c>
      <c r="E148" s="8" t="s">
        <v>8665</v>
      </c>
      <c r="F148" s="8" t="s">
        <v>8666</v>
      </c>
      <c r="G148" s="8" t="s">
        <v>8287</v>
      </c>
      <c r="H148" s="8" t="s">
        <v>62</v>
      </c>
      <c r="I148" s="8"/>
    </row>
    <row r="149" customFormat="false" ht="15" hidden="false" customHeight="false" outlineLevel="0" collapsed="false">
      <c r="A149" s="4" t="s">
        <v>8667</v>
      </c>
      <c r="B149" s="4" t="n">
        <v>148</v>
      </c>
      <c r="C149" s="4" t="n">
        <v>209</v>
      </c>
      <c r="D149" s="8" t="s">
        <v>8389</v>
      </c>
      <c r="E149" s="8" t="s">
        <v>8668</v>
      </c>
      <c r="F149" s="8" t="s">
        <v>8669</v>
      </c>
      <c r="G149" s="8" t="s">
        <v>8287</v>
      </c>
      <c r="H149" s="8" t="s">
        <v>62</v>
      </c>
      <c r="I149" s="8"/>
    </row>
    <row r="150" customFormat="false" ht="15" hidden="false" customHeight="false" outlineLevel="0" collapsed="false">
      <c r="A150" s="4" t="s">
        <v>8670</v>
      </c>
      <c r="B150" s="4" t="n">
        <v>149</v>
      </c>
      <c r="C150" s="4" t="n">
        <v>210</v>
      </c>
      <c r="D150" s="8" t="s">
        <v>8319</v>
      </c>
      <c r="E150" s="8" t="s">
        <v>8285</v>
      </c>
      <c r="F150" s="8" t="s">
        <v>8671</v>
      </c>
      <c r="G150" s="8" t="s">
        <v>8287</v>
      </c>
      <c r="H150" s="8" t="s">
        <v>62</v>
      </c>
      <c r="I150" s="8"/>
    </row>
    <row r="151" customFormat="false" ht="15" hidden="false" customHeight="false" outlineLevel="0" collapsed="false">
      <c r="A151" s="4" t="s">
        <v>8672</v>
      </c>
      <c r="B151" s="4" t="n">
        <v>150</v>
      </c>
      <c r="C151" s="4" t="n">
        <v>213</v>
      </c>
      <c r="D151" s="8" t="s">
        <v>8410</v>
      </c>
      <c r="E151" s="8" t="s">
        <v>8673</v>
      </c>
      <c r="F151" s="8" t="s">
        <v>8674</v>
      </c>
      <c r="G151" s="8" t="s">
        <v>8287</v>
      </c>
      <c r="H151" s="8" t="s">
        <v>62</v>
      </c>
      <c r="I151" s="8"/>
    </row>
    <row r="152" customFormat="false" ht="15" hidden="false" customHeight="false" outlineLevel="0" collapsed="false">
      <c r="A152" s="4" t="s">
        <v>8675</v>
      </c>
      <c r="B152" s="4" t="n">
        <v>151</v>
      </c>
      <c r="C152" s="4" t="n">
        <v>215</v>
      </c>
      <c r="D152" s="8" t="s">
        <v>8291</v>
      </c>
      <c r="E152" s="8" t="s">
        <v>7069</v>
      </c>
      <c r="F152" s="8" t="s">
        <v>7070</v>
      </c>
      <c r="G152" s="8" t="s">
        <v>8287</v>
      </c>
      <c r="H152" s="8" t="s">
        <v>62</v>
      </c>
      <c r="I152" s="8"/>
    </row>
    <row r="153" customFormat="false" ht="15" hidden="false" customHeight="false" outlineLevel="0" collapsed="false">
      <c r="A153" s="4" t="s">
        <v>8676</v>
      </c>
      <c r="B153" s="4" t="n">
        <v>152</v>
      </c>
      <c r="C153" s="4" t="n">
        <v>217</v>
      </c>
      <c r="D153" s="8" t="s">
        <v>8415</v>
      </c>
      <c r="E153" s="8" t="s">
        <v>8677</v>
      </c>
      <c r="F153" s="8" t="s">
        <v>8678</v>
      </c>
      <c r="G153" s="8" t="s">
        <v>8287</v>
      </c>
      <c r="H153" s="8" t="s">
        <v>62</v>
      </c>
      <c r="I153" s="8"/>
    </row>
    <row r="154" customFormat="false" ht="15" hidden="false" customHeight="false" outlineLevel="0" collapsed="false">
      <c r="A154" s="4" t="s">
        <v>8679</v>
      </c>
      <c r="B154" s="4" t="n">
        <v>153</v>
      </c>
      <c r="C154" s="4" t="n">
        <v>222</v>
      </c>
      <c r="D154" s="8" t="s">
        <v>8410</v>
      </c>
      <c r="E154" s="8" t="s">
        <v>8680</v>
      </c>
      <c r="F154" s="8" t="s">
        <v>8681</v>
      </c>
      <c r="G154" s="8" t="s">
        <v>8287</v>
      </c>
      <c r="H154" s="8" t="s">
        <v>62</v>
      </c>
      <c r="I154" s="8"/>
    </row>
    <row r="155" customFormat="false" ht="15" hidden="false" customHeight="false" outlineLevel="0" collapsed="false">
      <c r="A155" s="4" t="s">
        <v>8682</v>
      </c>
      <c r="B155" s="4" t="n">
        <v>154</v>
      </c>
      <c r="C155" s="4" t="n">
        <v>223</v>
      </c>
      <c r="D155" s="8" t="s">
        <v>8378</v>
      </c>
      <c r="E155" s="8" t="s">
        <v>4251</v>
      </c>
      <c r="F155" s="8" t="s">
        <v>8683</v>
      </c>
      <c r="G155" s="8" t="s">
        <v>8287</v>
      </c>
      <c r="H155" s="8" t="s">
        <v>62</v>
      </c>
      <c r="I155" s="8"/>
    </row>
    <row r="156" customFormat="false" ht="15" hidden="false" customHeight="false" outlineLevel="0" collapsed="false">
      <c r="A156" s="4" t="s">
        <v>8684</v>
      </c>
      <c r="B156" s="4" t="n">
        <v>155</v>
      </c>
      <c r="C156" s="4" t="n">
        <v>224</v>
      </c>
      <c r="D156" s="8" t="s">
        <v>8378</v>
      </c>
      <c r="E156" s="8" t="s">
        <v>8685</v>
      </c>
      <c r="F156" s="8" t="s">
        <v>8686</v>
      </c>
      <c r="G156" s="8" t="s">
        <v>8287</v>
      </c>
      <c r="H156" s="8" t="s">
        <v>62</v>
      </c>
      <c r="I156" s="8"/>
    </row>
    <row r="157" customFormat="false" ht="15" hidden="false" customHeight="false" outlineLevel="0" collapsed="false">
      <c r="A157" s="4" t="s">
        <v>8687</v>
      </c>
      <c r="B157" s="4" t="n">
        <v>156</v>
      </c>
      <c r="C157" s="4" t="n">
        <v>229</v>
      </c>
      <c r="D157" s="8" t="s">
        <v>8319</v>
      </c>
      <c r="E157" s="8" t="s">
        <v>698</v>
      </c>
      <c r="F157" s="8" t="s">
        <v>8688</v>
      </c>
      <c r="G157" s="8" t="s">
        <v>8287</v>
      </c>
      <c r="H157" s="8" t="s">
        <v>62</v>
      </c>
      <c r="I157" s="8"/>
    </row>
    <row r="158" customFormat="false" ht="15" hidden="false" customHeight="false" outlineLevel="0" collapsed="false">
      <c r="A158" s="4" t="s">
        <v>8689</v>
      </c>
      <c r="B158" s="4" t="n">
        <v>157</v>
      </c>
      <c r="C158" s="4" t="n">
        <v>230</v>
      </c>
      <c r="D158" s="8" t="s">
        <v>8389</v>
      </c>
      <c r="E158" s="8" t="s">
        <v>8690</v>
      </c>
      <c r="F158" s="8" t="s">
        <v>8691</v>
      </c>
      <c r="G158" s="8" t="s">
        <v>8287</v>
      </c>
      <c r="H158" s="8" t="s">
        <v>62</v>
      </c>
      <c r="I158" s="8"/>
    </row>
    <row r="159" customFormat="false" ht="15" hidden="false" customHeight="false" outlineLevel="0" collapsed="false">
      <c r="A159" s="4" t="s">
        <v>8692</v>
      </c>
      <c r="B159" s="4" t="n">
        <v>158</v>
      </c>
      <c r="C159" s="4" t="n">
        <v>232</v>
      </c>
      <c r="D159" s="8" t="s">
        <v>8336</v>
      </c>
      <c r="E159" s="8" t="s">
        <v>8693</v>
      </c>
      <c r="F159" s="8" t="s">
        <v>8694</v>
      </c>
      <c r="G159" s="8" t="s">
        <v>8287</v>
      </c>
      <c r="H159" s="8" t="s">
        <v>62</v>
      </c>
      <c r="I159" s="8"/>
    </row>
    <row r="160" customFormat="false" ht="15" hidden="false" customHeight="false" outlineLevel="0" collapsed="false">
      <c r="A160" s="4" t="s">
        <v>8695</v>
      </c>
      <c r="B160" s="4" t="n">
        <v>159</v>
      </c>
      <c r="C160" s="4" t="n">
        <v>234</v>
      </c>
      <c r="D160" s="8" t="s">
        <v>8410</v>
      </c>
      <c r="E160" s="8" t="s">
        <v>8696</v>
      </c>
      <c r="F160" s="8" t="s">
        <v>8697</v>
      </c>
      <c r="G160" s="8" t="s">
        <v>8287</v>
      </c>
      <c r="H160" s="8" t="s">
        <v>62</v>
      </c>
      <c r="I160" s="8"/>
    </row>
    <row r="161" customFormat="false" ht="15" hidden="false" customHeight="false" outlineLevel="0" collapsed="false">
      <c r="A161" s="4" t="s">
        <v>8698</v>
      </c>
      <c r="B161" s="4" t="n">
        <v>160</v>
      </c>
      <c r="C161" s="4" t="n">
        <v>235</v>
      </c>
      <c r="D161" s="8" t="s">
        <v>8284</v>
      </c>
      <c r="E161" s="8" t="s">
        <v>8699</v>
      </c>
      <c r="F161" s="8" t="s">
        <v>8700</v>
      </c>
      <c r="G161" s="8" t="s">
        <v>8287</v>
      </c>
      <c r="H161" s="8" t="s">
        <v>62</v>
      </c>
      <c r="I161" s="8"/>
    </row>
    <row r="162" customFormat="false" ht="15" hidden="false" customHeight="false" outlineLevel="0" collapsed="false">
      <c r="A162" s="4" t="s">
        <v>8701</v>
      </c>
      <c r="B162" s="4" t="n">
        <v>161</v>
      </c>
      <c r="C162" s="4" t="n">
        <v>236</v>
      </c>
      <c r="D162" s="8" t="s">
        <v>8396</v>
      </c>
      <c r="E162" s="8" t="s">
        <v>8702</v>
      </c>
      <c r="F162" s="8" t="s">
        <v>8703</v>
      </c>
      <c r="G162" s="8" t="s">
        <v>8287</v>
      </c>
      <c r="H162" s="8" t="s">
        <v>62</v>
      </c>
      <c r="I162" s="8"/>
    </row>
    <row r="163" customFormat="false" ht="15" hidden="false" customHeight="false" outlineLevel="0" collapsed="false">
      <c r="A163" s="4" t="s">
        <v>8704</v>
      </c>
      <c r="B163" s="4" t="n">
        <v>162</v>
      </c>
      <c r="C163" s="4" t="n">
        <v>238</v>
      </c>
      <c r="D163" s="8" t="s">
        <v>8336</v>
      </c>
      <c r="E163" s="8" t="s">
        <v>8705</v>
      </c>
      <c r="F163" s="8" t="s">
        <v>8706</v>
      </c>
      <c r="G163" s="8" t="s">
        <v>8287</v>
      </c>
      <c r="H163" s="8" t="s">
        <v>62</v>
      </c>
      <c r="I163" s="8"/>
    </row>
    <row r="164" customFormat="false" ht="15" hidden="false" customHeight="false" outlineLevel="0" collapsed="false">
      <c r="A164" s="4" t="s">
        <v>8707</v>
      </c>
      <c r="B164" s="4" t="n">
        <v>163</v>
      </c>
      <c r="C164" s="4" t="n">
        <v>239</v>
      </c>
      <c r="D164" s="8" t="s">
        <v>8410</v>
      </c>
      <c r="E164" s="8" t="s">
        <v>8708</v>
      </c>
      <c r="F164" s="8" t="s">
        <v>8709</v>
      </c>
      <c r="G164" s="8" t="s">
        <v>8287</v>
      </c>
      <c r="H164" s="8" t="s">
        <v>62</v>
      </c>
      <c r="I164" s="8"/>
    </row>
    <row r="165" customFormat="false" ht="15" hidden="false" customHeight="false" outlineLevel="0" collapsed="false">
      <c r="A165" s="4" t="s">
        <v>8710</v>
      </c>
      <c r="B165" s="4" t="n">
        <v>164</v>
      </c>
      <c r="C165" s="4" t="n">
        <v>242</v>
      </c>
      <c r="D165" s="8" t="s">
        <v>8415</v>
      </c>
      <c r="E165" s="8" t="s">
        <v>8711</v>
      </c>
      <c r="F165" s="8" t="s">
        <v>8712</v>
      </c>
      <c r="G165" s="8" t="s">
        <v>8287</v>
      </c>
      <c r="H165" s="8" t="s">
        <v>62</v>
      </c>
      <c r="I165" s="8"/>
    </row>
    <row r="166" customFormat="false" ht="15" hidden="false" customHeight="false" outlineLevel="0" collapsed="false">
      <c r="A166" s="4" t="s">
        <v>8713</v>
      </c>
      <c r="B166" s="4" t="n">
        <v>165</v>
      </c>
      <c r="C166" s="4" t="n">
        <v>243</v>
      </c>
      <c r="D166" s="8" t="s">
        <v>8415</v>
      </c>
      <c r="E166" s="8" t="s">
        <v>8714</v>
      </c>
      <c r="F166" s="8" t="s">
        <v>8715</v>
      </c>
      <c r="G166" s="8" t="s">
        <v>8287</v>
      </c>
      <c r="H166" s="8" t="s">
        <v>62</v>
      </c>
      <c r="I166" s="8"/>
    </row>
    <row r="167" customFormat="false" ht="15" hidden="false" customHeight="false" outlineLevel="0" collapsed="false">
      <c r="A167" s="4" t="s">
        <v>8716</v>
      </c>
      <c r="B167" s="4" t="n">
        <v>166</v>
      </c>
      <c r="C167" s="4" t="n">
        <v>246</v>
      </c>
      <c r="D167" s="8" t="s">
        <v>8336</v>
      </c>
      <c r="E167" s="8" t="s">
        <v>6956</v>
      </c>
      <c r="F167" s="8" t="s">
        <v>8717</v>
      </c>
      <c r="G167" s="8" t="s">
        <v>8287</v>
      </c>
      <c r="H167" s="8" t="s">
        <v>62</v>
      </c>
      <c r="I167" s="8"/>
    </row>
    <row r="168" customFormat="false" ht="15" hidden="false" customHeight="false" outlineLevel="0" collapsed="false">
      <c r="A168" s="4" t="s">
        <v>8718</v>
      </c>
      <c r="B168" s="4" t="n">
        <v>167</v>
      </c>
      <c r="C168" s="4" t="n">
        <v>248</v>
      </c>
      <c r="D168" s="8" t="s">
        <v>8396</v>
      </c>
      <c r="E168" s="8" t="s">
        <v>8719</v>
      </c>
      <c r="F168" s="8" t="s">
        <v>6465</v>
      </c>
      <c r="G168" s="8" t="s">
        <v>8287</v>
      </c>
      <c r="H168" s="8" t="s">
        <v>62</v>
      </c>
      <c r="I168" s="8"/>
    </row>
    <row r="169" customFormat="false" ht="15" hidden="false" customHeight="false" outlineLevel="0" collapsed="false">
      <c r="A169" s="4" t="s">
        <v>8720</v>
      </c>
      <c r="B169" s="4" t="n">
        <v>168</v>
      </c>
      <c r="C169" s="4" t="n">
        <v>249</v>
      </c>
      <c r="D169" s="8" t="s">
        <v>8410</v>
      </c>
      <c r="E169" s="8" t="s">
        <v>8721</v>
      </c>
      <c r="F169" s="8" t="s">
        <v>8722</v>
      </c>
      <c r="G169" s="8" t="s">
        <v>8287</v>
      </c>
      <c r="H169" s="8" t="s">
        <v>62</v>
      </c>
      <c r="I169" s="8"/>
    </row>
    <row r="170" customFormat="false" ht="15" hidden="false" customHeight="false" outlineLevel="0" collapsed="false">
      <c r="A170" s="4" t="s">
        <v>8723</v>
      </c>
      <c r="B170" s="4" t="n">
        <v>169</v>
      </c>
      <c r="C170" s="4" t="n">
        <v>250</v>
      </c>
      <c r="D170" s="8" t="s">
        <v>8396</v>
      </c>
      <c r="E170" s="8" t="s">
        <v>1248</v>
      </c>
      <c r="F170" s="8" t="s">
        <v>8724</v>
      </c>
      <c r="G170" s="8" t="s">
        <v>8287</v>
      </c>
      <c r="H170" s="8" t="s">
        <v>62</v>
      </c>
      <c r="I170" s="8"/>
    </row>
    <row r="171" customFormat="false" ht="15" hidden="false" customHeight="false" outlineLevel="0" collapsed="false">
      <c r="A171" s="4" t="s">
        <v>8725</v>
      </c>
      <c r="B171" s="4" t="n">
        <v>170</v>
      </c>
      <c r="C171" s="4" t="n">
        <v>251</v>
      </c>
      <c r="D171" s="8" t="s">
        <v>8474</v>
      </c>
      <c r="E171" s="8" t="s">
        <v>8726</v>
      </c>
      <c r="F171" s="8" t="s">
        <v>8727</v>
      </c>
      <c r="G171" s="8" t="s">
        <v>8474</v>
      </c>
      <c r="H171" s="8" t="s">
        <v>62</v>
      </c>
      <c r="I171" s="8"/>
    </row>
    <row r="172" customFormat="false" ht="15" hidden="false" customHeight="false" outlineLevel="0" collapsed="false">
      <c r="A172" s="4" t="s">
        <v>8728</v>
      </c>
      <c r="B172" s="4" t="n">
        <v>171</v>
      </c>
      <c r="C172" s="4" t="n">
        <v>254</v>
      </c>
      <c r="D172" s="8" t="s">
        <v>8389</v>
      </c>
      <c r="E172" s="8" t="s">
        <v>8729</v>
      </c>
      <c r="F172" s="8" t="s">
        <v>8730</v>
      </c>
      <c r="G172" s="8" t="s">
        <v>8287</v>
      </c>
      <c r="H172" s="8" t="s">
        <v>62</v>
      </c>
      <c r="I172" s="8"/>
    </row>
    <row r="173" customFormat="false" ht="15" hidden="false" customHeight="false" outlineLevel="0" collapsed="false">
      <c r="A173" s="4" t="s">
        <v>8731</v>
      </c>
      <c r="B173" s="4" t="n">
        <v>172</v>
      </c>
      <c r="C173" s="4" t="n">
        <v>255</v>
      </c>
      <c r="D173" s="8" t="s">
        <v>8396</v>
      </c>
      <c r="E173" s="8" t="s">
        <v>8732</v>
      </c>
      <c r="F173" s="8" t="s">
        <v>8627</v>
      </c>
      <c r="G173" s="8" t="s">
        <v>8287</v>
      </c>
      <c r="H173" s="8" t="s">
        <v>62</v>
      </c>
      <c r="I173" s="8"/>
    </row>
    <row r="174" customFormat="false" ht="15" hidden="false" customHeight="false" outlineLevel="0" collapsed="false">
      <c r="A174" s="4" t="s">
        <v>8733</v>
      </c>
      <c r="B174" s="4" t="n">
        <v>173</v>
      </c>
      <c r="C174" s="4" t="n">
        <v>260</v>
      </c>
      <c r="D174" s="8" t="s">
        <v>8396</v>
      </c>
      <c r="E174" s="8" t="s">
        <v>8734</v>
      </c>
      <c r="F174" s="8" t="s">
        <v>8735</v>
      </c>
      <c r="G174" s="8" t="s">
        <v>8287</v>
      </c>
      <c r="H174" s="8" t="s">
        <v>62</v>
      </c>
      <c r="I174" s="8"/>
    </row>
    <row r="175" customFormat="false" ht="15" hidden="false" customHeight="false" outlineLevel="0" collapsed="false">
      <c r="A175" s="4" t="s">
        <v>8736</v>
      </c>
      <c r="B175" s="4" t="n">
        <v>174</v>
      </c>
      <c r="C175" s="4" t="n">
        <v>263</v>
      </c>
      <c r="D175" s="8" t="s">
        <v>8410</v>
      </c>
      <c r="E175" s="8" t="s">
        <v>8737</v>
      </c>
      <c r="F175" s="8" t="s">
        <v>8738</v>
      </c>
      <c r="G175" s="8" t="s">
        <v>8287</v>
      </c>
      <c r="H175" s="8" t="s">
        <v>62</v>
      </c>
      <c r="I175" s="8"/>
    </row>
    <row r="176" customFormat="false" ht="15" hidden="false" customHeight="false" outlineLevel="0" collapsed="false">
      <c r="A176" s="4" t="s">
        <v>8739</v>
      </c>
      <c r="B176" s="4" t="n">
        <v>175</v>
      </c>
      <c r="C176" s="4" t="n">
        <v>264</v>
      </c>
      <c r="D176" s="8" t="s">
        <v>8415</v>
      </c>
      <c r="E176" s="8" t="s">
        <v>8740</v>
      </c>
      <c r="F176" s="8" t="s">
        <v>8741</v>
      </c>
      <c r="G176" s="8" t="s">
        <v>8287</v>
      </c>
      <c r="H176" s="8" t="s">
        <v>62</v>
      </c>
      <c r="I176" s="8"/>
    </row>
    <row r="177" customFormat="false" ht="15" hidden="false" customHeight="false" outlineLevel="0" collapsed="false">
      <c r="A177" s="4" t="s">
        <v>8742</v>
      </c>
      <c r="B177" s="4" t="n">
        <v>176</v>
      </c>
      <c r="C177" s="4" t="n">
        <v>265</v>
      </c>
      <c r="D177" s="8" t="s">
        <v>8396</v>
      </c>
      <c r="E177" s="8" t="s">
        <v>8743</v>
      </c>
      <c r="F177" s="8" t="s">
        <v>8744</v>
      </c>
      <c r="G177" s="8" t="s">
        <v>8287</v>
      </c>
      <c r="H177" s="8" t="s">
        <v>62</v>
      </c>
      <c r="I177" s="8"/>
    </row>
    <row r="178" customFormat="false" ht="15" hidden="false" customHeight="false" outlineLevel="0" collapsed="false">
      <c r="A178" s="4" t="s">
        <v>8745</v>
      </c>
      <c r="B178" s="4" t="n">
        <v>177</v>
      </c>
      <c r="C178" s="4" t="n">
        <v>267</v>
      </c>
      <c r="D178" s="8" t="s">
        <v>8396</v>
      </c>
      <c r="E178" s="8" t="s">
        <v>8746</v>
      </c>
      <c r="F178" s="8" t="s">
        <v>8747</v>
      </c>
      <c r="G178" s="8" t="s">
        <v>8287</v>
      </c>
      <c r="H178" s="8" t="s">
        <v>62</v>
      </c>
      <c r="I178" s="8"/>
    </row>
    <row r="179" customFormat="false" ht="15" hidden="false" customHeight="false" outlineLevel="0" collapsed="false">
      <c r="A179" s="4" t="s">
        <v>8748</v>
      </c>
      <c r="B179" s="4" t="n">
        <v>178</v>
      </c>
      <c r="C179" s="4" t="n">
        <v>269</v>
      </c>
      <c r="D179" s="8" t="s">
        <v>8323</v>
      </c>
      <c r="E179" s="8" t="s">
        <v>8749</v>
      </c>
      <c r="F179" s="8" t="s">
        <v>8750</v>
      </c>
      <c r="G179" s="8" t="s">
        <v>8287</v>
      </c>
      <c r="H179" s="8" t="s">
        <v>62</v>
      </c>
      <c r="I179" s="8"/>
    </row>
    <row r="180" customFormat="false" ht="15" hidden="false" customHeight="false" outlineLevel="0" collapsed="false">
      <c r="A180" s="4" t="s">
        <v>8751</v>
      </c>
      <c r="B180" s="4" t="n">
        <v>179</v>
      </c>
      <c r="C180" s="4" t="n">
        <v>270</v>
      </c>
      <c r="D180" s="8" t="s">
        <v>8291</v>
      </c>
      <c r="E180" s="8" t="s">
        <v>8752</v>
      </c>
      <c r="F180" s="8" t="s">
        <v>8753</v>
      </c>
      <c r="G180" s="8" t="s">
        <v>8287</v>
      </c>
      <c r="H180" s="8" t="s">
        <v>62</v>
      </c>
      <c r="I180" s="8"/>
    </row>
    <row r="181" customFormat="false" ht="15" hidden="false" customHeight="false" outlineLevel="0" collapsed="false">
      <c r="A181" s="4" t="s">
        <v>8754</v>
      </c>
      <c r="B181" s="4" t="n">
        <v>180</v>
      </c>
      <c r="C181" s="4" t="n">
        <v>272</v>
      </c>
      <c r="D181" s="8" t="s">
        <v>8305</v>
      </c>
      <c r="E181" s="8" t="s">
        <v>8755</v>
      </c>
      <c r="F181" s="8" t="s">
        <v>8756</v>
      </c>
      <c r="G181" s="8" t="s">
        <v>8287</v>
      </c>
      <c r="H181" s="8" t="s">
        <v>62</v>
      </c>
      <c r="I181" s="8"/>
    </row>
    <row r="182" customFormat="false" ht="15" hidden="false" customHeight="false" outlineLevel="0" collapsed="false">
      <c r="A182" s="4" t="s">
        <v>8757</v>
      </c>
      <c r="B182" s="4" t="n">
        <v>181</v>
      </c>
      <c r="C182" s="4" t="n">
        <v>273</v>
      </c>
      <c r="D182" s="8" t="s">
        <v>8415</v>
      </c>
      <c r="E182" s="8" t="s">
        <v>8758</v>
      </c>
      <c r="F182" s="8" t="s">
        <v>8759</v>
      </c>
      <c r="G182" s="8" t="s">
        <v>8287</v>
      </c>
      <c r="H182" s="8" t="s">
        <v>62</v>
      </c>
      <c r="I182" s="8"/>
    </row>
    <row r="183" customFormat="false" ht="15" hidden="false" customHeight="false" outlineLevel="0" collapsed="false">
      <c r="A183" s="4" t="s">
        <v>8760</v>
      </c>
      <c r="B183" s="4" t="n">
        <v>182</v>
      </c>
      <c r="C183" s="4" t="n">
        <v>274</v>
      </c>
      <c r="D183" s="8" t="s">
        <v>8396</v>
      </c>
      <c r="E183" s="8" t="s">
        <v>8761</v>
      </c>
      <c r="F183" s="8" t="s">
        <v>8762</v>
      </c>
      <c r="G183" s="8" t="s">
        <v>8287</v>
      </c>
      <c r="H183" s="8" t="s">
        <v>62</v>
      </c>
      <c r="I183" s="8"/>
    </row>
    <row r="184" customFormat="false" ht="15" hidden="false" customHeight="false" outlineLevel="0" collapsed="false">
      <c r="A184" s="4" t="s">
        <v>8763</v>
      </c>
      <c r="B184" s="4" t="n">
        <v>183</v>
      </c>
      <c r="C184" s="4" t="n">
        <v>275</v>
      </c>
      <c r="D184" s="8" t="s">
        <v>8396</v>
      </c>
      <c r="E184" s="8" t="s">
        <v>6084</v>
      </c>
      <c r="F184" s="8" t="s">
        <v>8764</v>
      </c>
      <c r="G184" s="8" t="s">
        <v>8287</v>
      </c>
      <c r="H184" s="8" t="s">
        <v>62</v>
      </c>
      <c r="I184" s="8"/>
    </row>
    <row r="185" customFormat="false" ht="15" hidden="false" customHeight="false" outlineLevel="0" collapsed="false">
      <c r="A185" s="4" t="s">
        <v>8765</v>
      </c>
      <c r="B185" s="4" t="n">
        <v>184</v>
      </c>
      <c r="C185" s="4" t="n">
        <v>280</v>
      </c>
      <c r="D185" s="8" t="s">
        <v>8396</v>
      </c>
      <c r="E185" s="8" t="s">
        <v>8766</v>
      </c>
      <c r="F185" s="8" t="s">
        <v>8767</v>
      </c>
      <c r="G185" s="8" t="s">
        <v>8287</v>
      </c>
      <c r="H185" s="8" t="s">
        <v>62</v>
      </c>
      <c r="I185" s="8"/>
    </row>
    <row r="186" customFormat="false" ht="15" hidden="false" customHeight="false" outlineLevel="0" collapsed="false">
      <c r="A186" s="4" t="s">
        <v>8768</v>
      </c>
      <c r="B186" s="4" t="n">
        <v>185</v>
      </c>
      <c r="C186" s="4" t="n">
        <v>282</v>
      </c>
      <c r="D186" s="8" t="s">
        <v>8396</v>
      </c>
      <c r="E186" s="8" t="s">
        <v>8769</v>
      </c>
      <c r="F186" s="8" t="s">
        <v>8770</v>
      </c>
      <c r="G186" s="8" t="s">
        <v>8287</v>
      </c>
      <c r="H186" s="8" t="s">
        <v>62</v>
      </c>
      <c r="I186" s="8"/>
    </row>
    <row r="187" customFormat="false" ht="15" hidden="false" customHeight="false" outlineLevel="0" collapsed="false">
      <c r="A187" s="4" t="s">
        <v>8771</v>
      </c>
      <c r="B187" s="4" t="n">
        <v>186</v>
      </c>
      <c r="C187" s="4" t="n">
        <v>284</v>
      </c>
      <c r="D187" s="8" t="s">
        <v>8410</v>
      </c>
      <c r="E187" s="8" t="s">
        <v>277</v>
      </c>
      <c r="F187" s="8" t="s">
        <v>8772</v>
      </c>
      <c r="G187" s="8" t="s">
        <v>8287</v>
      </c>
      <c r="H187" s="8" t="s">
        <v>62</v>
      </c>
      <c r="I187" s="8"/>
    </row>
    <row r="188" customFormat="false" ht="15" hidden="false" customHeight="false" outlineLevel="0" collapsed="false">
      <c r="A188" s="4" t="s">
        <v>8773</v>
      </c>
      <c r="B188" s="4" t="n">
        <v>187</v>
      </c>
      <c r="C188" s="4" t="n">
        <v>286</v>
      </c>
      <c r="D188" s="8" t="s">
        <v>8504</v>
      </c>
      <c r="E188" s="8" t="s">
        <v>8774</v>
      </c>
      <c r="F188" s="8" t="s">
        <v>6789</v>
      </c>
      <c r="G188" s="8" t="s">
        <v>8287</v>
      </c>
      <c r="H188" s="8" t="s">
        <v>62</v>
      </c>
      <c r="I188" s="8"/>
    </row>
    <row r="189" customFormat="false" ht="15" hidden="false" customHeight="false" outlineLevel="0" collapsed="false">
      <c r="A189" s="4" t="s">
        <v>8775</v>
      </c>
      <c r="B189" s="4" t="n">
        <v>188</v>
      </c>
      <c r="C189" s="4" t="n">
        <v>287</v>
      </c>
      <c r="D189" s="8" t="s">
        <v>8410</v>
      </c>
      <c r="E189" s="8" t="s">
        <v>3598</v>
      </c>
      <c r="F189" s="8" t="s">
        <v>3599</v>
      </c>
      <c r="G189" s="8" t="s">
        <v>8287</v>
      </c>
      <c r="H189" s="8" t="s">
        <v>62</v>
      </c>
      <c r="I189" s="8"/>
    </row>
    <row r="190" customFormat="false" ht="15" hidden="false" customHeight="false" outlineLevel="0" collapsed="false">
      <c r="A190" s="4" t="s">
        <v>8776</v>
      </c>
      <c r="B190" s="4" t="n">
        <v>189</v>
      </c>
      <c r="C190" s="4" t="n">
        <v>289</v>
      </c>
      <c r="D190" s="8" t="s">
        <v>8410</v>
      </c>
      <c r="E190" s="8" t="s">
        <v>1795</v>
      </c>
      <c r="F190" s="8" t="s">
        <v>1796</v>
      </c>
      <c r="G190" s="8" t="s">
        <v>8287</v>
      </c>
      <c r="H190" s="8" t="s">
        <v>62</v>
      </c>
      <c r="I190" s="8"/>
    </row>
    <row r="191" customFormat="false" ht="15" hidden="false" customHeight="false" outlineLevel="0" collapsed="false">
      <c r="A191" s="4" t="s">
        <v>8777</v>
      </c>
      <c r="B191" s="4" t="n">
        <v>190</v>
      </c>
      <c r="C191" s="4" t="n">
        <v>290</v>
      </c>
      <c r="D191" s="8" t="s">
        <v>8336</v>
      </c>
      <c r="E191" s="8" t="s">
        <v>8778</v>
      </c>
      <c r="F191" s="8" t="s">
        <v>8779</v>
      </c>
      <c r="G191" s="8" t="s">
        <v>8287</v>
      </c>
      <c r="H191" s="8" t="s">
        <v>62</v>
      </c>
      <c r="I191" s="8"/>
    </row>
    <row r="192" customFormat="false" ht="15" hidden="false" customHeight="false" outlineLevel="0" collapsed="false">
      <c r="A192" s="4" t="s">
        <v>8780</v>
      </c>
      <c r="B192" s="4" t="n">
        <v>191</v>
      </c>
      <c r="C192" s="4" t="n">
        <v>291</v>
      </c>
      <c r="D192" s="8" t="s">
        <v>8410</v>
      </c>
      <c r="E192" s="8" t="s">
        <v>8781</v>
      </c>
      <c r="F192" s="8" t="s">
        <v>8782</v>
      </c>
      <c r="G192" s="8" t="s">
        <v>8287</v>
      </c>
      <c r="H192" s="8" t="s">
        <v>62</v>
      </c>
      <c r="I192" s="8"/>
    </row>
    <row r="193" customFormat="false" ht="15" hidden="false" customHeight="false" outlineLevel="0" collapsed="false">
      <c r="A193" s="4" t="s">
        <v>8783</v>
      </c>
      <c r="B193" s="4" t="n">
        <v>192</v>
      </c>
      <c r="C193" s="4" t="n">
        <v>294</v>
      </c>
      <c r="D193" s="8" t="s">
        <v>8389</v>
      </c>
      <c r="E193" s="8" t="s">
        <v>8784</v>
      </c>
      <c r="F193" s="8" t="s">
        <v>8785</v>
      </c>
      <c r="G193" s="8" t="s">
        <v>8287</v>
      </c>
      <c r="H193" s="8" t="s">
        <v>62</v>
      </c>
      <c r="I193" s="8"/>
    </row>
    <row r="194" customFormat="false" ht="15" hidden="false" customHeight="false" outlineLevel="0" collapsed="false">
      <c r="A194" s="4" t="s">
        <v>8786</v>
      </c>
      <c r="B194" s="4" t="n">
        <v>193</v>
      </c>
      <c r="C194" s="4" t="n">
        <v>295</v>
      </c>
      <c r="D194" s="8" t="s">
        <v>8336</v>
      </c>
      <c r="E194" s="8" t="s">
        <v>8787</v>
      </c>
      <c r="F194" s="8" t="s">
        <v>8788</v>
      </c>
      <c r="G194" s="8" t="s">
        <v>8287</v>
      </c>
      <c r="H194" s="8" t="s">
        <v>62</v>
      </c>
      <c r="I194" s="8"/>
    </row>
    <row r="195" customFormat="false" ht="15" hidden="false" customHeight="false" outlineLevel="0" collapsed="false">
      <c r="A195" s="4" t="s">
        <v>8789</v>
      </c>
      <c r="B195" s="4" t="n">
        <v>194</v>
      </c>
      <c r="C195" s="4" t="n">
        <v>298</v>
      </c>
      <c r="D195" s="8" t="s">
        <v>8389</v>
      </c>
      <c r="E195" s="8" t="s">
        <v>8790</v>
      </c>
      <c r="F195" s="8" t="s">
        <v>8791</v>
      </c>
      <c r="G195" s="8" t="s">
        <v>8287</v>
      </c>
      <c r="H195" s="8" t="s">
        <v>62</v>
      </c>
      <c r="I195" s="8"/>
    </row>
    <row r="196" customFormat="false" ht="15" hidden="false" customHeight="false" outlineLevel="0" collapsed="false">
      <c r="A196" s="4" t="s">
        <v>8792</v>
      </c>
      <c r="B196" s="4" t="n">
        <v>195</v>
      </c>
      <c r="C196" s="4" t="n">
        <v>300</v>
      </c>
      <c r="D196" s="8" t="s">
        <v>8305</v>
      </c>
      <c r="E196" s="8" t="s">
        <v>8793</v>
      </c>
      <c r="F196" s="8" t="s">
        <v>8794</v>
      </c>
      <c r="G196" s="8" t="s">
        <v>8287</v>
      </c>
      <c r="H196" s="8" t="s">
        <v>62</v>
      </c>
      <c r="I196" s="8"/>
    </row>
    <row r="197" customFormat="false" ht="15" hidden="false" customHeight="false" outlineLevel="0" collapsed="false">
      <c r="A197" s="4" t="s">
        <v>8795</v>
      </c>
      <c r="B197" s="4" t="n">
        <v>196</v>
      </c>
      <c r="C197" s="4" t="n">
        <v>302</v>
      </c>
      <c r="D197" s="8" t="s">
        <v>8323</v>
      </c>
      <c r="E197" s="8" t="s">
        <v>2202</v>
      </c>
      <c r="F197" s="8" t="s">
        <v>8796</v>
      </c>
      <c r="G197" s="8" t="s">
        <v>8287</v>
      </c>
      <c r="H197" s="8" t="s">
        <v>62</v>
      </c>
      <c r="I197" s="8"/>
    </row>
    <row r="198" customFormat="false" ht="15" hidden="false" customHeight="false" outlineLevel="0" collapsed="false">
      <c r="A198" s="4" t="s">
        <v>8797</v>
      </c>
      <c r="B198" s="4" t="n">
        <v>197</v>
      </c>
      <c r="C198" s="4" t="n">
        <v>304</v>
      </c>
      <c r="D198" s="8" t="s">
        <v>8474</v>
      </c>
      <c r="E198" s="8" t="s">
        <v>6493</v>
      </c>
      <c r="F198" s="8" t="s">
        <v>6494</v>
      </c>
      <c r="G198" s="8" t="s">
        <v>8474</v>
      </c>
      <c r="H198" s="8" t="s">
        <v>62</v>
      </c>
      <c r="I198" s="8"/>
    </row>
    <row r="199" customFormat="false" ht="15" hidden="false" customHeight="false" outlineLevel="0" collapsed="false">
      <c r="A199" s="4" t="s">
        <v>8798</v>
      </c>
      <c r="B199" s="4" t="n">
        <v>198</v>
      </c>
      <c r="C199" s="4" t="n">
        <v>306</v>
      </c>
      <c r="D199" s="8" t="s">
        <v>8291</v>
      </c>
      <c r="E199" s="8" t="s">
        <v>1263</v>
      </c>
      <c r="F199" s="8" t="s">
        <v>8799</v>
      </c>
      <c r="G199" s="8" t="s">
        <v>8287</v>
      </c>
      <c r="H199" s="8" t="s">
        <v>62</v>
      </c>
      <c r="I199" s="8"/>
    </row>
    <row r="200" customFormat="false" ht="15" hidden="false" customHeight="false" outlineLevel="0" collapsed="false">
      <c r="A200" s="4" t="s">
        <v>8800</v>
      </c>
      <c r="B200" s="4" t="n">
        <v>199</v>
      </c>
      <c r="C200" s="4" t="n">
        <v>307</v>
      </c>
      <c r="D200" s="8" t="s">
        <v>8336</v>
      </c>
      <c r="E200" s="8" t="s">
        <v>8801</v>
      </c>
      <c r="F200" s="8" t="s">
        <v>8802</v>
      </c>
      <c r="G200" s="8" t="s">
        <v>8287</v>
      </c>
      <c r="H200" s="8" t="s">
        <v>62</v>
      </c>
      <c r="I200" s="8"/>
    </row>
    <row r="201" customFormat="false" ht="15" hidden="false" customHeight="false" outlineLevel="0" collapsed="false">
      <c r="A201" s="4" t="s">
        <v>8803</v>
      </c>
      <c r="B201" s="4" t="n">
        <v>200</v>
      </c>
      <c r="C201" s="4" t="n">
        <v>311</v>
      </c>
      <c r="D201" s="8" t="s">
        <v>8291</v>
      </c>
      <c r="E201" s="8" t="s">
        <v>8804</v>
      </c>
      <c r="F201" s="8" t="s">
        <v>8805</v>
      </c>
      <c r="G201" s="8" t="s">
        <v>8287</v>
      </c>
      <c r="H201" s="8" t="s">
        <v>62</v>
      </c>
      <c r="I201" s="8"/>
    </row>
    <row r="202" customFormat="false" ht="15" hidden="false" customHeight="false" outlineLevel="0" collapsed="false">
      <c r="A202" s="4" t="s">
        <v>8806</v>
      </c>
      <c r="B202" s="4" t="n">
        <v>201</v>
      </c>
      <c r="C202" s="4" t="n">
        <v>313</v>
      </c>
      <c r="D202" s="8" t="s">
        <v>8336</v>
      </c>
      <c r="E202" s="8" t="s">
        <v>8807</v>
      </c>
      <c r="F202" s="8" t="s">
        <v>8808</v>
      </c>
      <c r="G202" s="8" t="s">
        <v>8287</v>
      </c>
      <c r="H202" s="8" t="s">
        <v>62</v>
      </c>
      <c r="I202" s="8"/>
    </row>
    <row r="203" customFormat="false" ht="15" hidden="false" customHeight="false" outlineLevel="0" collapsed="false">
      <c r="A203" s="4" t="s">
        <v>8809</v>
      </c>
      <c r="B203" s="4" t="n">
        <v>202</v>
      </c>
      <c r="C203" s="4" t="n">
        <v>316</v>
      </c>
      <c r="D203" s="8" t="s">
        <v>8396</v>
      </c>
      <c r="E203" s="8" t="s">
        <v>8810</v>
      </c>
      <c r="F203" s="8" t="s">
        <v>8811</v>
      </c>
      <c r="G203" s="8" t="s">
        <v>8287</v>
      </c>
      <c r="H203" s="8" t="s">
        <v>62</v>
      </c>
      <c r="I203" s="8"/>
    </row>
    <row r="204" customFormat="false" ht="15" hidden="false" customHeight="false" outlineLevel="0" collapsed="false">
      <c r="A204" s="4" t="s">
        <v>8812</v>
      </c>
      <c r="B204" s="4" t="n">
        <v>203</v>
      </c>
      <c r="C204" s="4" t="n">
        <v>320</v>
      </c>
      <c r="D204" s="8" t="s">
        <v>8396</v>
      </c>
      <c r="E204" s="8" t="s">
        <v>8813</v>
      </c>
      <c r="F204" s="8" t="s">
        <v>8814</v>
      </c>
      <c r="G204" s="8" t="s">
        <v>8287</v>
      </c>
      <c r="H204" s="8" t="s">
        <v>62</v>
      </c>
      <c r="I204" s="8"/>
    </row>
    <row r="205" customFormat="false" ht="15" hidden="false" customHeight="false" outlineLevel="0" collapsed="false">
      <c r="A205" s="4" t="s">
        <v>8815</v>
      </c>
      <c r="B205" s="4" t="n">
        <v>204</v>
      </c>
      <c r="C205" s="4" t="n">
        <v>321</v>
      </c>
      <c r="D205" s="8" t="s">
        <v>8389</v>
      </c>
      <c r="E205" s="8" t="s">
        <v>8816</v>
      </c>
      <c r="F205" s="8" t="s">
        <v>8817</v>
      </c>
      <c r="G205" s="8" t="s">
        <v>8287</v>
      </c>
      <c r="H205" s="8" t="s">
        <v>62</v>
      </c>
      <c r="I205" s="8"/>
    </row>
    <row r="206" customFormat="false" ht="26.85" hidden="false" customHeight="false" outlineLevel="0" collapsed="false">
      <c r="A206" s="4" t="s">
        <v>8818</v>
      </c>
      <c r="B206" s="4" t="n">
        <v>205</v>
      </c>
      <c r="C206" s="4" t="n">
        <v>323</v>
      </c>
      <c r="D206" s="8" t="s">
        <v>8323</v>
      </c>
      <c r="E206" s="8" t="s">
        <v>8819</v>
      </c>
      <c r="F206" s="8" t="s">
        <v>8820</v>
      </c>
      <c r="G206" s="8" t="s">
        <v>8287</v>
      </c>
      <c r="H206" s="8" t="s">
        <v>62</v>
      </c>
      <c r="I206" s="8"/>
    </row>
    <row r="207" customFormat="false" ht="15" hidden="false" customHeight="false" outlineLevel="0" collapsed="false">
      <c r="A207" s="4" t="s">
        <v>8821</v>
      </c>
      <c r="B207" s="4" t="n">
        <v>206</v>
      </c>
      <c r="C207" s="4" t="n">
        <v>325</v>
      </c>
      <c r="D207" s="8" t="s">
        <v>8396</v>
      </c>
      <c r="E207" s="8" t="s">
        <v>111</v>
      </c>
      <c r="F207" s="8" t="s">
        <v>112</v>
      </c>
      <c r="G207" s="8" t="s">
        <v>8287</v>
      </c>
      <c r="H207" s="8" t="s">
        <v>62</v>
      </c>
      <c r="I207" s="8"/>
    </row>
    <row r="208" customFormat="false" ht="15" hidden="false" customHeight="false" outlineLevel="0" collapsed="false">
      <c r="A208" s="4" t="s">
        <v>8822</v>
      </c>
      <c r="B208" s="4" t="n">
        <v>207</v>
      </c>
      <c r="C208" s="4" t="n">
        <v>327</v>
      </c>
      <c r="D208" s="8" t="s">
        <v>8323</v>
      </c>
      <c r="E208" s="8" t="s">
        <v>8823</v>
      </c>
      <c r="F208" s="8" t="s">
        <v>8824</v>
      </c>
      <c r="G208" s="8" t="s">
        <v>8287</v>
      </c>
      <c r="H208" s="8" t="s">
        <v>62</v>
      </c>
      <c r="I208" s="8"/>
    </row>
    <row r="209" customFormat="false" ht="15" hidden="false" customHeight="false" outlineLevel="0" collapsed="false">
      <c r="A209" s="4" t="s">
        <v>8825</v>
      </c>
      <c r="B209" s="4" t="n">
        <v>208</v>
      </c>
      <c r="C209" s="4" t="n">
        <v>328</v>
      </c>
      <c r="D209" s="8" t="s">
        <v>8396</v>
      </c>
      <c r="E209" s="8" t="s">
        <v>8826</v>
      </c>
      <c r="F209" s="8" t="s">
        <v>8827</v>
      </c>
      <c r="G209" s="8" t="s">
        <v>8287</v>
      </c>
      <c r="H209" s="8" t="s">
        <v>62</v>
      </c>
      <c r="I209" s="8"/>
    </row>
    <row r="210" customFormat="false" ht="15" hidden="false" customHeight="false" outlineLevel="0" collapsed="false">
      <c r="A210" s="4" t="s">
        <v>8828</v>
      </c>
      <c r="B210" s="4" t="n">
        <v>209</v>
      </c>
      <c r="C210" s="4" t="n">
        <v>329</v>
      </c>
      <c r="D210" s="8" t="s">
        <v>8415</v>
      </c>
      <c r="E210" s="8" t="s">
        <v>4637</v>
      </c>
      <c r="F210" s="8" t="s">
        <v>8829</v>
      </c>
      <c r="G210" s="8" t="s">
        <v>8287</v>
      </c>
      <c r="H210" s="8" t="s">
        <v>62</v>
      </c>
      <c r="I210" s="8"/>
    </row>
    <row r="211" customFormat="false" ht="15" hidden="false" customHeight="false" outlineLevel="0" collapsed="false">
      <c r="A211" s="4" t="s">
        <v>8830</v>
      </c>
      <c r="B211" s="4" t="n">
        <v>210</v>
      </c>
      <c r="C211" s="4" t="n">
        <v>330</v>
      </c>
      <c r="D211" s="8" t="s">
        <v>8396</v>
      </c>
      <c r="E211" s="8" t="s">
        <v>2351</v>
      </c>
      <c r="F211" s="8" t="s">
        <v>2352</v>
      </c>
      <c r="G211" s="8" t="s">
        <v>8287</v>
      </c>
      <c r="H211" s="8" t="s">
        <v>62</v>
      </c>
      <c r="I211" s="8"/>
    </row>
    <row r="212" customFormat="false" ht="15" hidden="false" customHeight="false" outlineLevel="0" collapsed="false">
      <c r="A212" s="4" t="s">
        <v>8831</v>
      </c>
      <c r="B212" s="4" t="n">
        <v>211</v>
      </c>
      <c r="C212" s="4" t="n">
        <v>331</v>
      </c>
      <c r="D212" s="8" t="s">
        <v>8396</v>
      </c>
      <c r="E212" s="8" t="s">
        <v>6668</v>
      </c>
      <c r="F212" s="8" t="s">
        <v>6669</v>
      </c>
      <c r="G212" s="8" t="s">
        <v>8287</v>
      </c>
      <c r="H212" s="8" t="s">
        <v>62</v>
      </c>
      <c r="I212" s="8"/>
    </row>
    <row r="213" customFormat="false" ht="15" hidden="false" customHeight="false" outlineLevel="0" collapsed="false">
      <c r="A213" s="4" t="s">
        <v>8832</v>
      </c>
      <c r="B213" s="4" t="n">
        <v>212</v>
      </c>
      <c r="C213" s="4" t="n">
        <v>332</v>
      </c>
      <c r="D213" s="8" t="s">
        <v>8323</v>
      </c>
      <c r="E213" s="8" t="s">
        <v>8833</v>
      </c>
      <c r="F213" s="8" t="s">
        <v>8834</v>
      </c>
      <c r="G213" s="8" t="s">
        <v>8287</v>
      </c>
      <c r="H213" s="8" t="s">
        <v>62</v>
      </c>
      <c r="I213" s="8"/>
    </row>
    <row r="214" customFormat="false" ht="15" hidden="false" customHeight="false" outlineLevel="0" collapsed="false">
      <c r="A214" s="4" t="s">
        <v>8835</v>
      </c>
      <c r="B214" s="4" t="n">
        <v>213</v>
      </c>
      <c r="C214" s="4" t="n">
        <v>334</v>
      </c>
      <c r="D214" s="8" t="s">
        <v>8504</v>
      </c>
      <c r="E214" s="8" t="s">
        <v>8836</v>
      </c>
      <c r="F214" s="8" t="s">
        <v>6908</v>
      </c>
      <c r="G214" s="8" t="s">
        <v>8287</v>
      </c>
      <c r="H214" s="8" t="s">
        <v>62</v>
      </c>
      <c r="I214" s="8"/>
    </row>
    <row r="215" customFormat="false" ht="15" hidden="false" customHeight="false" outlineLevel="0" collapsed="false">
      <c r="A215" s="4" t="s">
        <v>8837</v>
      </c>
      <c r="B215" s="4" t="n">
        <v>214</v>
      </c>
      <c r="C215" s="4" t="n">
        <v>336</v>
      </c>
      <c r="D215" s="8" t="s">
        <v>8305</v>
      </c>
      <c r="E215" s="8" t="s">
        <v>8838</v>
      </c>
      <c r="F215" s="8" t="s">
        <v>8839</v>
      </c>
      <c r="G215" s="8" t="s">
        <v>8287</v>
      </c>
      <c r="H215" s="8" t="s">
        <v>62</v>
      </c>
      <c r="I215" s="8"/>
    </row>
    <row r="216" customFormat="false" ht="15" hidden="false" customHeight="false" outlineLevel="0" collapsed="false">
      <c r="A216" s="4" t="s">
        <v>8840</v>
      </c>
      <c r="B216" s="4" t="n">
        <v>215</v>
      </c>
      <c r="C216" s="4" t="n">
        <v>339</v>
      </c>
      <c r="D216" s="8" t="s">
        <v>8841</v>
      </c>
      <c r="E216" s="8" t="s">
        <v>233</v>
      </c>
      <c r="F216" s="8" t="s">
        <v>8842</v>
      </c>
      <c r="G216" s="8" t="s">
        <v>8287</v>
      </c>
      <c r="H216" s="8" t="s">
        <v>62</v>
      </c>
      <c r="I216" s="8"/>
    </row>
    <row r="217" customFormat="false" ht="15" hidden="false" customHeight="false" outlineLevel="0" collapsed="false">
      <c r="A217" s="4" t="s">
        <v>8843</v>
      </c>
      <c r="B217" s="4" t="n">
        <v>216</v>
      </c>
      <c r="C217" s="4" t="n">
        <v>340</v>
      </c>
      <c r="D217" s="8" t="s">
        <v>8844</v>
      </c>
      <c r="E217" s="8" t="s">
        <v>8845</v>
      </c>
      <c r="F217" s="8" t="s">
        <v>8846</v>
      </c>
      <c r="G217" s="8" t="s">
        <v>8287</v>
      </c>
      <c r="H217" s="8" t="s">
        <v>62</v>
      </c>
      <c r="I217" s="8"/>
    </row>
    <row r="218" customFormat="false" ht="15" hidden="false" customHeight="false" outlineLevel="0" collapsed="false">
      <c r="A218" s="4" t="s">
        <v>8847</v>
      </c>
      <c r="B218" s="4" t="n">
        <v>217</v>
      </c>
      <c r="C218" s="4" t="n">
        <v>344</v>
      </c>
      <c r="D218" s="8" t="s">
        <v>8848</v>
      </c>
      <c r="E218" s="8" t="s">
        <v>200</v>
      </c>
      <c r="F218" s="8" t="s">
        <v>201</v>
      </c>
      <c r="G218" s="8" t="s">
        <v>8287</v>
      </c>
      <c r="H218" s="8" t="s">
        <v>62</v>
      </c>
      <c r="I218" s="8"/>
    </row>
    <row r="219" customFormat="false" ht="15" hidden="false" customHeight="false" outlineLevel="0" collapsed="false">
      <c r="A219" s="4" t="s">
        <v>8849</v>
      </c>
      <c r="B219" s="4" t="n">
        <v>218</v>
      </c>
      <c r="C219" s="4" t="n">
        <v>346</v>
      </c>
      <c r="D219" s="8" t="s">
        <v>8410</v>
      </c>
      <c r="E219" s="8" t="s">
        <v>8850</v>
      </c>
      <c r="F219" s="8" t="s">
        <v>8851</v>
      </c>
      <c r="G219" s="8" t="s">
        <v>8287</v>
      </c>
      <c r="H219" s="8" t="s">
        <v>62</v>
      </c>
      <c r="I219" s="8"/>
    </row>
    <row r="220" customFormat="false" ht="15" hidden="false" customHeight="false" outlineLevel="0" collapsed="false">
      <c r="A220" s="4" t="s">
        <v>8852</v>
      </c>
      <c r="B220" s="4" t="n">
        <v>219</v>
      </c>
      <c r="C220" s="4" t="n">
        <v>347</v>
      </c>
      <c r="D220" s="8" t="s">
        <v>8291</v>
      </c>
      <c r="E220" s="8" t="s">
        <v>1553</v>
      </c>
      <c r="F220" s="8" t="s">
        <v>1264</v>
      </c>
      <c r="G220" s="8" t="s">
        <v>8287</v>
      </c>
      <c r="H220" s="8" t="s">
        <v>62</v>
      </c>
      <c r="I220" s="8"/>
    </row>
    <row r="221" customFormat="false" ht="15" hidden="false" customHeight="false" outlineLevel="0" collapsed="false">
      <c r="A221" s="4" t="s">
        <v>8853</v>
      </c>
      <c r="B221" s="4" t="n">
        <v>220</v>
      </c>
      <c r="C221" s="4" t="n">
        <v>348</v>
      </c>
      <c r="D221" s="8" t="s">
        <v>8389</v>
      </c>
      <c r="E221" s="8" t="s">
        <v>8854</v>
      </c>
      <c r="F221" s="8" t="s">
        <v>8855</v>
      </c>
      <c r="G221" s="8" t="s">
        <v>8287</v>
      </c>
      <c r="H221" s="8" t="s">
        <v>62</v>
      </c>
      <c r="I221" s="8"/>
    </row>
    <row r="222" customFormat="false" ht="15" hidden="false" customHeight="false" outlineLevel="0" collapsed="false">
      <c r="A222" s="4" t="s">
        <v>8856</v>
      </c>
      <c r="B222" s="4" t="n">
        <v>221</v>
      </c>
      <c r="C222" s="4" t="n">
        <v>349</v>
      </c>
      <c r="D222" s="8" t="s">
        <v>8323</v>
      </c>
      <c r="E222" s="8" t="s">
        <v>8857</v>
      </c>
      <c r="F222" s="8" t="s">
        <v>8858</v>
      </c>
      <c r="G222" s="8" t="s">
        <v>8287</v>
      </c>
      <c r="H222" s="8" t="s">
        <v>62</v>
      </c>
      <c r="I222" s="8"/>
    </row>
    <row r="223" customFormat="false" ht="15" hidden="false" customHeight="false" outlineLevel="0" collapsed="false">
      <c r="A223" s="4" t="s">
        <v>8859</v>
      </c>
      <c r="B223" s="4" t="n">
        <v>222</v>
      </c>
      <c r="C223" s="4" t="n">
        <v>350</v>
      </c>
      <c r="D223" s="8" t="s">
        <v>8410</v>
      </c>
      <c r="E223" s="8" t="s">
        <v>925</v>
      </c>
      <c r="F223" s="8" t="s">
        <v>926</v>
      </c>
      <c r="G223" s="8" t="s">
        <v>8287</v>
      </c>
      <c r="H223" s="8" t="s">
        <v>62</v>
      </c>
      <c r="I223" s="8"/>
    </row>
    <row r="224" customFormat="false" ht="15" hidden="false" customHeight="false" outlineLevel="0" collapsed="false">
      <c r="A224" s="4" t="s">
        <v>8860</v>
      </c>
      <c r="B224" s="4" t="n">
        <v>223</v>
      </c>
      <c r="C224" s="4" t="n">
        <v>354</v>
      </c>
      <c r="D224" s="8" t="s">
        <v>8389</v>
      </c>
      <c r="E224" s="8" t="s">
        <v>8861</v>
      </c>
      <c r="F224" s="8" t="s">
        <v>8862</v>
      </c>
      <c r="G224" s="8" t="s">
        <v>8287</v>
      </c>
      <c r="H224" s="8" t="s">
        <v>62</v>
      </c>
      <c r="I224" s="8"/>
    </row>
    <row r="225" customFormat="false" ht="15" hidden="false" customHeight="false" outlineLevel="0" collapsed="false">
      <c r="A225" s="4" t="s">
        <v>8863</v>
      </c>
      <c r="B225" s="4" t="n">
        <v>224</v>
      </c>
      <c r="C225" s="4" t="n">
        <v>355</v>
      </c>
      <c r="D225" s="8" t="s">
        <v>8410</v>
      </c>
      <c r="E225" s="8" t="s">
        <v>8864</v>
      </c>
      <c r="F225" s="8" t="s">
        <v>8865</v>
      </c>
      <c r="G225" s="8" t="s">
        <v>8287</v>
      </c>
      <c r="H225" s="8" t="s">
        <v>62</v>
      </c>
      <c r="I225" s="8"/>
    </row>
    <row r="226" customFormat="false" ht="15" hidden="false" customHeight="false" outlineLevel="0" collapsed="false">
      <c r="A226" s="4" t="s">
        <v>8866</v>
      </c>
      <c r="B226" s="4" t="n">
        <v>225</v>
      </c>
      <c r="C226" s="4" t="n">
        <v>356</v>
      </c>
      <c r="D226" s="8" t="s">
        <v>8323</v>
      </c>
      <c r="E226" s="8" t="s">
        <v>8867</v>
      </c>
      <c r="F226" s="8" t="s">
        <v>8868</v>
      </c>
      <c r="G226" s="8" t="s">
        <v>8287</v>
      </c>
      <c r="H226" s="8" t="s">
        <v>62</v>
      </c>
      <c r="I226" s="8"/>
    </row>
    <row r="227" customFormat="false" ht="15" hidden="false" customHeight="false" outlineLevel="0" collapsed="false">
      <c r="A227" s="4" t="s">
        <v>8869</v>
      </c>
      <c r="B227" s="4" t="n">
        <v>226</v>
      </c>
      <c r="C227" s="4" t="n">
        <v>358</v>
      </c>
      <c r="D227" s="8" t="s">
        <v>8870</v>
      </c>
      <c r="E227" s="8" t="s">
        <v>8307</v>
      </c>
      <c r="F227" s="8" t="s">
        <v>8871</v>
      </c>
      <c r="G227" s="8" t="s">
        <v>8287</v>
      </c>
      <c r="H227" s="8" t="s">
        <v>62</v>
      </c>
      <c r="I227" s="8"/>
    </row>
    <row r="228" customFormat="false" ht="15" hidden="false" customHeight="false" outlineLevel="0" collapsed="false">
      <c r="A228" s="4" t="s">
        <v>8872</v>
      </c>
      <c r="B228" s="4" t="n">
        <v>227</v>
      </c>
      <c r="C228" s="4" t="n">
        <v>359</v>
      </c>
      <c r="D228" s="8" t="s">
        <v>8378</v>
      </c>
      <c r="E228" s="8" t="s">
        <v>8873</v>
      </c>
      <c r="F228" s="8" t="s">
        <v>8874</v>
      </c>
      <c r="G228" s="8" t="s">
        <v>8287</v>
      </c>
      <c r="H228" s="8" t="s">
        <v>62</v>
      </c>
      <c r="I228" s="8"/>
    </row>
    <row r="229" customFormat="false" ht="15" hidden="false" customHeight="false" outlineLevel="0" collapsed="false">
      <c r="A229" s="4" t="s">
        <v>8875</v>
      </c>
      <c r="B229" s="4" t="n">
        <v>228</v>
      </c>
      <c r="C229" s="4" t="n">
        <v>363</v>
      </c>
      <c r="D229" s="8" t="s">
        <v>8410</v>
      </c>
      <c r="E229" s="8" t="s">
        <v>3354</v>
      </c>
      <c r="F229" s="8" t="s">
        <v>3355</v>
      </c>
      <c r="G229" s="8" t="s">
        <v>8287</v>
      </c>
      <c r="H229" s="8" t="s">
        <v>62</v>
      </c>
      <c r="I229" s="8"/>
    </row>
    <row r="230" customFormat="false" ht="15" hidden="false" customHeight="false" outlineLevel="0" collapsed="false">
      <c r="A230" s="4" t="s">
        <v>8876</v>
      </c>
      <c r="B230" s="4" t="n">
        <v>229</v>
      </c>
      <c r="C230" s="4" t="n">
        <v>366</v>
      </c>
      <c r="D230" s="8" t="s">
        <v>8410</v>
      </c>
      <c r="E230" s="8" t="s">
        <v>8877</v>
      </c>
      <c r="F230" s="8" t="s">
        <v>8878</v>
      </c>
      <c r="G230" s="8" t="s">
        <v>8287</v>
      </c>
      <c r="H230" s="8" t="s">
        <v>62</v>
      </c>
      <c r="I230" s="8"/>
    </row>
    <row r="231" customFormat="false" ht="15" hidden="false" customHeight="false" outlineLevel="0" collapsed="false">
      <c r="A231" s="4" t="s">
        <v>8879</v>
      </c>
      <c r="B231" s="4" t="n">
        <v>230</v>
      </c>
      <c r="C231" s="4" t="n">
        <v>367</v>
      </c>
      <c r="D231" s="8" t="s">
        <v>8291</v>
      </c>
      <c r="E231" s="8" t="s">
        <v>8880</v>
      </c>
      <c r="F231" s="8" t="s">
        <v>8881</v>
      </c>
      <c r="G231" s="8" t="s">
        <v>8287</v>
      </c>
      <c r="H231" s="8" t="s">
        <v>62</v>
      </c>
      <c r="I231" s="8"/>
    </row>
    <row r="232" customFormat="false" ht="15" hidden="false" customHeight="false" outlineLevel="0" collapsed="false">
      <c r="A232" s="4" t="s">
        <v>8882</v>
      </c>
      <c r="B232" s="4" t="n">
        <v>231</v>
      </c>
      <c r="C232" s="4" t="n">
        <v>368</v>
      </c>
      <c r="D232" s="8" t="s">
        <v>8396</v>
      </c>
      <c r="E232" s="8" t="s">
        <v>8883</v>
      </c>
      <c r="F232" s="8" t="s">
        <v>7070</v>
      </c>
      <c r="G232" s="8" t="s">
        <v>8287</v>
      </c>
      <c r="H232" s="8" t="s">
        <v>62</v>
      </c>
      <c r="I232" s="8"/>
    </row>
    <row r="233" customFormat="false" ht="15" hidden="false" customHeight="false" outlineLevel="0" collapsed="false">
      <c r="A233" s="4" t="s">
        <v>8884</v>
      </c>
      <c r="B233" s="4" t="n">
        <v>232</v>
      </c>
      <c r="C233" s="4" t="n">
        <v>369</v>
      </c>
      <c r="D233" s="8" t="s">
        <v>8291</v>
      </c>
      <c r="E233" s="8" t="s">
        <v>8885</v>
      </c>
      <c r="F233" s="8" t="s">
        <v>8753</v>
      </c>
      <c r="G233" s="8" t="s">
        <v>8287</v>
      </c>
      <c r="H233" s="8" t="s">
        <v>62</v>
      </c>
      <c r="I233" s="8"/>
    </row>
    <row r="234" customFormat="false" ht="15" hidden="false" customHeight="false" outlineLevel="0" collapsed="false">
      <c r="A234" s="4" t="s">
        <v>8886</v>
      </c>
      <c r="B234" s="4" t="n">
        <v>233</v>
      </c>
      <c r="C234" s="4" t="n">
        <v>372</v>
      </c>
      <c r="D234" s="8" t="s">
        <v>8410</v>
      </c>
      <c r="E234" s="8" t="s">
        <v>8887</v>
      </c>
      <c r="F234" s="8" t="s">
        <v>8888</v>
      </c>
      <c r="G234" s="8" t="s">
        <v>8287</v>
      </c>
      <c r="H234" s="8" t="s">
        <v>62</v>
      </c>
      <c r="I234" s="8"/>
    </row>
    <row r="235" customFormat="false" ht="15" hidden="false" customHeight="false" outlineLevel="0" collapsed="false">
      <c r="A235" s="4" t="s">
        <v>8889</v>
      </c>
      <c r="B235" s="4" t="n">
        <v>234</v>
      </c>
      <c r="C235" s="4" t="n">
        <v>374</v>
      </c>
      <c r="D235" s="8" t="s">
        <v>8415</v>
      </c>
      <c r="E235" s="8" t="s">
        <v>8890</v>
      </c>
      <c r="F235" s="8" t="s">
        <v>8891</v>
      </c>
      <c r="G235" s="8" t="s">
        <v>8287</v>
      </c>
      <c r="H235" s="8" t="s">
        <v>62</v>
      </c>
      <c r="I235" s="8"/>
    </row>
    <row r="236" customFormat="false" ht="15" hidden="false" customHeight="false" outlineLevel="0" collapsed="false">
      <c r="A236" s="4" t="s">
        <v>8892</v>
      </c>
      <c r="B236" s="4" t="n">
        <v>235</v>
      </c>
      <c r="C236" s="4" t="n">
        <v>375</v>
      </c>
      <c r="D236" s="8" t="s">
        <v>8291</v>
      </c>
      <c r="E236" s="8" t="s">
        <v>8893</v>
      </c>
      <c r="F236" s="8" t="s">
        <v>8894</v>
      </c>
      <c r="G236" s="8" t="s">
        <v>8287</v>
      </c>
      <c r="H236" s="8" t="s">
        <v>62</v>
      </c>
      <c r="I236" s="8"/>
    </row>
    <row r="237" customFormat="false" ht="15" hidden="false" customHeight="false" outlineLevel="0" collapsed="false">
      <c r="A237" s="4" t="s">
        <v>8895</v>
      </c>
      <c r="B237" s="4" t="n">
        <v>236</v>
      </c>
      <c r="C237" s="4" t="n">
        <v>381</v>
      </c>
      <c r="D237" s="8" t="s">
        <v>8410</v>
      </c>
      <c r="E237" s="8" t="s">
        <v>374</v>
      </c>
      <c r="F237" s="8" t="s">
        <v>375</v>
      </c>
      <c r="G237" s="8" t="s">
        <v>8287</v>
      </c>
      <c r="H237" s="8" t="s">
        <v>62</v>
      </c>
      <c r="I237" s="8"/>
    </row>
    <row r="238" customFormat="false" ht="15" hidden="false" customHeight="false" outlineLevel="0" collapsed="false">
      <c r="A238" s="4" t="s">
        <v>8896</v>
      </c>
      <c r="B238" s="4" t="n">
        <v>237</v>
      </c>
      <c r="C238" s="4" t="n">
        <v>382</v>
      </c>
      <c r="D238" s="8" t="s">
        <v>8504</v>
      </c>
      <c r="E238" s="8" t="s">
        <v>8897</v>
      </c>
      <c r="F238" s="8" t="s">
        <v>8898</v>
      </c>
      <c r="G238" s="8" t="s">
        <v>8287</v>
      </c>
      <c r="H238" s="8" t="s">
        <v>62</v>
      </c>
      <c r="I238" s="8"/>
    </row>
    <row r="239" customFormat="false" ht="15" hidden="false" customHeight="false" outlineLevel="0" collapsed="false">
      <c r="A239" s="4" t="s">
        <v>8899</v>
      </c>
      <c r="B239" s="4" t="n">
        <v>238</v>
      </c>
      <c r="C239" s="4" t="n">
        <v>383</v>
      </c>
      <c r="D239" s="8" t="s">
        <v>8410</v>
      </c>
      <c r="E239" s="8" t="s">
        <v>8900</v>
      </c>
      <c r="F239" s="8" t="s">
        <v>8901</v>
      </c>
      <c r="G239" s="8" t="s">
        <v>8287</v>
      </c>
      <c r="H239" s="8" t="s">
        <v>62</v>
      </c>
      <c r="I239" s="8"/>
    </row>
    <row r="240" customFormat="false" ht="15" hidden="false" customHeight="false" outlineLevel="0" collapsed="false">
      <c r="A240" s="4" t="s">
        <v>8902</v>
      </c>
      <c r="B240" s="4" t="n">
        <v>239</v>
      </c>
      <c r="C240" s="4" t="n">
        <v>384</v>
      </c>
      <c r="D240" s="8" t="s">
        <v>8323</v>
      </c>
      <c r="E240" s="8" t="s">
        <v>8903</v>
      </c>
      <c r="F240" s="8" t="s">
        <v>8904</v>
      </c>
      <c r="G240" s="8" t="s">
        <v>8287</v>
      </c>
      <c r="H240" s="8" t="s">
        <v>62</v>
      </c>
      <c r="I240" s="8"/>
    </row>
    <row r="241" customFormat="false" ht="15" hidden="false" customHeight="false" outlineLevel="0" collapsed="false">
      <c r="A241" s="4" t="s">
        <v>8905</v>
      </c>
      <c r="B241" s="4" t="n">
        <v>240</v>
      </c>
      <c r="C241" s="4" t="n">
        <v>385</v>
      </c>
      <c r="D241" s="8" t="s">
        <v>8415</v>
      </c>
      <c r="E241" s="8" t="s">
        <v>8906</v>
      </c>
      <c r="F241" s="8" t="s">
        <v>8907</v>
      </c>
      <c r="G241" s="8" t="s">
        <v>8287</v>
      </c>
      <c r="H241" s="8" t="s">
        <v>62</v>
      </c>
      <c r="I241" s="8"/>
    </row>
    <row r="242" customFormat="false" ht="15" hidden="false" customHeight="false" outlineLevel="0" collapsed="false">
      <c r="A242" s="4" t="s">
        <v>8908</v>
      </c>
      <c r="B242" s="4" t="n">
        <v>241</v>
      </c>
      <c r="C242" s="4" t="n">
        <v>386</v>
      </c>
      <c r="D242" s="8" t="s">
        <v>8415</v>
      </c>
      <c r="E242" s="8" t="s">
        <v>613</v>
      </c>
      <c r="F242" s="8" t="s">
        <v>614</v>
      </c>
      <c r="G242" s="8" t="s">
        <v>8287</v>
      </c>
      <c r="H242" s="8" t="s">
        <v>62</v>
      </c>
      <c r="I242" s="8"/>
    </row>
    <row r="243" customFormat="false" ht="15" hidden="false" customHeight="false" outlineLevel="0" collapsed="false">
      <c r="A243" s="4" t="s">
        <v>8909</v>
      </c>
      <c r="B243" s="4" t="n">
        <v>242</v>
      </c>
      <c r="C243" s="4" t="n">
        <v>387</v>
      </c>
      <c r="D243" s="8" t="s">
        <v>8389</v>
      </c>
      <c r="E243" s="8" t="s">
        <v>8910</v>
      </c>
      <c r="F243" s="8" t="s">
        <v>8911</v>
      </c>
      <c r="G243" s="8" t="s">
        <v>8287</v>
      </c>
      <c r="H243" s="8" t="s">
        <v>62</v>
      </c>
      <c r="I243" s="8"/>
    </row>
    <row r="244" customFormat="false" ht="15" hidden="false" customHeight="false" outlineLevel="0" collapsed="false">
      <c r="A244" s="4" t="s">
        <v>8912</v>
      </c>
      <c r="B244" s="4" t="n">
        <v>243</v>
      </c>
      <c r="C244" s="4" t="n">
        <v>388</v>
      </c>
      <c r="D244" s="8" t="s">
        <v>8410</v>
      </c>
      <c r="E244" s="8" t="s">
        <v>8913</v>
      </c>
      <c r="F244" s="8" t="s">
        <v>8914</v>
      </c>
      <c r="G244" s="8" t="s">
        <v>8287</v>
      </c>
      <c r="H244" s="8" t="s">
        <v>62</v>
      </c>
      <c r="I244" s="8"/>
    </row>
    <row r="245" customFormat="false" ht="15" hidden="false" customHeight="false" outlineLevel="0" collapsed="false">
      <c r="A245" s="4" t="s">
        <v>8915</v>
      </c>
      <c r="B245" s="4" t="n">
        <v>244</v>
      </c>
      <c r="C245" s="4" t="n">
        <v>395</v>
      </c>
      <c r="D245" s="8" t="s">
        <v>8474</v>
      </c>
      <c r="E245" s="8" t="s">
        <v>6496</v>
      </c>
      <c r="F245" s="8" t="s">
        <v>6497</v>
      </c>
      <c r="G245" s="8" t="s">
        <v>8474</v>
      </c>
      <c r="H245" s="8" t="s">
        <v>62</v>
      </c>
      <c r="I245" s="8"/>
    </row>
    <row r="246" customFormat="false" ht="15" hidden="false" customHeight="false" outlineLevel="0" collapsed="false">
      <c r="A246" s="4" t="s">
        <v>8916</v>
      </c>
      <c r="B246" s="4" t="n">
        <v>245</v>
      </c>
      <c r="C246" s="4" t="n">
        <v>396</v>
      </c>
      <c r="D246" s="8" t="s">
        <v>8410</v>
      </c>
      <c r="E246" s="8" t="s">
        <v>8917</v>
      </c>
      <c r="F246" s="8" t="s">
        <v>8918</v>
      </c>
      <c r="G246" s="8" t="s">
        <v>8287</v>
      </c>
      <c r="H246" s="8" t="s">
        <v>62</v>
      </c>
      <c r="I246" s="8"/>
    </row>
    <row r="247" customFormat="false" ht="15" hidden="false" customHeight="false" outlineLevel="0" collapsed="false">
      <c r="A247" s="4" t="s">
        <v>8919</v>
      </c>
      <c r="B247" s="4" t="n">
        <v>246</v>
      </c>
      <c r="C247" s="4" t="n">
        <v>397</v>
      </c>
      <c r="D247" s="8" t="s">
        <v>8410</v>
      </c>
      <c r="E247" s="8" t="s">
        <v>4745</v>
      </c>
      <c r="F247" s="8" t="s">
        <v>4746</v>
      </c>
      <c r="G247" s="8" t="s">
        <v>8287</v>
      </c>
      <c r="H247" s="8" t="s">
        <v>62</v>
      </c>
      <c r="I247" s="8"/>
    </row>
    <row r="248" customFormat="false" ht="15" hidden="false" customHeight="false" outlineLevel="0" collapsed="false">
      <c r="A248" s="4" t="s">
        <v>8920</v>
      </c>
      <c r="B248" s="4" t="n">
        <v>247</v>
      </c>
      <c r="C248" s="4" t="n">
        <v>399</v>
      </c>
      <c r="D248" s="8" t="s">
        <v>8410</v>
      </c>
      <c r="E248" s="8" t="s">
        <v>8921</v>
      </c>
      <c r="F248" s="8" t="s">
        <v>8922</v>
      </c>
      <c r="G248" s="8" t="s">
        <v>8287</v>
      </c>
      <c r="H248" s="8" t="s">
        <v>62</v>
      </c>
      <c r="I248" s="8"/>
    </row>
    <row r="249" customFormat="false" ht="15" hidden="false" customHeight="false" outlineLevel="0" collapsed="false">
      <c r="A249" s="4" t="s">
        <v>8923</v>
      </c>
      <c r="B249" s="4" t="n">
        <v>248</v>
      </c>
      <c r="C249" s="4" t="n">
        <v>401</v>
      </c>
      <c r="D249" s="8" t="s">
        <v>8410</v>
      </c>
      <c r="E249" s="8" t="s">
        <v>8924</v>
      </c>
      <c r="F249" s="8" t="s">
        <v>8925</v>
      </c>
      <c r="G249" s="8" t="s">
        <v>8287</v>
      </c>
      <c r="H249" s="8" t="s">
        <v>62</v>
      </c>
      <c r="I249" s="8"/>
    </row>
    <row r="250" customFormat="false" ht="15" hidden="false" customHeight="false" outlineLevel="0" collapsed="false">
      <c r="A250" s="4" t="s">
        <v>8926</v>
      </c>
      <c r="B250" s="4" t="n">
        <v>249</v>
      </c>
      <c r="C250" s="4" t="n">
        <v>408</v>
      </c>
      <c r="D250" s="8" t="s">
        <v>8474</v>
      </c>
      <c r="E250" s="8" t="s">
        <v>8927</v>
      </c>
      <c r="F250" s="8" t="s">
        <v>8928</v>
      </c>
      <c r="G250" s="8" t="s">
        <v>8474</v>
      </c>
      <c r="H250" s="8" t="s">
        <v>62</v>
      </c>
      <c r="I250" s="8"/>
    </row>
    <row r="251" customFormat="false" ht="15" hidden="false" customHeight="false" outlineLevel="0" collapsed="false">
      <c r="A251" s="4" t="s">
        <v>8929</v>
      </c>
      <c r="B251" s="4" t="n">
        <v>250</v>
      </c>
      <c r="C251" s="4" t="n">
        <v>409</v>
      </c>
      <c r="D251" s="8" t="s">
        <v>8410</v>
      </c>
      <c r="E251" s="8" t="s">
        <v>8930</v>
      </c>
      <c r="F251" s="8" t="s">
        <v>8931</v>
      </c>
      <c r="G251" s="8" t="s">
        <v>8287</v>
      </c>
      <c r="H251" s="8" t="s">
        <v>62</v>
      </c>
      <c r="I251" s="8"/>
    </row>
    <row r="252" customFormat="false" ht="15" hidden="false" customHeight="false" outlineLevel="0" collapsed="false">
      <c r="A252" s="4" t="s">
        <v>8932</v>
      </c>
      <c r="B252" s="4" t="n">
        <v>251</v>
      </c>
      <c r="C252" s="4" t="n">
        <v>412</v>
      </c>
      <c r="D252" s="8" t="s">
        <v>8389</v>
      </c>
      <c r="E252" s="8" t="s">
        <v>8933</v>
      </c>
      <c r="F252" s="8" t="s">
        <v>8934</v>
      </c>
      <c r="G252" s="8" t="s">
        <v>8287</v>
      </c>
      <c r="H252" s="8" t="s">
        <v>62</v>
      </c>
      <c r="I252" s="8"/>
    </row>
    <row r="253" customFormat="false" ht="15" hidden="false" customHeight="false" outlineLevel="0" collapsed="false">
      <c r="A253" s="4" t="s">
        <v>8935</v>
      </c>
      <c r="B253" s="4" t="n">
        <v>252</v>
      </c>
      <c r="C253" s="4" t="n">
        <v>413</v>
      </c>
      <c r="D253" s="8" t="s">
        <v>8389</v>
      </c>
      <c r="E253" s="8" t="s">
        <v>7216</v>
      </c>
      <c r="F253" s="8" t="s">
        <v>7217</v>
      </c>
      <c r="G253" s="8" t="s">
        <v>8287</v>
      </c>
      <c r="H253" s="8" t="s">
        <v>62</v>
      </c>
      <c r="I253" s="8"/>
    </row>
    <row r="254" customFormat="false" ht="15" hidden="false" customHeight="false" outlineLevel="0" collapsed="false">
      <c r="A254" s="4" t="s">
        <v>8936</v>
      </c>
      <c r="B254" s="4" t="n">
        <v>253</v>
      </c>
      <c r="C254" s="4" t="n">
        <v>415</v>
      </c>
      <c r="D254" s="8" t="s">
        <v>8305</v>
      </c>
      <c r="E254" s="8" t="s">
        <v>7109</v>
      </c>
      <c r="F254" s="8" t="s">
        <v>7110</v>
      </c>
      <c r="G254" s="8" t="s">
        <v>8287</v>
      </c>
      <c r="H254" s="8" t="s">
        <v>62</v>
      </c>
      <c r="I254" s="8"/>
    </row>
    <row r="255" customFormat="false" ht="15" hidden="false" customHeight="false" outlineLevel="0" collapsed="false">
      <c r="A255" s="4" t="s">
        <v>8937</v>
      </c>
      <c r="B255" s="4" t="n">
        <v>254</v>
      </c>
      <c r="C255" s="4" t="n">
        <v>418</v>
      </c>
      <c r="D255" s="8" t="s">
        <v>8323</v>
      </c>
      <c r="E255" s="8" t="s">
        <v>8938</v>
      </c>
      <c r="F255" s="8" t="s">
        <v>8939</v>
      </c>
      <c r="G255" s="8" t="s">
        <v>8287</v>
      </c>
      <c r="H255" s="8" t="s">
        <v>62</v>
      </c>
      <c r="I255" s="8"/>
    </row>
    <row r="256" customFormat="false" ht="15" hidden="false" customHeight="false" outlineLevel="0" collapsed="false">
      <c r="A256" s="4" t="s">
        <v>8940</v>
      </c>
      <c r="B256" s="4" t="n">
        <v>255</v>
      </c>
      <c r="C256" s="4" t="n">
        <v>421</v>
      </c>
      <c r="D256" s="8" t="s">
        <v>8396</v>
      </c>
      <c r="E256" s="8" t="s">
        <v>6511</v>
      </c>
      <c r="F256" s="8" t="s">
        <v>6512</v>
      </c>
      <c r="G256" s="8" t="s">
        <v>8287</v>
      </c>
      <c r="H256" s="8" t="s">
        <v>62</v>
      </c>
      <c r="I256" s="8"/>
    </row>
    <row r="257" customFormat="false" ht="15" hidden="false" customHeight="false" outlineLevel="0" collapsed="false">
      <c r="A257" s="4" t="s">
        <v>8941</v>
      </c>
      <c r="B257" s="4" t="n">
        <v>256</v>
      </c>
      <c r="C257" s="4" t="n">
        <v>424</v>
      </c>
      <c r="D257" s="8" t="s">
        <v>8504</v>
      </c>
      <c r="E257" s="8" t="s">
        <v>8942</v>
      </c>
      <c r="F257" s="8" t="s">
        <v>6795</v>
      </c>
      <c r="G257" s="8" t="s">
        <v>8287</v>
      </c>
      <c r="H257" s="8" t="s">
        <v>62</v>
      </c>
      <c r="I257" s="8"/>
    </row>
    <row r="258" customFormat="false" ht="15" hidden="false" customHeight="false" outlineLevel="0" collapsed="false">
      <c r="A258" s="4" t="s">
        <v>8943</v>
      </c>
      <c r="B258" s="4" t="n">
        <v>257</v>
      </c>
      <c r="C258" s="4" t="n">
        <v>426</v>
      </c>
      <c r="D258" s="8" t="s">
        <v>8389</v>
      </c>
      <c r="E258" s="8" t="s">
        <v>8944</v>
      </c>
      <c r="F258" s="8" t="s">
        <v>8945</v>
      </c>
      <c r="G258" s="8" t="s">
        <v>8287</v>
      </c>
      <c r="H258" s="8" t="s">
        <v>62</v>
      </c>
      <c r="I258" s="8"/>
    </row>
    <row r="259" customFormat="false" ht="15" hidden="false" customHeight="false" outlineLevel="0" collapsed="false">
      <c r="A259" s="4" t="s">
        <v>8946</v>
      </c>
      <c r="B259" s="4" t="n">
        <v>258</v>
      </c>
      <c r="C259" s="4" t="n">
        <v>427</v>
      </c>
      <c r="D259" s="8" t="s">
        <v>8389</v>
      </c>
      <c r="E259" s="8" t="s">
        <v>8947</v>
      </c>
      <c r="F259" s="8" t="s">
        <v>8624</v>
      </c>
      <c r="G259" s="8" t="s">
        <v>8287</v>
      </c>
      <c r="H259" s="8" t="s">
        <v>62</v>
      </c>
      <c r="I259" s="8"/>
    </row>
    <row r="260" customFormat="false" ht="15" hidden="false" customHeight="false" outlineLevel="0" collapsed="false">
      <c r="A260" s="4" t="s">
        <v>8948</v>
      </c>
      <c r="B260" s="4" t="n">
        <v>259</v>
      </c>
      <c r="C260" s="4" t="n">
        <v>429</v>
      </c>
      <c r="D260" s="8" t="s">
        <v>8410</v>
      </c>
      <c r="E260" s="8" t="s">
        <v>1200</v>
      </c>
      <c r="F260" s="8" t="s">
        <v>8949</v>
      </c>
      <c r="G260" s="8" t="s">
        <v>8287</v>
      </c>
      <c r="H260" s="8" t="s">
        <v>62</v>
      </c>
      <c r="I260" s="8"/>
    </row>
    <row r="261" customFormat="false" ht="15" hidden="false" customHeight="false" outlineLevel="0" collapsed="false">
      <c r="A261" s="4" t="s">
        <v>8950</v>
      </c>
      <c r="B261" s="4" t="n">
        <v>260</v>
      </c>
      <c r="C261" s="4" t="n">
        <v>431</v>
      </c>
      <c r="D261" s="8" t="s">
        <v>8389</v>
      </c>
      <c r="E261" s="8" t="s">
        <v>6602</v>
      </c>
      <c r="F261" s="8" t="s">
        <v>8951</v>
      </c>
      <c r="G261" s="8" t="s">
        <v>8287</v>
      </c>
      <c r="H261" s="8" t="s">
        <v>62</v>
      </c>
      <c r="I261" s="8"/>
    </row>
    <row r="262" customFormat="false" ht="15" hidden="false" customHeight="false" outlineLevel="0" collapsed="false">
      <c r="A262" s="4" t="s">
        <v>8952</v>
      </c>
      <c r="B262" s="4" t="n">
        <v>261</v>
      </c>
      <c r="C262" s="4" t="n">
        <v>439</v>
      </c>
      <c r="D262" s="8" t="s">
        <v>8410</v>
      </c>
      <c r="E262" s="8" t="s">
        <v>8953</v>
      </c>
      <c r="F262" s="8" t="s">
        <v>8954</v>
      </c>
      <c r="G262" s="8" t="s">
        <v>8287</v>
      </c>
      <c r="H262" s="8" t="s">
        <v>62</v>
      </c>
      <c r="I262" s="8"/>
    </row>
    <row r="263" customFormat="false" ht="15" hidden="false" customHeight="false" outlineLevel="0" collapsed="false">
      <c r="A263" s="4" t="s">
        <v>8955</v>
      </c>
      <c r="B263" s="4" t="n">
        <v>262</v>
      </c>
      <c r="C263" s="4" t="n">
        <v>440</v>
      </c>
      <c r="D263" s="8" t="s">
        <v>8410</v>
      </c>
      <c r="E263" s="8" t="s">
        <v>8956</v>
      </c>
      <c r="F263" s="8" t="s">
        <v>8957</v>
      </c>
      <c r="G263" s="8" t="s">
        <v>8287</v>
      </c>
      <c r="H263" s="8" t="s">
        <v>62</v>
      </c>
      <c r="I263" s="8"/>
    </row>
    <row r="264" customFormat="false" ht="15" hidden="false" customHeight="false" outlineLevel="0" collapsed="false">
      <c r="A264" s="4" t="s">
        <v>8958</v>
      </c>
      <c r="B264" s="4" t="n">
        <v>263</v>
      </c>
      <c r="C264" s="4" t="n">
        <v>443</v>
      </c>
      <c r="D264" s="8" t="s">
        <v>8305</v>
      </c>
      <c r="E264" s="8" t="s">
        <v>8959</v>
      </c>
      <c r="F264" s="8" t="s">
        <v>8960</v>
      </c>
      <c r="G264" s="8" t="s">
        <v>8287</v>
      </c>
      <c r="H264" s="8" t="s">
        <v>62</v>
      </c>
      <c r="I264" s="8"/>
    </row>
    <row r="265" customFormat="false" ht="15" hidden="false" customHeight="false" outlineLevel="0" collapsed="false">
      <c r="A265" s="4" t="s">
        <v>8961</v>
      </c>
      <c r="B265" s="4" t="n">
        <v>264</v>
      </c>
      <c r="C265" s="4" t="n">
        <v>444</v>
      </c>
      <c r="D265" s="8" t="s">
        <v>8410</v>
      </c>
      <c r="E265" s="8" t="s">
        <v>8962</v>
      </c>
      <c r="F265" s="8" t="s">
        <v>8963</v>
      </c>
      <c r="G265" s="8" t="s">
        <v>8287</v>
      </c>
      <c r="H265" s="8" t="s">
        <v>62</v>
      </c>
      <c r="I265" s="8"/>
    </row>
    <row r="266" customFormat="false" ht="15" hidden="false" customHeight="false" outlineLevel="0" collapsed="false">
      <c r="A266" s="4" t="s">
        <v>8964</v>
      </c>
      <c r="B266" s="4" t="n">
        <v>265</v>
      </c>
      <c r="C266" s="4" t="n">
        <v>453</v>
      </c>
      <c r="D266" s="8" t="s">
        <v>8410</v>
      </c>
      <c r="E266" s="8" t="s">
        <v>8965</v>
      </c>
      <c r="F266" s="8" t="s">
        <v>8966</v>
      </c>
      <c r="G266" s="8" t="s">
        <v>8287</v>
      </c>
      <c r="H266" s="8" t="s">
        <v>62</v>
      </c>
      <c r="I266" s="8"/>
    </row>
    <row r="267" customFormat="false" ht="15" hidden="false" customHeight="false" outlineLevel="0" collapsed="false">
      <c r="A267" s="4" t="s">
        <v>8967</v>
      </c>
      <c r="B267" s="4" t="n">
        <v>266</v>
      </c>
      <c r="C267" s="4" t="n">
        <v>454</v>
      </c>
      <c r="D267" s="8" t="s">
        <v>8389</v>
      </c>
      <c r="E267" s="8" t="s">
        <v>8968</v>
      </c>
      <c r="F267" s="8" t="s">
        <v>8969</v>
      </c>
      <c r="G267" s="8" t="s">
        <v>8287</v>
      </c>
      <c r="H267" s="8" t="s">
        <v>62</v>
      </c>
      <c r="I267" s="8"/>
    </row>
    <row r="268" customFormat="false" ht="15" hidden="false" customHeight="false" outlineLevel="0" collapsed="false">
      <c r="A268" s="4" t="s">
        <v>8970</v>
      </c>
      <c r="B268" s="4" t="n">
        <v>267</v>
      </c>
      <c r="C268" s="4" t="n">
        <v>455</v>
      </c>
      <c r="D268" s="8" t="s">
        <v>8396</v>
      </c>
      <c r="E268" s="8" t="s">
        <v>8971</v>
      </c>
      <c r="F268" s="8" t="s">
        <v>8972</v>
      </c>
      <c r="G268" s="8" t="s">
        <v>8287</v>
      </c>
      <c r="H268" s="8" t="s">
        <v>62</v>
      </c>
      <c r="I268" s="8"/>
    </row>
    <row r="269" customFormat="false" ht="15" hidden="false" customHeight="false" outlineLevel="0" collapsed="false">
      <c r="A269" s="4" t="s">
        <v>8973</v>
      </c>
      <c r="B269" s="4" t="n">
        <v>268</v>
      </c>
      <c r="C269" s="4" t="n">
        <v>456</v>
      </c>
      <c r="D269" s="8" t="s">
        <v>8415</v>
      </c>
      <c r="E269" s="8" t="s">
        <v>575</v>
      </c>
      <c r="F269" s="8" t="s">
        <v>576</v>
      </c>
      <c r="G269" s="8" t="s">
        <v>8287</v>
      </c>
      <c r="H269" s="8" t="s">
        <v>62</v>
      </c>
      <c r="I269" s="8"/>
    </row>
    <row r="270" customFormat="false" ht="15" hidden="false" customHeight="false" outlineLevel="0" collapsed="false">
      <c r="A270" s="4" t="s">
        <v>8974</v>
      </c>
      <c r="B270" s="4" t="n">
        <v>269</v>
      </c>
      <c r="C270" s="4" t="n">
        <v>459</v>
      </c>
      <c r="D270" s="8" t="s">
        <v>8291</v>
      </c>
      <c r="E270" s="8" t="s">
        <v>7064</v>
      </c>
      <c r="F270" s="8" t="s">
        <v>7065</v>
      </c>
      <c r="G270" s="8" t="s">
        <v>8287</v>
      </c>
      <c r="H270" s="8" t="s">
        <v>62</v>
      </c>
      <c r="I270" s="8"/>
    </row>
    <row r="271" customFormat="false" ht="15" hidden="false" customHeight="false" outlineLevel="0" collapsed="false">
      <c r="A271" s="4" t="s">
        <v>8975</v>
      </c>
      <c r="B271" s="4" t="n">
        <v>270</v>
      </c>
      <c r="C271" s="4" t="n">
        <v>461</v>
      </c>
      <c r="D271" s="8" t="s">
        <v>8410</v>
      </c>
      <c r="E271" s="8" t="s">
        <v>8976</v>
      </c>
      <c r="F271" s="8" t="s">
        <v>8977</v>
      </c>
      <c r="G271" s="8" t="s">
        <v>8287</v>
      </c>
      <c r="H271" s="8" t="s">
        <v>62</v>
      </c>
      <c r="I271" s="8"/>
    </row>
    <row r="272" customFormat="false" ht="15" hidden="false" customHeight="false" outlineLevel="0" collapsed="false">
      <c r="A272" s="4" t="s">
        <v>8978</v>
      </c>
      <c r="B272" s="4" t="n">
        <v>271</v>
      </c>
      <c r="C272" s="4" t="n">
        <v>465</v>
      </c>
      <c r="D272" s="8" t="s">
        <v>8291</v>
      </c>
      <c r="E272" s="8" t="s">
        <v>8979</v>
      </c>
      <c r="F272" s="8" t="s">
        <v>8980</v>
      </c>
      <c r="G272" s="8" t="s">
        <v>8287</v>
      </c>
      <c r="H272" s="8" t="s">
        <v>62</v>
      </c>
      <c r="I272" s="8"/>
    </row>
    <row r="273" customFormat="false" ht="15" hidden="false" customHeight="false" outlineLevel="0" collapsed="false">
      <c r="A273" s="4" t="s">
        <v>8981</v>
      </c>
      <c r="B273" s="4" t="n">
        <v>272</v>
      </c>
      <c r="C273" s="4" t="n">
        <v>466</v>
      </c>
      <c r="D273" s="8" t="s">
        <v>8410</v>
      </c>
      <c r="E273" s="8" t="s">
        <v>8982</v>
      </c>
      <c r="F273" s="8" t="s">
        <v>8983</v>
      </c>
      <c r="G273" s="8" t="s">
        <v>8287</v>
      </c>
      <c r="H273" s="8" t="s">
        <v>62</v>
      </c>
      <c r="I273" s="8"/>
    </row>
    <row r="274" customFormat="false" ht="15" hidden="false" customHeight="false" outlineLevel="0" collapsed="false">
      <c r="A274" s="4" t="s">
        <v>8984</v>
      </c>
      <c r="B274" s="4" t="n">
        <v>273</v>
      </c>
      <c r="C274" s="4" t="n">
        <v>467</v>
      </c>
      <c r="D274" s="8" t="s">
        <v>8396</v>
      </c>
      <c r="E274" s="8" t="s">
        <v>8985</v>
      </c>
      <c r="F274" s="8" t="s">
        <v>8986</v>
      </c>
      <c r="G274" s="8" t="s">
        <v>8287</v>
      </c>
      <c r="H274" s="8" t="s">
        <v>62</v>
      </c>
      <c r="I274" s="8"/>
    </row>
    <row r="275" customFormat="false" ht="15" hidden="false" customHeight="false" outlineLevel="0" collapsed="false">
      <c r="A275" s="4" t="s">
        <v>8987</v>
      </c>
      <c r="B275" s="4" t="n">
        <v>274</v>
      </c>
      <c r="C275" s="4" t="n">
        <v>468</v>
      </c>
      <c r="D275" s="8" t="s">
        <v>8389</v>
      </c>
      <c r="E275" s="8" t="s">
        <v>8988</v>
      </c>
      <c r="F275" s="8" t="s">
        <v>8989</v>
      </c>
      <c r="G275" s="8" t="s">
        <v>8287</v>
      </c>
      <c r="H275" s="8" t="s">
        <v>62</v>
      </c>
      <c r="I275" s="8"/>
    </row>
    <row r="276" customFormat="false" ht="15" hidden="false" customHeight="false" outlineLevel="0" collapsed="false">
      <c r="A276" s="4" t="s">
        <v>8990</v>
      </c>
      <c r="B276" s="4" t="n">
        <v>275</v>
      </c>
      <c r="C276" s="4" t="n">
        <v>476</v>
      </c>
      <c r="D276" s="8" t="s">
        <v>8378</v>
      </c>
      <c r="E276" s="8" t="s">
        <v>8991</v>
      </c>
      <c r="F276" s="8" t="s">
        <v>8992</v>
      </c>
      <c r="G276" s="8" t="s">
        <v>8287</v>
      </c>
      <c r="H276" s="8" t="s">
        <v>62</v>
      </c>
      <c r="I276" s="8"/>
    </row>
    <row r="277" customFormat="false" ht="15" hidden="false" customHeight="false" outlineLevel="0" collapsed="false">
      <c r="A277" s="4" t="s">
        <v>8993</v>
      </c>
      <c r="B277" s="4" t="n">
        <v>276</v>
      </c>
      <c r="C277" s="4" t="n">
        <v>478</v>
      </c>
      <c r="D277" s="8" t="s">
        <v>8378</v>
      </c>
      <c r="E277" s="8" t="s">
        <v>8994</v>
      </c>
      <c r="F277" s="8" t="s">
        <v>8995</v>
      </c>
      <c r="G277" s="8" t="s">
        <v>8287</v>
      </c>
      <c r="H277" s="8" t="s">
        <v>62</v>
      </c>
      <c r="I277" s="8"/>
    </row>
    <row r="278" customFormat="false" ht="15" hidden="false" customHeight="false" outlineLevel="0" collapsed="false">
      <c r="A278" s="4" t="s">
        <v>8996</v>
      </c>
      <c r="B278" s="4" t="n">
        <v>277</v>
      </c>
      <c r="C278" s="4" t="n">
        <v>481</v>
      </c>
      <c r="D278" s="8" t="s">
        <v>8410</v>
      </c>
      <c r="E278" s="8" t="s">
        <v>8997</v>
      </c>
      <c r="F278" s="8" t="s">
        <v>8998</v>
      </c>
      <c r="G278" s="8" t="s">
        <v>8287</v>
      </c>
      <c r="H278" s="8" t="s">
        <v>62</v>
      </c>
      <c r="I278" s="8"/>
    </row>
    <row r="279" customFormat="false" ht="15" hidden="false" customHeight="false" outlineLevel="0" collapsed="false">
      <c r="A279" s="4" t="s">
        <v>8999</v>
      </c>
      <c r="B279" s="4" t="n">
        <v>278</v>
      </c>
      <c r="C279" s="4" t="n">
        <v>482</v>
      </c>
      <c r="D279" s="8" t="s">
        <v>8378</v>
      </c>
      <c r="E279" s="8" t="s">
        <v>9000</v>
      </c>
      <c r="F279" s="8" t="s">
        <v>9001</v>
      </c>
      <c r="G279" s="8" t="s">
        <v>8287</v>
      </c>
      <c r="H279" s="8" t="s">
        <v>62</v>
      </c>
      <c r="I279" s="8"/>
    </row>
    <row r="280" customFormat="false" ht="15" hidden="false" customHeight="false" outlineLevel="0" collapsed="false">
      <c r="A280" s="4" t="s">
        <v>9002</v>
      </c>
      <c r="B280" s="4" t="n">
        <v>279</v>
      </c>
      <c r="C280" s="4" t="n">
        <v>486</v>
      </c>
      <c r="D280" s="8" t="s">
        <v>8389</v>
      </c>
      <c r="E280" s="8" t="s">
        <v>9003</v>
      </c>
      <c r="F280" s="8" t="s">
        <v>9004</v>
      </c>
      <c r="G280" s="8" t="s">
        <v>8287</v>
      </c>
      <c r="H280" s="8" t="s">
        <v>62</v>
      </c>
      <c r="I280" s="8"/>
    </row>
    <row r="281" customFormat="false" ht="15" hidden="false" customHeight="false" outlineLevel="0" collapsed="false">
      <c r="A281" s="4" t="s">
        <v>9005</v>
      </c>
      <c r="B281" s="4" t="n">
        <v>280</v>
      </c>
      <c r="C281" s="4" t="n">
        <v>488</v>
      </c>
      <c r="D281" s="8" t="s">
        <v>8389</v>
      </c>
      <c r="E281" s="8" t="s">
        <v>9006</v>
      </c>
      <c r="F281" s="8" t="s">
        <v>9007</v>
      </c>
      <c r="G281" s="8" t="s">
        <v>8287</v>
      </c>
      <c r="H281" s="8" t="s">
        <v>62</v>
      </c>
      <c r="I281" s="8"/>
    </row>
    <row r="282" customFormat="false" ht="15" hidden="false" customHeight="false" outlineLevel="0" collapsed="false">
      <c r="A282" s="4" t="s">
        <v>9008</v>
      </c>
      <c r="B282" s="4" t="n">
        <v>281</v>
      </c>
      <c r="C282" s="4" t="n">
        <v>489</v>
      </c>
      <c r="D282" s="8" t="s">
        <v>8389</v>
      </c>
      <c r="E282" s="8" t="s">
        <v>9009</v>
      </c>
      <c r="F282" s="8" t="s">
        <v>9010</v>
      </c>
      <c r="G282" s="8" t="s">
        <v>8287</v>
      </c>
      <c r="H282" s="8" t="s">
        <v>62</v>
      </c>
      <c r="I282" s="8"/>
    </row>
    <row r="283" customFormat="false" ht="15" hidden="false" customHeight="false" outlineLevel="0" collapsed="false">
      <c r="A283" s="4" t="s">
        <v>9011</v>
      </c>
      <c r="B283" s="4" t="n">
        <v>282</v>
      </c>
      <c r="C283" s="4" t="n">
        <v>490</v>
      </c>
      <c r="D283" s="8" t="s">
        <v>8415</v>
      </c>
      <c r="E283" s="8" t="s">
        <v>9012</v>
      </c>
      <c r="F283" s="8" t="s">
        <v>8647</v>
      </c>
      <c r="G283" s="8" t="s">
        <v>8287</v>
      </c>
      <c r="H283" s="8" t="s">
        <v>62</v>
      </c>
      <c r="I283" s="8"/>
    </row>
    <row r="284" customFormat="false" ht="15" hidden="false" customHeight="false" outlineLevel="0" collapsed="false">
      <c r="A284" s="4" t="s">
        <v>9013</v>
      </c>
      <c r="B284" s="4" t="n">
        <v>283</v>
      </c>
      <c r="C284" s="4" t="n">
        <v>493</v>
      </c>
      <c r="D284" s="8" t="s">
        <v>8504</v>
      </c>
      <c r="E284" s="8" t="s">
        <v>9014</v>
      </c>
      <c r="F284" s="8" t="s">
        <v>9015</v>
      </c>
      <c r="G284" s="8" t="s">
        <v>8287</v>
      </c>
      <c r="H284" s="8" t="s">
        <v>62</v>
      </c>
      <c r="I284" s="8"/>
    </row>
    <row r="285" customFormat="false" ht="15" hidden="false" customHeight="false" outlineLevel="0" collapsed="false">
      <c r="A285" s="4" t="s">
        <v>9016</v>
      </c>
      <c r="B285" s="4" t="n">
        <v>284</v>
      </c>
      <c r="C285" s="4" t="n">
        <v>499</v>
      </c>
      <c r="D285" s="8" t="s">
        <v>8389</v>
      </c>
      <c r="E285" s="8" t="s">
        <v>9017</v>
      </c>
      <c r="F285" s="8" t="s">
        <v>9018</v>
      </c>
      <c r="G285" s="8" t="s">
        <v>8287</v>
      </c>
      <c r="H285" s="8" t="s">
        <v>62</v>
      </c>
      <c r="I285" s="8"/>
    </row>
    <row r="286" customFormat="false" ht="15" hidden="false" customHeight="false" outlineLevel="0" collapsed="false">
      <c r="A286" s="4" t="s">
        <v>9019</v>
      </c>
      <c r="B286" s="4" t="n">
        <v>285</v>
      </c>
      <c r="C286" s="4" t="n">
        <v>501</v>
      </c>
      <c r="D286" s="8" t="s">
        <v>8378</v>
      </c>
      <c r="E286" s="8" t="s">
        <v>1591</v>
      </c>
      <c r="F286" s="8" t="s">
        <v>9020</v>
      </c>
      <c r="G286" s="8" t="s">
        <v>8287</v>
      </c>
      <c r="H286" s="8" t="s">
        <v>62</v>
      </c>
      <c r="I286" s="8"/>
    </row>
    <row r="287" customFormat="false" ht="15" hidden="false" customHeight="false" outlineLevel="0" collapsed="false">
      <c r="A287" s="4" t="s">
        <v>9021</v>
      </c>
      <c r="B287" s="4" t="n">
        <v>286</v>
      </c>
      <c r="C287" s="4" t="n">
        <v>502</v>
      </c>
      <c r="D287" s="8" t="s">
        <v>8410</v>
      </c>
      <c r="E287" s="8" t="s">
        <v>9022</v>
      </c>
      <c r="F287" s="8" t="s">
        <v>9023</v>
      </c>
      <c r="G287" s="8" t="s">
        <v>8287</v>
      </c>
      <c r="H287" s="8" t="s">
        <v>62</v>
      </c>
      <c r="I287" s="8"/>
    </row>
    <row r="288" customFormat="false" ht="15" hidden="false" customHeight="false" outlineLevel="0" collapsed="false">
      <c r="A288" s="4" t="s">
        <v>9024</v>
      </c>
      <c r="B288" s="4" t="n">
        <v>287</v>
      </c>
      <c r="C288" s="4" t="n">
        <v>504</v>
      </c>
      <c r="D288" s="8" t="s">
        <v>8389</v>
      </c>
      <c r="E288" s="8" t="s">
        <v>181</v>
      </c>
      <c r="F288" s="8" t="s">
        <v>182</v>
      </c>
      <c r="G288" s="8" t="s">
        <v>8287</v>
      </c>
      <c r="H288" s="8" t="s">
        <v>62</v>
      </c>
      <c r="I288" s="8"/>
    </row>
    <row r="289" customFormat="false" ht="15" hidden="false" customHeight="false" outlineLevel="0" collapsed="false">
      <c r="A289" s="4" t="s">
        <v>9025</v>
      </c>
      <c r="B289" s="4" t="n">
        <v>288</v>
      </c>
      <c r="C289" s="4" t="n">
        <v>508</v>
      </c>
      <c r="D289" s="8" t="s">
        <v>8396</v>
      </c>
      <c r="E289" s="8" t="s">
        <v>6748</v>
      </c>
      <c r="F289" s="8" t="s">
        <v>6730</v>
      </c>
      <c r="G289" s="8" t="s">
        <v>8287</v>
      </c>
      <c r="H289" s="8" t="s">
        <v>62</v>
      </c>
      <c r="I289" s="8"/>
    </row>
    <row r="290" customFormat="false" ht="15" hidden="false" customHeight="false" outlineLevel="0" collapsed="false">
      <c r="A290" s="4" t="s">
        <v>9026</v>
      </c>
      <c r="B290" s="4" t="n">
        <v>289</v>
      </c>
      <c r="C290" s="4" t="n">
        <v>510</v>
      </c>
      <c r="D290" s="8" t="s">
        <v>8396</v>
      </c>
      <c r="E290" s="8" t="s">
        <v>9027</v>
      </c>
      <c r="F290" s="8" t="s">
        <v>7088</v>
      </c>
      <c r="G290" s="8" t="s">
        <v>8287</v>
      </c>
      <c r="H290" s="8" t="s">
        <v>62</v>
      </c>
      <c r="I290" s="8"/>
    </row>
    <row r="291" customFormat="false" ht="15" hidden="false" customHeight="false" outlineLevel="0" collapsed="false">
      <c r="A291" s="4" t="s">
        <v>9028</v>
      </c>
      <c r="B291" s="4" t="n">
        <v>290</v>
      </c>
      <c r="C291" s="4" t="n">
        <v>512</v>
      </c>
      <c r="D291" s="8" t="s">
        <v>8378</v>
      </c>
      <c r="E291" s="8" t="s">
        <v>9029</v>
      </c>
      <c r="F291" s="8" t="s">
        <v>9030</v>
      </c>
      <c r="G291" s="8" t="s">
        <v>8287</v>
      </c>
      <c r="H291" s="8" t="s">
        <v>62</v>
      </c>
      <c r="I291" s="8"/>
    </row>
    <row r="292" customFormat="false" ht="15" hidden="false" customHeight="false" outlineLevel="0" collapsed="false">
      <c r="A292" s="4" t="s">
        <v>9031</v>
      </c>
      <c r="B292" s="4" t="n">
        <v>291</v>
      </c>
      <c r="C292" s="4" t="n">
        <v>515</v>
      </c>
      <c r="D292" s="8" t="s">
        <v>8389</v>
      </c>
      <c r="E292" s="8" t="s">
        <v>9032</v>
      </c>
      <c r="F292" s="8" t="s">
        <v>9033</v>
      </c>
      <c r="G292" s="8" t="s">
        <v>8287</v>
      </c>
      <c r="H292" s="8" t="s">
        <v>62</v>
      </c>
      <c r="I292" s="8"/>
    </row>
    <row r="293" customFormat="false" ht="15" hidden="false" customHeight="false" outlineLevel="0" collapsed="false">
      <c r="A293" s="4" t="s">
        <v>9034</v>
      </c>
      <c r="B293" s="4" t="n">
        <v>292</v>
      </c>
      <c r="C293" s="4" t="n">
        <v>516</v>
      </c>
      <c r="D293" s="8" t="s">
        <v>8378</v>
      </c>
      <c r="E293" s="8" t="s">
        <v>9035</v>
      </c>
      <c r="F293" s="8" t="s">
        <v>9036</v>
      </c>
      <c r="G293" s="8" t="s">
        <v>8287</v>
      </c>
      <c r="H293" s="8" t="s">
        <v>62</v>
      </c>
      <c r="I293" s="8"/>
    </row>
    <row r="294" customFormat="false" ht="15" hidden="false" customHeight="false" outlineLevel="0" collapsed="false">
      <c r="A294" s="4" t="s">
        <v>9037</v>
      </c>
      <c r="B294" s="4" t="n">
        <v>293</v>
      </c>
      <c r="C294" s="4" t="n">
        <v>519</v>
      </c>
      <c r="D294" s="8" t="s">
        <v>8389</v>
      </c>
      <c r="E294" s="8" t="s">
        <v>9038</v>
      </c>
      <c r="F294" s="8" t="s">
        <v>9039</v>
      </c>
      <c r="G294" s="8" t="s">
        <v>8287</v>
      </c>
      <c r="H294" s="8" t="s">
        <v>62</v>
      </c>
      <c r="I294" s="8"/>
    </row>
    <row r="295" customFormat="false" ht="15" hidden="false" customHeight="false" outlineLevel="0" collapsed="false">
      <c r="A295" s="4" t="s">
        <v>9040</v>
      </c>
      <c r="B295" s="4" t="n">
        <v>294</v>
      </c>
      <c r="C295" s="4" t="n">
        <v>521</v>
      </c>
      <c r="D295" s="8" t="s">
        <v>8415</v>
      </c>
      <c r="E295" s="8" t="s">
        <v>9041</v>
      </c>
      <c r="F295" s="8" t="s">
        <v>9042</v>
      </c>
      <c r="G295" s="8" t="s">
        <v>8287</v>
      </c>
      <c r="H295" s="8" t="s">
        <v>62</v>
      </c>
      <c r="I295" s="8"/>
    </row>
    <row r="296" customFormat="false" ht="15" hidden="false" customHeight="false" outlineLevel="0" collapsed="false">
      <c r="A296" s="4" t="s">
        <v>9043</v>
      </c>
      <c r="B296" s="4" t="n">
        <v>295</v>
      </c>
      <c r="C296" s="4" t="n">
        <v>522</v>
      </c>
      <c r="D296" s="8" t="s">
        <v>8396</v>
      </c>
      <c r="E296" s="8" t="s">
        <v>9044</v>
      </c>
      <c r="F296" s="8" t="s">
        <v>9045</v>
      </c>
      <c r="G296" s="8" t="s">
        <v>8287</v>
      </c>
      <c r="H296" s="8" t="s">
        <v>62</v>
      </c>
      <c r="I296" s="8"/>
    </row>
    <row r="297" customFormat="false" ht="15" hidden="false" customHeight="false" outlineLevel="0" collapsed="false">
      <c r="A297" s="4" t="s">
        <v>9046</v>
      </c>
      <c r="B297" s="4" t="n">
        <v>296</v>
      </c>
      <c r="C297" s="4" t="n">
        <v>523</v>
      </c>
      <c r="D297" s="8" t="s">
        <v>8410</v>
      </c>
      <c r="E297" s="8" t="s">
        <v>491</v>
      </c>
      <c r="F297" s="8" t="s">
        <v>9047</v>
      </c>
      <c r="G297" s="8" t="s">
        <v>8287</v>
      </c>
      <c r="H297" s="8" t="s">
        <v>62</v>
      </c>
      <c r="I297" s="8"/>
    </row>
    <row r="298" customFormat="false" ht="15" hidden="false" customHeight="false" outlineLevel="0" collapsed="false">
      <c r="A298" s="4" t="s">
        <v>9048</v>
      </c>
      <c r="B298" s="4" t="n">
        <v>297</v>
      </c>
      <c r="C298" s="4" t="n">
        <v>526</v>
      </c>
      <c r="D298" s="8" t="s">
        <v>8410</v>
      </c>
      <c r="E298" s="8" t="s">
        <v>9049</v>
      </c>
      <c r="F298" s="8" t="s">
        <v>9050</v>
      </c>
      <c r="G298" s="8" t="s">
        <v>8287</v>
      </c>
      <c r="H298" s="8" t="s">
        <v>62</v>
      </c>
      <c r="I298" s="8"/>
    </row>
    <row r="299" customFormat="false" ht="15" hidden="false" customHeight="false" outlineLevel="0" collapsed="false">
      <c r="A299" s="4" t="s">
        <v>9051</v>
      </c>
      <c r="B299" s="4" t="n">
        <v>298</v>
      </c>
      <c r="C299" s="4" t="n">
        <v>532</v>
      </c>
      <c r="D299" s="8" t="s">
        <v>8410</v>
      </c>
      <c r="E299" s="8" t="s">
        <v>5888</v>
      </c>
      <c r="F299" s="8" t="s">
        <v>5889</v>
      </c>
      <c r="G299" s="8" t="s">
        <v>8287</v>
      </c>
      <c r="H299" s="8" t="s">
        <v>62</v>
      </c>
      <c r="I299" s="8"/>
    </row>
    <row r="300" customFormat="false" ht="15" hidden="false" customHeight="false" outlineLevel="0" collapsed="false">
      <c r="A300" s="4" t="s">
        <v>9052</v>
      </c>
      <c r="B300" s="4" t="n">
        <v>299</v>
      </c>
      <c r="C300" s="4" t="n">
        <v>534</v>
      </c>
      <c r="D300" s="8" t="s">
        <v>8415</v>
      </c>
      <c r="E300" s="8" t="s">
        <v>9053</v>
      </c>
      <c r="F300" s="8" t="s">
        <v>9054</v>
      </c>
      <c r="G300" s="8" t="s">
        <v>8287</v>
      </c>
      <c r="H300" s="8" t="s">
        <v>62</v>
      </c>
      <c r="I300" s="8"/>
    </row>
    <row r="301" customFormat="false" ht="15" hidden="false" customHeight="false" outlineLevel="0" collapsed="false">
      <c r="A301" s="4" t="s">
        <v>9055</v>
      </c>
      <c r="B301" s="4" t="n">
        <v>300</v>
      </c>
      <c r="C301" s="4" t="n">
        <v>539</v>
      </c>
      <c r="D301" s="8" t="s">
        <v>8415</v>
      </c>
      <c r="E301" s="8" t="s">
        <v>6733</v>
      </c>
      <c r="F301" s="8" t="s">
        <v>9056</v>
      </c>
      <c r="G301" s="8" t="s">
        <v>8287</v>
      </c>
      <c r="H301" s="8" t="s">
        <v>62</v>
      </c>
      <c r="I301" s="8"/>
    </row>
    <row r="302" customFormat="false" ht="15" hidden="false" customHeight="false" outlineLevel="0" collapsed="false">
      <c r="A302" s="4" t="s">
        <v>9057</v>
      </c>
      <c r="B302" s="4" t="n">
        <v>301</v>
      </c>
      <c r="C302" s="4" t="n">
        <v>543</v>
      </c>
      <c r="D302" s="8" t="s">
        <v>8474</v>
      </c>
      <c r="E302" s="8" t="s">
        <v>1260</v>
      </c>
      <c r="F302" s="8" t="s">
        <v>9058</v>
      </c>
      <c r="G302" s="8" t="s">
        <v>8474</v>
      </c>
      <c r="H302" s="8" t="s">
        <v>62</v>
      </c>
      <c r="I302" s="8"/>
    </row>
    <row r="303" customFormat="false" ht="15" hidden="false" customHeight="false" outlineLevel="0" collapsed="false">
      <c r="A303" s="4" t="s">
        <v>9059</v>
      </c>
      <c r="B303" s="4" t="n">
        <v>302</v>
      </c>
      <c r="C303" s="4" t="n">
        <v>545</v>
      </c>
      <c r="D303" s="8" t="s">
        <v>8410</v>
      </c>
      <c r="E303" s="8" t="s">
        <v>9060</v>
      </c>
      <c r="F303" s="8" t="s">
        <v>9061</v>
      </c>
      <c r="G303" s="8" t="s">
        <v>8287</v>
      </c>
      <c r="H303" s="8" t="s">
        <v>62</v>
      </c>
      <c r="I303" s="8"/>
    </row>
    <row r="304" customFormat="false" ht="15" hidden="false" customHeight="false" outlineLevel="0" collapsed="false">
      <c r="A304" s="4" t="s">
        <v>9062</v>
      </c>
      <c r="B304" s="4" t="n">
        <v>303</v>
      </c>
      <c r="C304" s="4" t="n">
        <v>550</v>
      </c>
      <c r="D304" s="8" t="s">
        <v>8396</v>
      </c>
      <c r="E304" s="8" t="s">
        <v>9063</v>
      </c>
      <c r="F304" s="8" t="s">
        <v>9064</v>
      </c>
      <c r="G304" s="8" t="s">
        <v>8287</v>
      </c>
      <c r="H304" s="8" t="s">
        <v>62</v>
      </c>
      <c r="I304" s="8"/>
    </row>
    <row r="305" customFormat="false" ht="15" hidden="false" customHeight="false" outlineLevel="0" collapsed="false">
      <c r="A305" s="4" t="s">
        <v>9065</v>
      </c>
      <c r="B305" s="4" t="n">
        <v>304</v>
      </c>
      <c r="C305" s="4" t="n">
        <v>560</v>
      </c>
      <c r="D305" s="8" t="s">
        <v>8410</v>
      </c>
      <c r="E305" s="8" t="s">
        <v>5409</v>
      </c>
      <c r="F305" s="8" t="s">
        <v>5410</v>
      </c>
      <c r="G305" s="8" t="s">
        <v>8287</v>
      </c>
      <c r="H305" s="8" t="s">
        <v>62</v>
      </c>
      <c r="I305" s="8"/>
    </row>
    <row r="306" customFormat="false" ht="15" hidden="false" customHeight="false" outlineLevel="0" collapsed="false">
      <c r="A306" s="4" t="s">
        <v>9066</v>
      </c>
      <c r="B306" s="4" t="n">
        <v>305</v>
      </c>
      <c r="C306" s="4" t="n">
        <v>564</v>
      </c>
      <c r="D306" s="8" t="s">
        <v>8396</v>
      </c>
      <c r="E306" s="8" t="s">
        <v>9067</v>
      </c>
      <c r="F306" s="8" t="s">
        <v>9068</v>
      </c>
      <c r="G306" s="8" t="s">
        <v>8287</v>
      </c>
      <c r="H306" s="8" t="s">
        <v>62</v>
      </c>
      <c r="I306" s="8"/>
    </row>
    <row r="307" customFormat="false" ht="15" hidden="false" customHeight="false" outlineLevel="0" collapsed="false">
      <c r="A307" s="4" t="s">
        <v>9069</v>
      </c>
      <c r="B307" s="4" t="n">
        <v>306</v>
      </c>
      <c r="C307" s="4" t="n">
        <v>567</v>
      </c>
      <c r="D307" s="8" t="s">
        <v>8410</v>
      </c>
      <c r="E307" s="8" t="s">
        <v>9070</v>
      </c>
      <c r="F307" s="8" t="s">
        <v>9071</v>
      </c>
      <c r="G307" s="8" t="s">
        <v>8287</v>
      </c>
      <c r="H307" s="8" t="s">
        <v>62</v>
      </c>
      <c r="I307" s="8"/>
    </row>
    <row r="308" customFormat="false" ht="15" hidden="false" customHeight="false" outlineLevel="0" collapsed="false">
      <c r="A308" s="4" t="s">
        <v>9072</v>
      </c>
      <c r="B308" s="4" t="n">
        <v>307</v>
      </c>
      <c r="C308" s="4" t="n">
        <v>569</v>
      </c>
      <c r="D308" s="8" t="s">
        <v>8435</v>
      </c>
      <c r="E308" s="8" t="s">
        <v>449</v>
      </c>
      <c r="F308" s="8" t="s">
        <v>450</v>
      </c>
      <c r="G308" s="8" t="s">
        <v>8287</v>
      </c>
      <c r="H308" s="8" t="s">
        <v>62</v>
      </c>
      <c r="I308" s="8"/>
    </row>
    <row r="309" customFormat="false" ht="15" hidden="false" customHeight="false" outlineLevel="0" collapsed="false">
      <c r="A309" s="4" t="s">
        <v>9073</v>
      </c>
      <c r="B309" s="4" t="n">
        <v>308</v>
      </c>
      <c r="C309" s="4" t="n">
        <v>570</v>
      </c>
      <c r="D309" s="8" t="s">
        <v>8396</v>
      </c>
      <c r="E309" s="8" t="s">
        <v>9074</v>
      </c>
      <c r="F309" s="8" t="s">
        <v>6477</v>
      </c>
      <c r="G309" s="8" t="s">
        <v>8287</v>
      </c>
      <c r="H309" s="8" t="s">
        <v>62</v>
      </c>
      <c r="I309" s="8"/>
    </row>
    <row r="310" customFormat="false" ht="15" hidden="false" customHeight="false" outlineLevel="0" collapsed="false">
      <c r="A310" s="4" t="s">
        <v>9075</v>
      </c>
      <c r="B310" s="4" t="n">
        <v>309</v>
      </c>
      <c r="C310" s="4" t="n">
        <v>579</v>
      </c>
      <c r="D310" s="8" t="s">
        <v>8415</v>
      </c>
      <c r="E310" s="8" t="s">
        <v>197</v>
      </c>
      <c r="F310" s="8" t="s">
        <v>198</v>
      </c>
      <c r="G310" s="8" t="s">
        <v>8287</v>
      </c>
      <c r="H310" s="8" t="s">
        <v>62</v>
      </c>
      <c r="I310" s="8"/>
    </row>
    <row r="311" customFormat="false" ht="15" hidden="false" customHeight="false" outlineLevel="0" collapsed="false">
      <c r="A311" s="4" t="s">
        <v>9076</v>
      </c>
      <c r="B311" s="4" t="n">
        <v>310</v>
      </c>
      <c r="C311" s="4" t="n">
        <v>583</v>
      </c>
      <c r="D311" s="8" t="s">
        <v>8323</v>
      </c>
      <c r="E311" s="8" t="s">
        <v>9077</v>
      </c>
      <c r="F311" s="8" t="s">
        <v>9078</v>
      </c>
      <c r="G311" s="8" t="s">
        <v>8287</v>
      </c>
      <c r="H311" s="8" t="s">
        <v>62</v>
      </c>
      <c r="I311" s="8"/>
    </row>
    <row r="312" customFormat="false" ht="15" hidden="false" customHeight="false" outlineLevel="0" collapsed="false">
      <c r="A312" s="4" t="s">
        <v>9079</v>
      </c>
      <c r="B312" s="4" t="n">
        <v>311</v>
      </c>
      <c r="C312" s="4" t="n">
        <v>584</v>
      </c>
      <c r="D312" s="8" t="s">
        <v>8504</v>
      </c>
      <c r="E312" s="8" t="s">
        <v>9080</v>
      </c>
      <c r="F312" s="8" t="s">
        <v>9081</v>
      </c>
      <c r="G312" s="8" t="s">
        <v>8287</v>
      </c>
      <c r="H312" s="8" t="s">
        <v>62</v>
      </c>
      <c r="I312" s="8"/>
    </row>
    <row r="313" customFormat="false" ht="15" hidden="false" customHeight="false" outlineLevel="0" collapsed="false">
      <c r="A313" s="4" t="s">
        <v>9082</v>
      </c>
      <c r="B313" s="4" t="n">
        <v>312</v>
      </c>
      <c r="C313" s="4" t="n">
        <v>591</v>
      </c>
      <c r="D313" s="8" t="s">
        <v>8410</v>
      </c>
      <c r="E313" s="8" t="s">
        <v>562</v>
      </c>
      <c r="F313" s="8" t="s">
        <v>563</v>
      </c>
      <c r="G313" s="8" t="s">
        <v>8287</v>
      </c>
      <c r="H313" s="8" t="s">
        <v>62</v>
      </c>
      <c r="I313" s="8"/>
    </row>
    <row r="314" customFormat="false" ht="15" hidden="false" customHeight="false" outlineLevel="0" collapsed="false">
      <c r="A314" s="4" t="s">
        <v>9083</v>
      </c>
      <c r="B314" s="4" t="n">
        <v>313</v>
      </c>
      <c r="C314" s="4" t="n">
        <v>594</v>
      </c>
      <c r="D314" s="8" t="s">
        <v>8378</v>
      </c>
      <c r="E314" s="8" t="s">
        <v>9084</v>
      </c>
      <c r="F314" s="8" t="s">
        <v>9085</v>
      </c>
      <c r="G314" s="8" t="s">
        <v>8287</v>
      </c>
      <c r="H314" s="8" t="s">
        <v>62</v>
      </c>
      <c r="I314" s="8"/>
    </row>
    <row r="315" customFormat="false" ht="15" hidden="false" customHeight="false" outlineLevel="0" collapsed="false">
      <c r="A315" s="4" t="s">
        <v>9086</v>
      </c>
      <c r="B315" s="4" t="n">
        <v>314</v>
      </c>
      <c r="C315" s="4" t="n">
        <v>596</v>
      </c>
      <c r="D315" s="8" t="s">
        <v>8323</v>
      </c>
      <c r="E315" s="8" t="s">
        <v>2220</v>
      </c>
      <c r="F315" s="8" t="s">
        <v>9087</v>
      </c>
      <c r="G315" s="8" t="s">
        <v>8287</v>
      </c>
      <c r="H315" s="8" t="s">
        <v>62</v>
      </c>
      <c r="I315" s="8"/>
    </row>
    <row r="316" customFormat="false" ht="15" hidden="false" customHeight="false" outlineLevel="0" collapsed="false">
      <c r="A316" s="4" t="s">
        <v>9088</v>
      </c>
      <c r="B316" s="4" t="n">
        <v>315</v>
      </c>
      <c r="C316" s="4" t="n">
        <v>597</v>
      </c>
      <c r="D316" s="8" t="s">
        <v>8415</v>
      </c>
      <c r="E316" s="8" t="s">
        <v>9089</v>
      </c>
      <c r="F316" s="8" t="s">
        <v>9090</v>
      </c>
      <c r="G316" s="8" t="s">
        <v>8287</v>
      </c>
      <c r="H316" s="8" t="s">
        <v>62</v>
      </c>
      <c r="I316" s="8"/>
    </row>
    <row r="317" customFormat="false" ht="15" hidden="false" customHeight="false" outlineLevel="0" collapsed="false">
      <c r="A317" s="4" t="s">
        <v>9091</v>
      </c>
      <c r="B317" s="4" t="n">
        <v>316</v>
      </c>
      <c r="C317" s="4" t="n">
        <v>599</v>
      </c>
      <c r="D317" s="8" t="s">
        <v>9092</v>
      </c>
      <c r="E317" s="8" t="s">
        <v>9093</v>
      </c>
      <c r="F317" s="8" t="s">
        <v>9094</v>
      </c>
      <c r="G317" s="8" t="s">
        <v>8287</v>
      </c>
      <c r="H317" s="8" t="s">
        <v>62</v>
      </c>
      <c r="I317" s="8"/>
    </row>
    <row r="318" customFormat="false" ht="15" hidden="false" customHeight="false" outlineLevel="0" collapsed="false">
      <c r="A318" s="4" t="s">
        <v>9095</v>
      </c>
      <c r="B318" s="4" t="n">
        <v>317</v>
      </c>
      <c r="C318" s="4" t="n">
        <v>600</v>
      </c>
      <c r="D318" s="8" t="s">
        <v>8378</v>
      </c>
      <c r="E318" s="8" t="s">
        <v>9096</v>
      </c>
      <c r="F318" s="8" t="s">
        <v>9097</v>
      </c>
      <c r="G318" s="8" t="s">
        <v>8287</v>
      </c>
      <c r="H318" s="8" t="s">
        <v>62</v>
      </c>
      <c r="I318" s="8"/>
    </row>
    <row r="319" customFormat="false" ht="15" hidden="false" customHeight="false" outlineLevel="0" collapsed="false">
      <c r="A319" s="4" t="s">
        <v>9098</v>
      </c>
      <c r="B319" s="4" t="n">
        <v>318</v>
      </c>
      <c r="C319" s="4" t="n">
        <v>602</v>
      </c>
      <c r="D319" s="8" t="s">
        <v>8389</v>
      </c>
      <c r="E319" s="8" t="s">
        <v>135</v>
      </c>
      <c r="F319" s="8" t="s">
        <v>9099</v>
      </c>
      <c r="G319" s="8" t="s">
        <v>8287</v>
      </c>
      <c r="H319" s="8" t="s">
        <v>62</v>
      </c>
      <c r="I319" s="8"/>
    </row>
    <row r="320" customFormat="false" ht="15" hidden="false" customHeight="false" outlineLevel="0" collapsed="false">
      <c r="A320" s="4" t="s">
        <v>9100</v>
      </c>
      <c r="B320" s="4" t="n">
        <v>319</v>
      </c>
      <c r="C320" s="4" t="n">
        <v>606</v>
      </c>
      <c r="D320" s="8" t="s">
        <v>8410</v>
      </c>
      <c r="E320" s="8" t="s">
        <v>9101</v>
      </c>
      <c r="F320" s="8" t="s">
        <v>9102</v>
      </c>
      <c r="G320" s="8" t="s">
        <v>8287</v>
      </c>
      <c r="H320" s="8" t="s">
        <v>62</v>
      </c>
      <c r="I320" s="8"/>
    </row>
    <row r="321" customFormat="false" ht="15" hidden="false" customHeight="false" outlineLevel="0" collapsed="false">
      <c r="A321" s="4" t="s">
        <v>9103</v>
      </c>
      <c r="B321" s="4" t="n">
        <v>320</v>
      </c>
      <c r="C321" s="4" t="n">
        <v>616</v>
      </c>
      <c r="D321" s="8" t="s">
        <v>8415</v>
      </c>
      <c r="E321" s="8" t="s">
        <v>9104</v>
      </c>
      <c r="F321" s="8" t="s">
        <v>9105</v>
      </c>
      <c r="G321" s="8" t="s">
        <v>8287</v>
      </c>
      <c r="H321" s="8" t="s">
        <v>62</v>
      </c>
      <c r="I321" s="8"/>
    </row>
    <row r="322" customFormat="false" ht="15" hidden="false" customHeight="false" outlineLevel="0" collapsed="false">
      <c r="A322" s="4" t="s">
        <v>9106</v>
      </c>
      <c r="B322" s="4" t="n">
        <v>321</v>
      </c>
      <c r="C322" s="4" t="n">
        <v>623</v>
      </c>
      <c r="D322" s="8" t="s">
        <v>8389</v>
      </c>
      <c r="E322" s="8" t="s">
        <v>9107</v>
      </c>
      <c r="F322" s="8" t="s">
        <v>9108</v>
      </c>
      <c r="G322" s="8" t="s">
        <v>8287</v>
      </c>
      <c r="H322" s="8" t="s">
        <v>62</v>
      </c>
      <c r="I322" s="8"/>
    </row>
    <row r="323" customFormat="false" ht="15" hidden="false" customHeight="false" outlineLevel="0" collapsed="false">
      <c r="A323" s="4" t="s">
        <v>9109</v>
      </c>
      <c r="B323" s="4" t="n">
        <v>322</v>
      </c>
      <c r="C323" s="4" t="n">
        <v>624</v>
      </c>
      <c r="D323" s="8" t="s">
        <v>8415</v>
      </c>
      <c r="E323" s="8" t="s">
        <v>9110</v>
      </c>
      <c r="F323" s="8" t="s">
        <v>9111</v>
      </c>
      <c r="G323" s="8" t="s">
        <v>8287</v>
      </c>
      <c r="H323" s="8" t="s">
        <v>62</v>
      </c>
      <c r="I323" s="8"/>
    </row>
    <row r="324" customFormat="false" ht="15" hidden="false" customHeight="false" outlineLevel="0" collapsed="false">
      <c r="A324" s="4" t="s">
        <v>9112</v>
      </c>
      <c r="B324" s="4" t="n">
        <v>323</v>
      </c>
      <c r="C324" s="4" t="n">
        <v>627</v>
      </c>
      <c r="D324" s="8" t="s">
        <v>8378</v>
      </c>
      <c r="E324" s="8" t="s">
        <v>9113</v>
      </c>
      <c r="F324" s="8" t="s">
        <v>9114</v>
      </c>
      <c r="G324" s="8" t="s">
        <v>8287</v>
      </c>
      <c r="H324" s="8" t="s">
        <v>62</v>
      </c>
      <c r="I324" s="8"/>
    </row>
    <row r="325" customFormat="false" ht="15" hidden="false" customHeight="false" outlineLevel="0" collapsed="false">
      <c r="A325" s="4" t="s">
        <v>9115</v>
      </c>
      <c r="B325" s="4" t="n">
        <v>324</v>
      </c>
      <c r="C325" s="4" t="n">
        <v>628</v>
      </c>
      <c r="D325" s="8" t="s">
        <v>8396</v>
      </c>
      <c r="E325" s="8" t="s">
        <v>1193</v>
      </c>
      <c r="F325" s="8" t="s">
        <v>9116</v>
      </c>
      <c r="G325" s="8" t="s">
        <v>8287</v>
      </c>
      <c r="H325" s="8" t="s">
        <v>62</v>
      </c>
      <c r="I325" s="8"/>
    </row>
    <row r="326" customFormat="false" ht="15" hidden="false" customHeight="false" outlineLevel="0" collapsed="false">
      <c r="A326" s="4" t="s">
        <v>9117</v>
      </c>
      <c r="B326" s="4" t="n">
        <v>325</v>
      </c>
      <c r="C326" s="4" t="n">
        <v>629</v>
      </c>
      <c r="D326" s="8" t="s">
        <v>8410</v>
      </c>
      <c r="E326" s="8" t="s">
        <v>328</v>
      </c>
      <c r="F326" s="8" t="s">
        <v>329</v>
      </c>
      <c r="G326" s="8" t="s">
        <v>8287</v>
      </c>
      <c r="H326" s="8" t="s">
        <v>62</v>
      </c>
      <c r="I326" s="8"/>
    </row>
    <row r="327" customFormat="false" ht="15" hidden="false" customHeight="false" outlineLevel="0" collapsed="false">
      <c r="A327" s="4" t="s">
        <v>9118</v>
      </c>
      <c r="B327" s="4" t="n">
        <v>326</v>
      </c>
      <c r="C327" s="4" t="n">
        <v>631</v>
      </c>
      <c r="D327" s="8" t="s">
        <v>8396</v>
      </c>
      <c r="E327" s="8" t="s">
        <v>9119</v>
      </c>
      <c r="F327" s="8" t="s">
        <v>9120</v>
      </c>
      <c r="G327" s="8" t="s">
        <v>8287</v>
      </c>
      <c r="H327" s="8" t="s">
        <v>62</v>
      </c>
      <c r="I327" s="8"/>
    </row>
    <row r="328" customFormat="false" ht="15" hidden="false" customHeight="false" outlineLevel="0" collapsed="false">
      <c r="A328" s="4" t="s">
        <v>9121</v>
      </c>
      <c r="B328" s="4" t="n">
        <v>327</v>
      </c>
      <c r="C328" s="4" t="n">
        <v>632</v>
      </c>
      <c r="D328" s="8" t="s">
        <v>8291</v>
      </c>
      <c r="E328" s="8" t="s">
        <v>3439</v>
      </c>
      <c r="F328" s="8" t="s">
        <v>9122</v>
      </c>
      <c r="G328" s="8" t="s">
        <v>8287</v>
      </c>
      <c r="H328" s="8" t="s">
        <v>62</v>
      </c>
      <c r="I328" s="8"/>
    </row>
    <row r="329" customFormat="false" ht="15" hidden="false" customHeight="false" outlineLevel="0" collapsed="false">
      <c r="A329" s="4" t="s">
        <v>9123</v>
      </c>
      <c r="B329" s="4" t="n">
        <v>328</v>
      </c>
      <c r="C329" s="4" t="n">
        <v>636</v>
      </c>
      <c r="D329" s="8" t="s">
        <v>8389</v>
      </c>
      <c r="E329" s="8" t="s">
        <v>9124</v>
      </c>
      <c r="F329" s="8" t="s">
        <v>9125</v>
      </c>
      <c r="G329" s="8" t="s">
        <v>8287</v>
      </c>
      <c r="H329" s="8" t="s">
        <v>62</v>
      </c>
      <c r="I329" s="8"/>
    </row>
    <row r="330" customFormat="false" ht="15" hidden="false" customHeight="false" outlineLevel="0" collapsed="false">
      <c r="A330" s="4" t="s">
        <v>9126</v>
      </c>
      <c r="B330" s="4" t="n">
        <v>329</v>
      </c>
      <c r="C330" s="4" t="n">
        <v>637</v>
      </c>
      <c r="D330" s="8" t="s">
        <v>8396</v>
      </c>
      <c r="E330" s="8" t="s">
        <v>1251</v>
      </c>
      <c r="F330" s="8" t="s">
        <v>1252</v>
      </c>
      <c r="G330" s="8" t="s">
        <v>8287</v>
      </c>
      <c r="H330" s="8" t="s">
        <v>62</v>
      </c>
      <c r="I330" s="8"/>
    </row>
    <row r="331" customFormat="false" ht="15" hidden="false" customHeight="false" outlineLevel="0" collapsed="false">
      <c r="A331" s="4" t="s">
        <v>9127</v>
      </c>
      <c r="B331" s="4" t="n">
        <v>330</v>
      </c>
      <c r="C331" s="4" t="n">
        <v>640</v>
      </c>
      <c r="D331" s="8" t="s">
        <v>8410</v>
      </c>
      <c r="E331" s="8" t="s">
        <v>9128</v>
      </c>
      <c r="F331" s="8" t="s">
        <v>9129</v>
      </c>
      <c r="G331" s="8" t="s">
        <v>8287</v>
      </c>
      <c r="H331" s="8" t="s">
        <v>62</v>
      </c>
      <c r="I331" s="8"/>
    </row>
    <row r="332" customFormat="false" ht="15" hidden="false" customHeight="false" outlineLevel="0" collapsed="false">
      <c r="A332" s="4" t="s">
        <v>9130</v>
      </c>
      <c r="B332" s="4" t="n">
        <v>331</v>
      </c>
      <c r="C332" s="4" t="n">
        <v>641</v>
      </c>
      <c r="D332" s="8" t="s">
        <v>8410</v>
      </c>
      <c r="E332" s="8" t="s">
        <v>9131</v>
      </c>
      <c r="F332" s="8" t="s">
        <v>9132</v>
      </c>
      <c r="G332" s="8" t="s">
        <v>8287</v>
      </c>
      <c r="H332" s="8" t="s">
        <v>62</v>
      </c>
      <c r="I332" s="8"/>
    </row>
    <row r="333" customFormat="false" ht="15" hidden="false" customHeight="false" outlineLevel="0" collapsed="false">
      <c r="A333" s="4" t="s">
        <v>9133</v>
      </c>
      <c r="B333" s="4" t="n">
        <v>332</v>
      </c>
      <c r="C333" s="4" t="n">
        <v>642</v>
      </c>
      <c r="D333" s="8" t="s">
        <v>8415</v>
      </c>
      <c r="E333" s="8" t="s">
        <v>9134</v>
      </c>
      <c r="F333" s="8" t="s">
        <v>9135</v>
      </c>
      <c r="G333" s="8" t="s">
        <v>8287</v>
      </c>
      <c r="H333" s="8" t="s">
        <v>62</v>
      </c>
      <c r="I333" s="8"/>
    </row>
    <row r="334" customFormat="false" ht="15" hidden="false" customHeight="false" outlineLevel="0" collapsed="false">
      <c r="A334" s="4" t="s">
        <v>9136</v>
      </c>
      <c r="B334" s="4" t="n">
        <v>333</v>
      </c>
      <c r="C334" s="4" t="n">
        <v>646</v>
      </c>
      <c r="D334" s="8" t="s">
        <v>8323</v>
      </c>
      <c r="E334" s="8" t="s">
        <v>2329</v>
      </c>
      <c r="F334" s="8" t="s">
        <v>9137</v>
      </c>
      <c r="G334" s="8" t="s">
        <v>8287</v>
      </c>
      <c r="H334" s="8" t="s">
        <v>62</v>
      </c>
      <c r="I334" s="8"/>
    </row>
    <row r="335" customFormat="false" ht="15" hidden="false" customHeight="false" outlineLevel="0" collapsed="false">
      <c r="A335" s="4" t="s">
        <v>9138</v>
      </c>
      <c r="B335" s="4" t="n">
        <v>334</v>
      </c>
      <c r="C335" s="4" t="n">
        <v>652</v>
      </c>
      <c r="D335" s="8" t="s">
        <v>8396</v>
      </c>
      <c r="E335" s="8" t="s">
        <v>9139</v>
      </c>
      <c r="F335" s="8" t="s">
        <v>9140</v>
      </c>
      <c r="G335" s="8" t="s">
        <v>8287</v>
      </c>
      <c r="H335" s="8" t="s">
        <v>62</v>
      </c>
      <c r="I335" s="8"/>
    </row>
    <row r="336" customFormat="false" ht="15" hidden="false" customHeight="false" outlineLevel="0" collapsed="false">
      <c r="A336" s="4" t="s">
        <v>9141</v>
      </c>
      <c r="B336" s="4" t="n">
        <v>335</v>
      </c>
      <c r="C336" s="4" t="n">
        <v>657</v>
      </c>
      <c r="D336" s="8" t="s">
        <v>8410</v>
      </c>
      <c r="E336" s="8" t="s">
        <v>168</v>
      </c>
      <c r="F336" s="8" t="s">
        <v>169</v>
      </c>
      <c r="G336" s="8" t="s">
        <v>8287</v>
      </c>
      <c r="H336" s="8" t="s">
        <v>62</v>
      </c>
      <c r="I336" s="8"/>
    </row>
    <row r="337" customFormat="false" ht="15" hidden="false" customHeight="false" outlineLevel="0" collapsed="false">
      <c r="A337" s="4" t="s">
        <v>9142</v>
      </c>
      <c r="B337" s="4" t="n">
        <v>336</v>
      </c>
      <c r="C337" s="4" t="n">
        <v>659</v>
      </c>
      <c r="D337" s="8" t="s">
        <v>8415</v>
      </c>
      <c r="E337" s="8" t="s">
        <v>9143</v>
      </c>
      <c r="F337" s="8" t="s">
        <v>9144</v>
      </c>
      <c r="G337" s="8" t="s">
        <v>8287</v>
      </c>
      <c r="H337" s="8" t="s">
        <v>62</v>
      </c>
      <c r="I337" s="8"/>
    </row>
    <row r="338" customFormat="false" ht="15" hidden="false" customHeight="false" outlineLevel="0" collapsed="false">
      <c r="A338" s="4" t="s">
        <v>9145</v>
      </c>
      <c r="B338" s="4" t="n">
        <v>337</v>
      </c>
      <c r="C338" s="4" t="n">
        <v>660</v>
      </c>
      <c r="D338" s="8" t="s">
        <v>8410</v>
      </c>
      <c r="E338" s="8" t="s">
        <v>9146</v>
      </c>
      <c r="F338" s="8" t="s">
        <v>9147</v>
      </c>
      <c r="G338" s="8" t="s">
        <v>8287</v>
      </c>
      <c r="H338" s="8" t="s">
        <v>62</v>
      </c>
      <c r="I338" s="8"/>
    </row>
    <row r="339" customFormat="false" ht="15" hidden="false" customHeight="false" outlineLevel="0" collapsed="false">
      <c r="A339" s="4" t="s">
        <v>9148</v>
      </c>
      <c r="B339" s="4" t="n">
        <v>338</v>
      </c>
      <c r="C339" s="4" t="n">
        <v>661</v>
      </c>
      <c r="D339" s="8" t="s">
        <v>8410</v>
      </c>
      <c r="E339" s="8" t="s">
        <v>9149</v>
      </c>
      <c r="F339" s="8" t="s">
        <v>9150</v>
      </c>
      <c r="G339" s="8" t="s">
        <v>8287</v>
      </c>
      <c r="H339" s="8" t="s">
        <v>62</v>
      </c>
      <c r="I339" s="8"/>
    </row>
    <row r="340" customFormat="false" ht="15" hidden="false" customHeight="false" outlineLevel="0" collapsed="false">
      <c r="A340" s="4" t="s">
        <v>9151</v>
      </c>
      <c r="B340" s="4" t="n">
        <v>339</v>
      </c>
      <c r="C340" s="4" t="n">
        <v>662</v>
      </c>
      <c r="D340" s="8" t="s">
        <v>8415</v>
      </c>
      <c r="E340" s="8" t="s">
        <v>6332</v>
      </c>
      <c r="F340" s="8" t="s">
        <v>6333</v>
      </c>
      <c r="G340" s="8" t="s">
        <v>8287</v>
      </c>
      <c r="H340" s="8" t="s">
        <v>62</v>
      </c>
      <c r="I340" s="8"/>
    </row>
    <row r="341" customFormat="false" ht="15" hidden="false" customHeight="false" outlineLevel="0" collapsed="false">
      <c r="A341" s="4" t="s">
        <v>9152</v>
      </c>
      <c r="B341" s="4" t="n">
        <v>340</v>
      </c>
      <c r="C341" s="4" t="n">
        <v>664</v>
      </c>
      <c r="D341" s="8" t="s">
        <v>8378</v>
      </c>
      <c r="E341" s="8" t="s">
        <v>9153</v>
      </c>
      <c r="F341" s="8" t="s">
        <v>9154</v>
      </c>
      <c r="G341" s="8" t="s">
        <v>8287</v>
      </c>
      <c r="H341" s="8" t="s">
        <v>62</v>
      </c>
      <c r="I341" s="8"/>
    </row>
    <row r="342" customFormat="false" ht="15" hidden="false" customHeight="false" outlineLevel="0" collapsed="false">
      <c r="A342" s="4" t="s">
        <v>9155</v>
      </c>
      <c r="B342" s="4" t="n">
        <v>341</v>
      </c>
      <c r="C342" s="4" t="n">
        <v>666</v>
      </c>
      <c r="D342" s="8" t="s">
        <v>8389</v>
      </c>
      <c r="E342" s="8" t="s">
        <v>5230</v>
      </c>
      <c r="F342" s="8" t="s">
        <v>5231</v>
      </c>
      <c r="G342" s="8" t="s">
        <v>8287</v>
      </c>
      <c r="H342" s="8" t="s">
        <v>62</v>
      </c>
      <c r="I342" s="8"/>
    </row>
    <row r="343" customFormat="false" ht="15" hidden="false" customHeight="false" outlineLevel="0" collapsed="false">
      <c r="A343" s="4" t="s">
        <v>9156</v>
      </c>
      <c r="B343" s="4" t="n">
        <v>342</v>
      </c>
      <c r="C343" s="4" t="n">
        <v>669</v>
      </c>
      <c r="D343" s="8" t="s">
        <v>8389</v>
      </c>
      <c r="E343" s="8" t="s">
        <v>350</v>
      </c>
      <c r="F343" s="8" t="s">
        <v>351</v>
      </c>
      <c r="G343" s="8" t="s">
        <v>8287</v>
      </c>
      <c r="H343" s="8" t="s">
        <v>62</v>
      </c>
      <c r="I343" s="8"/>
    </row>
    <row r="344" customFormat="false" ht="15" hidden="false" customHeight="false" outlineLevel="0" collapsed="false">
      <c r="A344" s="4" t="s">
        <v>9157</v>
      </c>
      <c r="B344" s="4" t="n">
        <v>343</v>
      </c>
      <c r="C344" s="4" t="n">
        <v>672</v>
      </c>
      <c r="D344" s="8" t="s">
        <v>8291</v>
      </c>
      <c r="E344" s="8" t="s">
        <v>9158</v>
      </c>
      <c r="F344" s="8" t="s">
        <v>8347</v>
      </c>
      <c r="G344" s="8" t="s">
        <v>8287</v>
      </c>
      <c r="H344" s="8" t="s">
        <v>62</v>
      </c>
      <c r="I344" s="8"/>
    </row>
    <row r="345" customFormat="false" ht="15" hidden="false" customHeight="false" outlineLevel="0" collapsed="false">
      <c r="A345" s="4" t="s">
        <v>9159</v>
      </c>
      <c r="B345" s="4" t="n">
        <v>344</v>
      </c>
      <c r="C345" s="4" t="n">
        <v>675</v>
      </c>
      <c r="D345" s="8" t="s">
        <v>8410</v>
      </c>
      <c r="E345" s="8" t="s">
        <v>9160</v>
      </c>
      <c r="F345" s="8" t="s">
        <v>9161</v>
      </c>
      <c r="G345" s="8" t="s">
        <v>8287</v>
      </c>
      <c r="H345" s="8" t="s">
        <v>62</v>
      </c>
      <c r="I345" s="8"/>
    </row>
    <row r="346" customFormat="false" ht="15" hidden="false" customHeight="false" outlineLevel="0" collapsed="false">
      <c r="A346" s="4" t="s">
        <v>9162</v>
      </c>
      <c r="B346" s="4" t="n">
        <v>345</v>
      </c>
      <c r="C346" s="4" t="n">
        <v>676</v>
      </c>
      <c r="D346" s="8" t="s">
        <v>8336</v>
      </c>
      <c r="E346" s="8" t="s">
        <v>9163</v>
      </c>
      <c r="F346" s="8" t="s">
        <v>9164</v>
      </c>
      <c r="G346" s="8" t="s">
        <v>8287</v>
      </c>
      <c r="H346" s="8" t="s">
        <v>62</v>
      </c>
      <c r="I346" s="8"/>
    </row>
    <row r="347" customFormat="false" ht="15" hidden="false" customHeight="false" outlineLevel="0" collapsed="false">
      <c r="A347" s="4" t="s">
        <v>9165</v>
      </c>
      <c r="B347" s="4" t="n">
        <v>346</v>
      </c>
      <c r="C347" s="4" t="n">
        <v>677</v>
      </c>
      <c r="D347" s="8" t="s">
        <v>8504</v>
      </c>
      <c r="E347" s="8" t="s">
        <v>9166</v>
      </c>
      <c r="F347" s="8" t="s">
        <v>9167</v>
      </c>
      <c r="G347" s="8" t="s">
        <v>8287</v>
      </c>
      <c r="H347" s="8" t="s">
        <v>62</v>
      </c>
      <c r="I347" s="8"/>
    </row>
    <row r="348" customFormat="false" ht="15" hidden="false" customHeight="false" outlineLevel="0" collapsed="false">
      <c r="A348" s="4" t="s">
        <v>9168</v>
      </c>
      <c r="B348" s="4" t="n">
        <v>347</v>
      </c>
      <c r="C348" s="4" t="n">
        <v>679</v>
      </c>
      <c r="D348" s="8" t="s">
        <v>8396</v>
      </c>
      <c r="E348" s="8" t="s">
        <v>9169</v>
      </c>
      <c r="F348" s="8" t="s">
        <v>9170</v>
      </c>
      <c r="G348" s="8" t="s">
        <v>8287</v>
      </c>
      <c r="H348" s="8" t="s">
        <v>62</v>
      </c>
      <c r="I348" s="8"/>
    </row>
    <row r="349" customFormat="false" ht="15" hidden="false" customHeight="false" outlineLevel="0" collapsed="false">
      <c r="A349" s="4" t="s">
        <v>9171</v>
      </c>
      <c r="B349" s="4" t="n">
        <v>348</v>
      </c>
      <c r="C349" s="4" t="n">
        <v>681</v>
      </c>
      <c r="D349" s="8" t="s">
        <v>8389</v>
      </c>
      <c r="E349" s="8" t="s">
        <v>9172</v>
      </c>
      <c r="F349" s="8" t="s">
        <v>8870</v>
      </c>
      <c r="G349" s="8" t="s">
        <v>8287</v>
      </c>
      <c r="H349" s="8" t="s">
        <v>62</v>
      </c>
      <c r="I349" s="8"/>
    </row>
    <row r="350" customFormat="false" ht="15" hidden="false" customHeight="false" outlineLevel="0" collapsed="false">
      <c r="A350" s="4" t="s">
        <v>9173</v>
      </c>
      <c r="B350" s="4" t="n">
        <v>349</v>
      </c>
      <c r="C350" s="4" t="n">
        <v>682</v>
      </c>
      <c r="D350" s="8" t="s">
        <v>8410</v>
      </c>
      <c r="E350" s="8" t="s">
        <v>9174</v>
      </c>
      <c r="F350" s="8" t="s">
        <v>9175</v>
      </c>
      <c r="G350" s="8" t="s">
        <v>8287</v>
      </c>
      <c r="H350" s="8" t="s">
        <v>62</v>
      </c>
      <c r="I350" s="8"/>
    </row>
    <row r="351" customFormat="false" ht="15" hidden="false" customHeight="false" outlineLevel="0" collapsed="false">
      <c r="A351" s="4" t="s">
        <v>9176</v>
      </c>
      <c r="B351" s="4" t="n">
        <v>350</v>
      </c>
      <c r="C351" s="4" t="n">
        <v>685</v>
      </c>
      <c r="D351" s="8" t="s">
        <v>8504</v>
      </c>
      <c r="E351" s="8" t="s">
        <v>9177</v>
      </c>
      <c r="F351" s="8" t="s">
        <v>6810</v>
      </c>
      <c r="G351" s="8" t="s">
        <v>8287</v>
      </c>
      <c r="H351" s="8" t="s">
        <v>62</v>
      </c>
      <c r="I351" s="8"/>
    </row>
    <row r="352" customFormat="false" ht="15" hidden="false" customHeight="false" outlineLevel="0" collapsed="false">
      <c r="A352" s="4" t="s">
        <v>9178</v>
      </c>
      <c r="B352" s="4" t="n">
        <v>351</v>
      </c>
      <c r="C352" s="4" t="n">
        <v>691</v>
      </c>
      <c r="D352" s="8" t="s">
        <v>8435</v>
      </c>
      <c r="E352" s="8" t="s">
        <v>9179</v>
      </c>
      <c r="F352" s="8" t="s">
        <v>9180</v>
      </c>
      <c r="G352" s="8" t="s">
        <v>8287</v>
      </c>
      <c r="H352" s="8" t="s">
        <v>62</v>
      </c>
      <c r="I352" s="8"/>
    </row>
    <row r="353" customFormat="false" ht="15" hidden="false" customHeight="false" outlineLevel="0" collapsed="false">
      <c r="A353" s="4" t="s">
        <v>9181</v>
      </c>
      <c r="B353" s="4" t="n">
        <v>352</v>
      </c>
      <c r="C353" s="4" t="n">
        <v>694</v>
      </c>
      <c r="D353" s="8" t="s">
        <v>8415</v>
      </c>
      <c r="E353" s="8" t="s">
        <v>952</v>
      </c>
      <c r="F353" s="8" t="s">
        <v>953</v>
      </c>
      <c r="G353" s="8" t="s">
        <v>8287</v>
      </c>
      <c r="H353" s="8" t="s">
        <v>62</v>
      </c>
      <c r="I353" s="8"/>
    </row>
    <row r="354" customFormat="false" ht="15" hidden="false" customHeight="false" outlineLevel="0" collapsed="false">
      <c r="A354" s="4" t="s">
        <v>9182</v>
      </c>
      <c r="B354" s="4" t="n">
        <v>353</v>
      </c>
      <c r="C354" s="4" t="n">
        <v>695</v>
      </c>
      <c r="D354" s="8" t="s">
        <v>8410</v>
      </c>
      <c r="E354" s="8" t="s">
        <v>5182</v>
      </c>
      <c r="F354" s="8" t="s">
        <v>5183</v>
      </c>
      <c r="G354" s="8" t="s">
        <v>8287</v>
      </c>
      <c r="H354" s="8" t="s">
        <v>62</v>
      </c>
      <c r="I354" s="8"/>
    </row>
    <row r="355" customFormat="false" ht="15" hidden="false" customHeight="false" outlineLevel="0" collapsed="false">
      <c r="A355" s="4" t="s">
        <v>9183</v>
      </c>
      <c r="B355" s="4" t="n">
        <v>354</v>
      </c>
      <c r="C355" s="4" t="n">
        <v>699</v>
      </c>
      <c r="D355" s="8" t="s">
        <v>8389</v>
      </c>
      <c r="E355" s="8" t="s">
        <v>6541</v>
      </c>
      <c r="F355" s="8" t="s">
        <v>343</v>
      </c>
      <c r="G355" s="8" t="s">
        <v>8287</v>
      </c>
      <c r="H355" s="8" t="s">
        <v>62</v>
      </c>
      <c r="I355" s="8"/>
    </row>
    <row r="356" customFormat="false" ht="15" hidden="false" customHeight="false" outlineLevel="0" collapsed="false">
      <c r="A356" s="4" t="s">
        <v>9184</v>
      </c>
      <c r="B356" s="4" t="n">
        <v>355</v>
      </c>
      <c r="C356" s="4" t="n">
        <v>700</v>
      </c>
      <c r="D356" s="8" t="s">
        <v>8410</v>
      </c>
      <c r="E356" s="8" t="s">
        <v>9185</v>
      </c>
      <c r="F356" s="8" t="s">
        <v>9186</v>
      </c>
      <c r="G356" s="8" t="s">
        <v>8287</v>
      </c>
      <c r="H356" s="8" t="s">
        <v>62</v>
      </c>
      <c r="I356" s="8"/>
    </row>
    <row r="357" customFormat="false" ht="15" hidden="false" customHeight="false" outlineLevel="0" collapsed="false">
      <c r="A357" s="4" t="s">
        <v>9187</v>
      </c>
      <c r="B357" s="4" t="n">
        <v>356</v>
      </c>
      <c r="C357" s="4" t="n">
        <v>701</v>
      </c>
      <c r="D357" s="8" t="s">
        <v>8410</v>
      </c>
      <c r="E357" s="8" t="s">
        <v>9188</v>
      </c>
      <c r="F357" s="8" t="s">
        <v>9189</v>
      </c>
      <c r="G357" s="8" t="s">
        <v>8287</v>
      </c>
      <c r="H357" s="8" t="s">
        <v>62</v>
      </c>
      <c r="I357" s="8"/>
    </row>
    <row r="358" customFormat="false" ht="15" hidden="false" customHeight="false" outlineLevel="0" collapsed="false">
      <c r="A358" s="4" t="s">
        <v>9190</v>
      </c>
      <c r="B358" s="4" t="n">
        <v>357</v>
      </c>
      <c r="C358" s="4" t="n">
        <v>703</v>
      </c>
      <c r="D358" s="8" t="s">
        <v>8410</v>
      </c>
      <c r="E358" s="8" t="s">
        <v>9191</v>
      </c>
      <c r="F358" s="8" t="s">
        <v>9192</v>
      </c>
      <c r="G358" s="8" t="s">
        <v>8287</v>
      </c>
      <c r="H358" s="8" t="s">
        <v>62</v>
      </c>
      <c r="I358" s="8"/>
    </row>
    <row r="359" customFormat="false" ht="15" hidden="false" customHeight="false" outlineLevel="0" collapsed="false">
      <c r="A359" s="4" t="s">
        <v>9193</v>
      </c>
      <c r="B359" s="4" t="n">
        <v>358</v>
      </c>
      <c r="C359" s="4" t="n">
        <v>705</v>
      </c>
      <c r="D359" s="8" t="s">
        <v>8415</v>
      </c>
      <c r="E359" s="8" t="s">
        <v>9194</v>
      </c>
      <c r="F359" s="8" t="s">
        <v>9195</v>
      </c>
      <c r="G359" s="8" t="s">
        <v>8287</v>
      </c>
      <c r="H359" s="8" t="s">
        <v>62</v>
      </c>
      <c r="I359" s="8"/>
    </row>
    <row r="360" customFormat="false" ht="15" hidden="false" customHeight="false" outlineLevel="0" collapsed="false">
      <c r="A360" s="4" t="s">
        <v>9196</v>
      </c>
      <c r="B360" s="4" t="n">
        <v>359</v>
      </c>
      <c r="C360" s="4" t="n">
        <v>711</v>
      </c>
      <c r="D360" s="8" t="s">
        <v>8410</v>
      </c>
      <c r="E360" s="8" t="s">
        <v>9197</v>
      </c>
      <c r="F360" s="8" t="s">
        <v>9198</v>
      </c>
      <c r="G360" s="8" t="s">
        <v>8287</v>
      </c>
      <c r="H360" s="8" t="s">
        <v>62</v>
      </c>
      <c r="I360" s="8"/>
    </row>
    <row r="361" customFormat="false" ht="15" hidden="false" customHeight="false" outlineLevel="0" collapsed="false">
      <c r="A361" s="4" t="s">
        <v>9199</v>
      </c>
      <c r="B361" s="4" t="n">
        <v>360</v>
      </c>
      <c r="C361" s="4" t="n">
        <v>714</v>
      </c>
      <c r="D361" s="8" t="s">
        <v>8410</v>
      </c>
      <c r="E361" s="8" t="s">
        <v>9200</v>
      </c>
      <c r="F361" s="8" t="s">
        <v>9201</v>
      </c>
      <c r="G361" s="8" t="s">
        <v>8287</v>
      </c>
      <c r="H361" s="8" t="s">
        <v>62</v>
      </c>
      <c r="I361" s="8"/>
    </row>
    <row r="362" customFormat="false" ht="15" hidden="false" customHeight="false" outlineLevel="0" collapsed="false">
      <c r="A362" s="4" t="s">
        <v>9202</v>
      </c>
      <c r="B362" s="4" t="n">
        <v>361</v>
      </c>
      <c r="C362" s="4" t="n">
        <v>715</v>
      </c>
      <c r="D362" s="8" t="s">
        <v>8504</v>
      </c>
      <c r="E362" s="8" t="s">
        <v>7100</v>
      </c>
      <c r="F362" s="8" t="s">
        <v>6798</v>
      </c>
      <c r="G362" s="8" t="s">
        <v>8287</v>
      </c>
      <c r="H362" s="8" t="s">
        <v>62</v>
      </c>
      <c r="I362" s="8"/>
    </row>
    <row r="363" customFormat="false" ht="15" hidden="false" customHeight="false" outlineLevel="0" collapsed="false">
      <c r="A363" s="4" t="s">
        <v>9203</v>
      </c>
      <c r="B363" s="4" t="n">
        <v>362</v>
      </c>
      <c r="C363" s="4" t="n">
        <v>717</v>
      </c>
      <c r="D363" s="8" t="s">
        <v>8319</v>
      </c>
      <c r="E363" s="8" t="s">
        <v>8386</v>
      </c>
      <c r="F363" s="8" t="s">
        <v>9204</v>
      </c>
      <c r="G363" s="8" t="s">
        <v>8287</v>
      </c>
      <c r="H363" s="8" t="s">
        <v>62</v>
      </c>
      <c r="I363" s="8"/>
    </row>
    <row r="364" customFormat="false" ht="15" hidden="false" customHeight="false" outlineLevel="0" collapsed="false">
      <c r="A364" s="4" t="s">
        <v>9205</v>
      </c>
      <c r="B364" s="4" t="n">
        <v>363</v>
      </c>
      <c r="C364" s="4" t="n">
        <v>718</v>
      </c>
      <c r="D364" s="8" t="s">
        <v>8415</v>
      </c>
      <c r="E364" s="8" t="s">
        <v>9206</v>
      </c>
      <c r="F364" s="8" t="s">
        <v>9207</v>
      </c>
      <c r="G364" s="8" t="s">
        <v>8287</v>
      </c>
      <c r="H364" s="8" t="s">
        <v>62</v>
      </c>
      <c r="I364" s="8"/>
    </row>
    <row r="365" customFormat="false" ht="15" hidden="false" customHeight="false" outlineLevel="0" collapsed="false">
      <c r="A365" s="4" t="s">
        <v>9208</v>
      </c>
      <c r="B365" s="4" t="n">
        <v>364</v>
      </c>
      <c r="C365" s="4" t="n">
        <v>724</v>
      </c>
      <c r="D365" s="8" t="s">
        <v>8410</v>
      </c>
      <c r="E365" s="8" t="s">
        <v>2872</v>
      </c>
      <c r="F365" s="8" t="s">
        <v>2873</v>
      </c>
      <c r="G365" s="8" t="s">
        <v>8287</v>
      </c>
      <c r="H365" s="8" t="s">
        <v>62</v>
      </c>
      <c r="I365" s="8"/>
    </row>
    <row r="366" customFormat="false" ht="15" hidden="false" customHeight="false" outlineLevel="0" collapsed="false">
      <c r="A366" s="4" t="s">
        <v>9209</v>
      </c>
      <c r="B366" s="4" t="n">
        <v>365</v>
      </c>
      <c r="C366" s="4" t="n">
        <v>726</v>
      </c>
      <c r="D366" s="8" t="s">
        <v>8410</v>
      </c>
      <c r="E366" s="8" t="s">
        <v>9210</v>
      </c>
      <c r="F366" s="8" t="s">
        <v>9211</v>
      </c>
      <c r="G366" s="8" t="s">
        <v>8287</v>
      </c>
      <c r="H366" s="8" t="s">
        <v>62</v>
      </c>
      <c r="I366" s="8"/>
    </row>
    <row r="367" customFormat="false" ht="15" hidden="false" customHeight="false" outlineLevel="0" collapsed="false">
      <c r="A367" s="4" t="s">
        <v>9212</v>
      </c>
      <c r="B367" s="4" t="n">
        <v>366</v>
      </c>
      <c r="C367" s="4" t="n">
        <v>733</v>
      </c>
      <c r="D367" s="8" t="s">
        <v>8504</v>
      </c>
      <c r="E367" s="8" t="s">
        <v>9213</v>
      </c>
      <c r="F367" s="8" t="s">
        <v>6801</v>
      </c>
      <c r="G367" s="8" t="s">
        <v>8287</v>
      </c>
      <c r="H367" s="8" t="s">
        <v>62</v>
      </c>
      <c r="I367" s="8"/>
    </row>
    <row r="368" customFormat="false" ht="15" hidden="false" customHeight="false" outlineLevel="0" collapsed="false">
      <c r="A368" s="4" t="s">
        <v>9214</v>
      </c>
      <c r="B368" s="4" t="n">
        <v>367</v>
      </c>
      <c r="C368" s="4" t="n">
        <v>735</v>
      </c>
      <c r="D368" s="8" t="s">
        <v>8410</v>
      </c>
      <c r="E368" s="8" t="s">
        <v>9215</v>
      </c>
      <c r="F368" s="8" t="s">
        <v>9186</v>
      </c>
      <c r="G368" s="8" t="s">
        <v>8287</v>
      </c>
      <c r="H368" s="8" t="s">
        <v>62</v>
      </c>
      <c r="I368" s="8"/>
    </row>
    <row r="369" customFormat="false" ht="15" hidden="false" customHeight="false" outlineLevel="0" collapsed="false">
      <c r="A369" s="4" t="s">
        <v>9216</v>
      </c>
      <c r="B369" s="4" t="n">
        <v>368</v>
      </c>
      <c r="C369" s="4" t="n">
        <v>741</v>
      </c>
      <c r="D369" s="8" t="s">
        <v>8389</v>
      </c>
      <c r="E369" s="8" t="s">
        <v>6563</v>
      </c>
      <c r="F369" s="8" t="s">
        <v>179</v>
      </c>
      <c r="G369" s="8" t="s">
        <v>8287</v>
      </c>
      <c r="H369" s="8" t="s">
        <v>62</v>
      </c>
      <c r="I369" s="8"/>
    </row>
    <row r="370" customFormat="false" ht="15" hidden="false" customHeight="false" outlineLevel="0" collapsed="false">
      <c r="A370" s="4" t="s">
        <v>9217</v>
      </c>
      <c r="B370" s="4" t="n">
        <v>369</v>
      </c>
      <c r="C370" s="4" t="n">
        <v>742</v>
      </c>
      <c r="D370" s="8" t="s">
        <v>8389</v>
      </c>
      <c r="E370" s="8" t="s">
        <v>5413</v>
      </c>
      <c r="F370" s="8" t="s">
        <v>5414</v>
      </c>
      <c r="G370" s="8" t="s">
        <v>8287</v>
      </c>
      <c r="H370" s="8" t="s">
        <v>62</v>
      </c>
      <c r="I370" s="8"/>
    </row>
    <row r="371" customFormat="false" ht="15" hidden="false" customHeight="false" outlineLevel="0" collapsed="false">
      <c r="A371" s="4" t="s">
        <v>9218</v>
      </c>
      <c r="B371" s="4" t="n">
        <v>370</v>
      </c>
      <c r="C371" s="4" t="n">
        <v>743</v>
      </c>
      <c r="D371" s="8" t="s">
        <v>8410</v>
      </c>
      <c r="E371" s="8" t="s">
        <v>9219</v>
      </c>
      <c r="F371" s="8" t="s">
        <v>9220</v>
      </c>
      <c r="G371" s="8" t="s">
        <v>8287</v>
      </c>
      <c r="H371" s="8" t="s">
        <v>62</v>
      </c>
      <c r="I371" s="8"/>
    </row>
    <row r="372" customFormat="false" ht="15" hidden="false" customHeight="false" outlineLevel="0" collapsed="false">
      <c r="A372" s="4" t="s">
        <v>9221</v>
      </c>
      <c r="B372" s="4" t="n">
        <v>371</v>
      </c>
      <c r="C372" s="4" t="n">
        <v>745</v>
      </c>
      <c r="D372" s="8" t="s">
        <v>8410</v>
      </c>
      <c r="E372" s="8" t="s">
        <v>9222</v>
      </c>
      <c r="F372" s="8" t="s">
        <v>8785</v>
      </c>
      <c r="G372" s="8" t="s">
        <v>8287</v>
      </c>
      <c r="H372" s="8" t="s">
        <v>62</v>
      </c>
      <c r="I372" s="8"/>
    </row>
    <row r="373" customFormat="false" ht="15" hidden="false" customHeight="false" outlineLevel="0" collapsed="false">
      <c r="A373" s="4" t="s">
        <v>9223</v>
      </c>
      <c r="B373" s="4" t="n">
        <v>372</v>
      </c>
      <c r="C373" s="4" t="n">
        <v>748</v>
      </c>
      <c r="D373" s="8" t="s">
        <v>8378</v>
      </c>
      <c r="E373" s="8" t="s">
        <v>9224</v>
      </c>
      <c r="F373" s="8" t="s">
        <v>9225</v>
      </c>
      <c r="G373" s="8" t="s">
        <v>8287</v>
      </c>
      <c r="H373" s="8" t="s">
        <v>62</v>
      </c>
      <c r="I373" s="8"/>
    </row>
    <row r="374" customFormat="false" ht="15" hidden="false" customHeight="false" outlineLevel="0" collapsed="false">
      <c r="A374" s="4" t="s">
        <v>9226</v>
      </c>
      <c r="B374" s="4" t="n">
        <v>373</v>
      </c>
      <c r="C374" s="4" t="n">
        <v>750</v>
      </c>
      <c r="D374" s="8" t="s">
        <v>8410</v>
      </c>
      <c r="E374" s="8" t="s">
        <v>1595</v>
      </c>
      <c r="F374" s="8" t="s">
        <v>1596</v>
      </c>
      <c r="G374" s="8" t="s">
        <v>8287</v>
      </c>
      <c r="H374" s="8" t="s">
        <v>62</v>
      </c>
      <c r="I374" s="8"/>
    </row>
    <row r="375" customFormat="false" ht="15" hidden="false" customHeight="false" outlineLevel="0" collapsed="false">
      <c r="A375" s="4" t="s">
        <v>9227</v>
      </c>
      <c r="B375" s="4" t="n">
        <v>374</v>
      </c>
      <c r="C375" s="4" t="n">
        <v>754</v>
      </c>
      <c r="D375" s="8" t="s">
        <v>8378</v>
      </c>
      <c r="E375" s="8" t="s">
        <v>9228</v>
      </c>
      <c r="F375" s="8" t="s">
        <v>9229</v>
      </c>
      <c r="G375" s="8" t="s">
        <v>8287</v>
      </c>
      <c r="H375" s="8" t="s">
        <v>62</v>
      </c>
      <c r="I375" s="8"/>
    </row>
    <row r="376" customFormat="false" ht="15" hidden="false" customHeight="false" outlineLevel="0" collapsed="false">
      <c r="A376" s="4" t="s">
        <v>9230</v>
      </c>
      <c r="B376" s="4" t="n">
        <v>375</v>
      </c>
      <c r="C376" s="4" t="n">
        <v>755</v>
      </c>
      <c r="D376" s="8" t="s">
        <v>8389</v>
      </c>
      <c r="E376" s="8" t="s">
        <v>6574</v>
      </c>
      <c r="F376" s="8" t="s">
        <v>402</v>
      </c>
      <c r="G376" s="8" t="s">
        <v>8287</v>
      </c>
      <c r="H376" s="8" t="s">
        <v>62</v>
      </c>
      <c r="I376" s="8"/>
    </row>
    <row r="377" customFormat="false" ht="15" hidden="false" customHeight="false" outlineLevel="0" collapsed="false">
      <c r="A377" s="4" t="s">
        <v>9231</v>
      </c>
      <c r="B377" s="4" t="n">
        <v>376</v>
      </c>
      <c r="C377" s="4" t="n">
        <v>762</v>
      </c>
      <c r="D377" s="8" t="s">
        <v>8415</v>
      </c>
      <c r="E377" s="8" t="s">
        <v>9232</v>
      </c>
      <c r="F377" s="8" t="s">
        <v>9233</v>
      </c>
      <c r="G377" s="8" t="s">
        <v>8287</v>
      </c>
      <c r="H377" s="8" t="s">
        <v>62</v>
      </c>
      <c r="I377" s="8"/>
    </row>
    <row r="378" customFormat="false" ht="15" hidden="false" customHeight="false" outlineLevel="0" collapsed="false">
      <c r="A378" s="4" t="s">
        <v>9234</v>
      </c>
      <c r="B378" s="4" t="n">
        <v>377</v>
      </c>
      <c r="C378" s="4" t="n">
        <v>767</v>
      </c>
      <c r="D378" s="8" t="s">
        <v>8396</v>
      </c>
      <c r="E378" s="8" t="s">
        <v>9235</v>
      </c>
      <c r="F378" s="8" t="s">
        <v>9236</v>
      </c>
      <c r="G378" s="8" t="s">
        <v>8287</v>
      </c>
      <c r="H378" s="8" t="s">
        <v>62</v>
      </c>
      <c r="I378" s="8"/>
    </row>
    <row r="379" customFormat="false" ht="15" hidden="false" customHeight="false" outlineLevel="0" collapsed="false">
      <c r="A379" s="4" t="s">
        <v>9237</v>
      </c>
      <c r="B379" s="4" t="n">
        <v>378</v>
      </c>
      <c r="C379" s="4" t="n">
        <v>770</v>
      </c>
      <c r="D379" s="8" t="s">
        <v>8378</v>
      </c>
      <c r="E379" s="8" t="s">
        <v>9238</v>
      </c>
      <c r="F379" s="8" t="s">
        <v>9239</v>
      </c>
      <c r="G379" s="8" t="s">
        <v>8287</v>
      </c>
      <c r="H379" s="8" t="s">
        <v>62</v>
      </c>
      <c r="I379" s="8"/>
    </row>
    <row r="380" customFormat="false" ht="15" hidden="false" customHeight="false" outlineLevel="0" collapsed="false">
      <c r="A380" s="4" t="s">
        <v>9240</v>
      </c>
      <c r="B380" s="4" t="n">
        <v>379</v>
      </c>
      <c r="C380" s="4" t="n">
        <v>775</v>
      </c>
      <c r="D380" s="8" t="s">
        <v>8415</v>
      </c>
      <c r="E380" s="8" t="s">
        <v>9241</v>
      </c>
      <c r="F380" s="8" t="s">
        <v>9242</v>
      </c>
      <c r="G380" s="8" t="s">
        <v>8287</v>
      </c>
      <c r="H380" s="8" t="s">
        <v>62</v>
      </c>
      <c r="I380" s="8"/>
    </row>
    <row r="381" customFormat="false" ht="15" hidden="false" customHeight="false" outlineLevel="0" collapsed="false">
      <c r="A381" s="4" t="s">
        <v>9243</v>
      </c>
      <c r="B381" s="4" t="n">
        <v>380</v>
      </c>
      <c r="C381" s="4" t="n">
        <v>776</v>
      </c>
      <c r="D381" s="8" t="s">
        <v>8410</v>
      </c>
      <c r="E381" s="8" t="s">
        <v>9244</v>
      </c>
      <c r="F381" s="8" t="s">
        <v>9245</v>
      </c>
      <c r="G381" s="8" t="s">
        <v>8287</v>
      </c>
      <c r="H381" s="8" t="s">
        <v>62</v>
      </c>
      <c r="I381" s="8"/>
    </row>
    <row r="382" customFormat="false" ht="15" hidden="false" customHeight="false" outlineLevel="0" collapsed="false">
      <c r="A382" s="4" t="s">
        <v>9246</v>
      </c>
      <c r="B382" s="4" t="n">
        <v>381</v>
      </c>
      <c r="C382" s="4" t="n">
        <v>785</v>
      </c>
      <c r="D382" s="8" t="s">
        <v>8415</v>
      </c>
      <c r="E382" s="8" t="s">
        <v>9247</v>
      </c>
      <c r="F382" s="8" t="s">
        <v>9248</v>
      </c>
      <c r="G382" s="8" t="s">
        <v>8287</v>
      </c>
      <c r="H382" s="8" t="s">
        <v>62</v>
      </c>
      <c r="I382" s="8"/>
    </row>
    <row r="383" customFormat="false" ht="15" hidden="false" customHeight="false" outlineLevel="0" collapsed="false">
      <c r="A383" s="4" t="s">
        <v>9249</v>
      </c>
      <c r="B383" s="4" t="n">
        <v>382</v>
      </c>
      <c r="C383" s="4" t="n">
        <v>794</v>
      </c>
      <c r="D383" s="8" t="s">
        <v>8389</v>
      </c>
      <c r="E383" s="8" t="s">
        <v>9250</v>
      </c>
      <c r="F383" s="8" t="s">
        <v>9251</v>
      </c>
      <c r="G383" s="8" t="s">
        <v>8287</v>
      </c>
      <c r="H383" s="8" t="s">
        <v>62</v>
      </c>
      <c r="I383" s="8"/>
    </row>
    <row r="384" customFormat="false" ht="15" hidden="false" customHeight="false" outlineLevel="0" collapsed="false">
      <c r="A384" s="4" t="s">
        <v>9252</v>
      </c>
      <c r="B384" s="4" t="n">
        <v>383</v>
      </c>
      <c r="C384" s="4" t="n">
        <v>796</v>
      </c>
      <c r="D384" s="8" t="s">
        <v>8323</v>
      </c>
      <c r="E384" s="8" t="s">
        <v>9253</v>
      </c>
      <c r="F384" s="8" t="s">
        <v>9254</v>
      </c>
      <c r="G384" s="8" t="s">
        <v>8287</v>
      </c>
      <c r="H384" s="8" t="s">
        <v>62</v>
      </c>
      <c r="I384" s="8"/>
    </row>
    <row r="385" customFormat="false" ht="15" hidden="false" customHeight="false" outlineLevel="0" collapsed="false">
      <c r="A385" s="4" t="s">
        <v>9255</v>
      </c>
      <c r="B385" s="4" t="n">
        <v>384</v>
      </c>
      <c r="C385" s="4" t="n">
        <v>797</v>
      </c>
      <c r="D385" s="8" t="s">
        <v>8415</v>
      </c>
      <c r="E385" s="8" t="s">
        <v>9256</v>
      </c>
      <c r="F385" s="8" t="s">
        <v>9257</v>
      </c>
      <c r="G385" s="8" t="s">
        <v>8287</v>
      </c>
      <c r="H385" s="8" t="s">
        <v>62</v>
      </c>
      <c r="I385" s="8"/>
    </row>
    <row r="386" customFormat="false" ht="15" hidden="false" customHeight="false" outlineLevel="0" collapsed="false">
      <c r="A386" s="4" t="s">
        <v>9258</v>
      </c>
      <c r="B386" s="4" t="n">
        <v>385</v>
      </c>
      <c r="C386" s="4" t="n">
        <v>800</v>
      </c>
      <c r="D386" s="8" t="s">
        <v>8410</v>
      </c>
      <c r="E386" s="8" t="s">
        <v>9259</v>
      </c>
      <c r="F386" s="8" t="s">
        <v>9260</v>
      </c>
      <c r="G386" s="8" t="s">
        <v>8287</v>
      </c>
      <c r="H386" s="8" t="s">
        <v>62</v>
      </c>
      <c r="I386" s="8"/>
    </row>
    <row r="387" customFormat="false" ht="15" hidden="false" customHeight="false" outlineLevel="0" collapsed="false">
      <c r="A387" s="4" t="s">
        <v>9261</v>
      </c>
      <c r="B387" s="4" t="n">
        <v>386</v>
      </c>
      <c r="C387" s="4" t="n">
        <v>804</v>
      </c>
      <c r="D387" s="8" t="s">
        <v>8415</v>
      </c>
      <c r="E387" s="8" t="s">
        <v>1189</v>
      </c>
      <c r="F387" s="8" t="s">
        <v>9262</v>
      </c>
      <c r="G387" s="8" t="s">
        <v>8287</v>
      </c>
      <c r="H387" s="8" t="s">
        <v>62</v>
      </c>
      <c r="I387" s="8"/>
    </row>
    <row r="388" customFormat="false" ht="15" hidden="false" customHeight="false" outlineLevel="0" collapsed="false">
      <c r="A388" s="4" t="s">
        <v>9263</v>
      </c>
      <c r="B388" s="4" t="n">
        <v>387</v>
      </c>
      <c r="C388" s="4" t="n">
        <v>805</v>
      </c>
      <c r="D388" s="8" t="s">
        <v>8389</v>
      </c>
      <c r="E388" s="8" t="s">
        <v>9264</v>
      </c>
      <c r="F388" s="8" t="s">
        <v>9265</v>
      </c>
      <c r="G388" s="8" t="s">
        <v>8287</v>
      </c>
      <c r="H388" s="8" t="s">
        <v>62</v>
      </c>
      <c r="I388" s="8"/>
    </row>
    <row r="389" customFormat="false" ht="15" hidden="false" customHeight="false" outlineLevel="0" collapsed="false">
      <c r="A389" s="4" t="s">
        <v>9266</v>
      </c>
      <c r="B389" s="4" t="n">
        <v>388</v>
      </c>
      <c r="C389" s="4" t="n">
        <v>807</v>
      </c>
      <c r="D389" s="8" t="s">
        <v>8396</v>
      </c>
      <c r="E389" s="8" t="s">
        <v>9267</v>
      </c>
      <c r="F389" s="8" t="s">
        <v>9268</v>
      </c>
      <c r="G389" s="8" t="s">
        <v>8287</v>
      </c>
      <c r="H389" s="8" t="s">
        <v>62</v>
      </c>
      <c r="I389" s="8"/>
    </row>
    <row r="390" customFormat="false" ht="15" hidden="false" customHeight="false" outlineLevel="0" collapsed="false">
      <c r="A390" s="4" t="s">
        <v>9269</v>
      </c>
      <c r="B390" s="4" t="n">
        <v>389</v>
      </c>
      <c r="C390" s="4" t="n">
        <v>814</v>
      </c>
      <c r="D390" s="8" t="s">
        <v>8389</v>
      </c>
      <c r="E390" s="8" t="s">
        <v>3724</v>
      </c>
      <c r="F390" s="8" t="s">
        <v>3725</v>
      </c>
      <c r="G390" s="8" t="s">
        <v>8287</v>
      </c>
      <c r="H390" s="8" t="s">
        <v>62</v>
      </c>
      <c r="I390" s="8"/>
    </row>
    <row r="391" customFormat="false" ht="15" hidden="false" customHeight="false" outlineLevel="0" collapsed="false">
      <c r="A391" s="4" t="s">
        <v>9270</v>
      </c>
      <c r="B391" s="4" t="n">
        <v>390</v>
      </c>
      <c r="C391" s="4" t="n">
        <v>815</v>
      </c>
      <c r="D391" s="8" t="s">
        <v>8410</v>
      </c>
      <c r="E391" s="8" t="s">
        <v>4341</v>
      </c>
      <c r="F391" s="8" t="s">
        <v>9271</v>
      </c>
      <c r="G391" s="8" t="s">
        <v>8287</v>
      </c>
      <c r="H391" s="8" t="s">
        <v>62</v>
      </c>
      <c r="I391" s="8"/>
    </row>
    <row r="392" customFormat="false" ht="15" hidden="false" customHeight="false" outlineLevel="0" collapsed="false">
      <c r="A392" s="4" t="s">
        <v>9272</v>
      </c>
      <c r="B392" s="4" t="n">
        <v>391</v>
      </c>
      <c r="C392" s="4" t="n">
        <v>816</v>
      </c>
      <c r="D392" s="8" t="s">
        <v>8323</v>
      </c>
      <c r="E392" s="8" t="s">
        <v>4942</v>
      </c>
      <c r="F392" s="8" t="s">
        <v>9273</v>
      </c>
      <c r="G392" s="8" t="s">
        <v>8287</v>
      </c>
      <c r="H392" s="8" t="s">
        <v>62</v>
      </c>
      <c r="I392" s="8"/>
    </row>
    <row r="393" customFormat="false" ht="15" hidden="false" customHeight="false" outlineLevel="0" collapsed="false">
      <c r="A393" s="4" t="s">
        <v>9274</v>
      </c>
      <c r="B393" s="4" t="n">
        <v>392</v>
      </c>
      <c r="C393" s="4" t="n">
        <v>821</v>
      </c>
      <c r="D393" s="8" t="s">
        <v>9092</v>
      </c>
      <c r="E393" s="8" t="s">
        <v>5976</v>
      </c>
      <c r="F393" s="8" t="s">
        <v>9275</v>
      </c>
      <c r="G393" s="8" t="s">
        <v>8287</v>
      </c>
      <c r="H393" s="8" t="s">
        <v>62</v>
      </c>
      <c r="I393" s="8"/>
    </row>
    <row r="394" customFormat="false" ht="15" hidden="false" customHeight="false" outlineLevel="0" collapsed="false">
      <c r="A394" s="4" t="s">
        <v>9276</v>
      </c>
      <c r="B394" s="4" t="n">
        <v>393</v>
      </c>
      <c r="C394" s="4" t="n">
        <v>822</v>
      </c>
      <c r="D394" s="8" t="s">
        <v>8410</v>
      </c>
      <c r="E394" s="8" t="s">
        <v>933</v>
      </c>
      <c r="F394" s="8" t="s">
        <v>934</v>
      </c>
      <c r="G394" s="8" t="s">
        <v>8287</v>
      </c>
      <c r="H394" s="8" t="s">
        <v>62</v>
      </c>
      <c r="I394" s="8"/>
    </row>
    <row r="395" customFormat="false" ht="15" hidden="false" customHeight="false" outlineLevel="0" collapsed="false">
      <c r="A395" s="4" t="s">
        <v>9277</v>
      </c>
      <c r="B395" s="4" t="n">
        <v>394</v>
      </c>
      <c r="C395" s="4" t="n">
        <v>826</v>
      </c>
      <c r="D395" s="8" t="s">
        <v>8378</v>
      </c>
      <c r="E395" s="8" t="s">
        <v>8997</v>
      </c>
      <c r="F395" s="8" t="s">
        <v>9278</v>
      </c>
      <c r="G395" s="8" t="s">
        <v>8287</v>
      </c>
      <c r="H395" s="8" t="s">
        <v>62</v>
      </c>
      <c r="I395" s="8"/>
    </row>
    <row r="396" customFormat="false" ht="15" hidden="false" customHeight="false" outlineLevel="0" collapsed="false">
      <c r="A396" s="4" t="s">
        <v>9279</v>
      </c>
      <c r="B396" s="4" t="n">
        <v>395</v>
      </c>
      <c r="C396" s="4" t="n">
        <v>831</v>
      </c>
      <c r="D396" s="8" t="s">
        <v>8410</v>
      </c>
      <c r="E396" s="8" t="s">
        <v>9280</v>
      </c>
      <c r="F396" s="8" t="s">
        <v>9281</v>
      </c>
      <c r="G396" s="8" t="s">
        <v>8287</v>
      </c>
      <c r="H396" s="8" t="s">
        <v>62</v>
      </c>
      <c r="I396" s="8"/>
    </row>
    <row r="397" customFormat="false" ht="15" hidden="false" customHeight="false" outlineLevel="0" collapsed="false">
      <c r="A397" s="4" t="s">
        <v>9282</v>
      </c>
      <c r="B397" s="4" t="n">
        <v>396</v>
      </c>
      <c r="C397" s="4" t="n">
        <v>832</v>
      </c>
      <c r="D397" s="8" t="s">
        <v>8396</v>
      </c>
      <c r="E397" s="8" t="s">
        <v>9283</v>
      </c>
      <c r="F397" s="8" t="s">
        <v>9284</v>
      </c>
      <c r="G397" s="8" t="s">
        <v>8287</v>
      </c>
      <c r="H397" s="8" t="s">
        <v>62</v>
      </c>
      <c r="I397" s="8"/>
    </row>
    <row r="398" customFormat="false" ht="15" hidden="false" customHeight="false" outlineLevel="0" collapsed="false">
      <c r="A398" s="4" t="s">
        <v>9285</v>
      </c>
      <c r="B398" s="4" t="n">
        <v>397</v>
      </c>
      <c r="C398" s="4" t="n">
        <v>833</v>
      </c>
      <c r="D398" s="8" t="s">
        <v>8291</v>
      </c>
      <c r="E398" s="8" t="s">
        <v>3423</v>
      </c>
      <c r="F398" s="8" t="s">
        <v>272</v>
      </c>
      <c r="G398" s="8" t="s">
        <v>8287</v>
      </c>
      <c r="H398" s="8" t="s">
        <v>62</v>
      </c>
      <c r="I398" s="8"/>
    </row>
    <row r="399" customFormat="false" ht="15" hidden="false" customHeight="false" outlineLevel="0" collapsed="false">
      <c r="A399" s="4" t="s">
        <v>9286</v>
      </c>
      <c r="B399" s="4" t="n">
        <v>398</v>
      </c>
      <c r="C399" s="4" t="n">
        <v>834</v>
      </c>
      <c r="D399" s="8" t="s">
        <v>8396</v>
      </c>
      <c r="E399" s="8" t="s">
        <v>1225</v>
      </c>
      <c r="F399" s="8" t="s">
        <v>1226</v>
      </c>
      <c r="G399" s="8" t="s">
        <v>8287</v>
      </c>
      <c r="H399" s="8" t="s">
        <v>62</v>
      </c>
      <c r="I399" s="8"/>
    </row>
    <row r="400" customFormat="false" ht="15" hidden="false" customHeight="false" outlineLevel="0" collapsed="false">
      <c r="A400" s="4" t="s">
        <v>9287</v>
      </c>
      <c r="B400" s="4" t="n">
        <v>399</v>
      </c>
      <c r="C400" s="4" t="n">
        <v>837</v>
      </c>
      <c r="D400" s="8" t="s">
        <v>8396</v>
      </c>
      <c r="E400" s="8" t="s">
        <v>9288</v>
      </c>
      <c r="F400" s="8" t="s">
        <v>9289</v>
      </c>
      <c r="G400" s="8" t="s">
        <v>8287</v>
      </c>
      <c r="H400" s="8" t="s">
        <v>62</v>
      </c>
      <c r="I400" s="8"/>
    </row>
    <row r="401" customFormat="false" ht="15" hidden="false" customHeight="false" outlineLevel="0" collapsed="false">
      <c r="A401" s="4" t="s">
        <v>9290</v>
      </c>
      <c r="B401" s="4" t="n">
        <v>400</v>
      </c>
      <c r="C401" s="4" t="n">
        <v>839</v>
      </c>
      <c r="D401" s="8" t="s">
        <v>8410</v>
      </c>
      <c r="E401" s="8" t="s">
        <v>9291</v>
      </c>
      <c r="F401" s="8" t="s">
        <v>9292</v>
      </c>
      <c r="G401" s="8" t="s">
        <v>8287</v>
      </c>
      <c r="H401" s="8" t="s">
        <v>62</v>
      </c>
      <c r="I401" s="8"/>
    </row>
    <row r="402" customFormat="false" ht="15" hidden="false" customHeight="false" outlineLevel="0" collapsed="false">
      <c r="A402" s="4" t="s">
        <v>9293</v>
      </c>
      <c r="B402" s="4" t="n">
        <v>401</v>
      </c>
      <c r="C402" s="4" t="n">
        <v>840</v>
      </c>
      <c r="D402" s="8" t="s">
        <v>8389</v>
      </c>
      <c r="E402" s="8" t="s">
        <v>9294</v>
      </c>
      <c r="F402" s="8" t="s">
        <v>9295</v>
      </c>
      <c r="G402" s="8" t="s">
        <v>8287</v>
      </c>
      <c r="H402" s="8" t="s">
        <v>62</v>
      </c>
      <c r="I402" s="8"/>
    </row>
    <row r="403" customFormat="false" ht="15" hidden="false" customHeight="false" outlineLevel="0" collapsed="false">
      <c r="A403" s="4" t="s">
        <v>9296</v>
      </c>
      <c r="B403" s="4" t="n">
        <v>402</v>
      </c>
      <c r="C403" s="4" t="n">
        <v>842</v>
      </c>
      <c r="D403" s="8" t="s">
        <v>8410</v>
      </c>
      <c r="E403" s="8" t="s">
        <v>9297</v>
      </c>
      <c r="F403" s="8" t="s">
        <v>9298</v>
      </c>
      <c r="G403" s="8" t="s">
        <v>8287</v>
      </c>
      <c r="H403" s="8" t="s">
        <v>62</v>
      </c>
      <c r="I403" s="8"/>
    </row>
    <row r="404" customFormat="false" ht="15" hidden="false" customHeight="false" outlineLevel="0" collapsed="false">
      <c r="A404" s="4" t="s">
        <v>9299</v>
      </c>
      <c r="B404" s="4" t="n">
        <v>403</v>
      </c>
      <c r="C404" s="4" t="n">
        <v>844</v>
      </c>
      <c r="D404" s="8" t="s">
        <v>8410</v>
      </c>
      <c r="E404" s="8" t="s">
        <v>2965</v>
      </c>
      <c r="F404" s="8" t="s">
        <v>9300</v>
      </c>
      <c r="G404" s="8" t="s">
        <v>8287</v>
      </c>
      <c r="H404" s="8" t="s">
        <v>62</v>
      </c>
      <c r="I404" s="8"/>
    </row>
    <row r="405" customFormat="false" ht="15" hidden="false" customHeight="false" outlineLevel="0" collapsed="false">
      <c r="A405" s="4" t="s">
        <v>9301</v>
      </c>
      <c r="B405" s="4" t="n">
        <v>404</v>
      </c>
      <c r="C405" s="4" t="n">
        <v>847</v>
      </c>
      <c r="D405" s="8" t="s">
        <v>8410</v>
      </c>
      <c r="E405" s="8" t="s">
        <v>9302</v>
      </c>
      <c r="F405" s="8" t="s">
        <v>6683</v>
      </c>
      <c r="G405" s="8" t="s">
        <v>8287</v>
      </c>
      <c r="H405" s="8" t="s">
        <v>62</v>
      </c>
      <c r="I405" s="8"/>
    </row>
    <row r="406" customFormat="false" ht="15" hidden="false" customHeight="false" outlineLevel="0" collapsed="false">
      <c r="A406" s="4" t="s">
        <v>9303</v>
      </c>
      <c r="B406" s="4" t="n">
        <v>405</v>
      </c>
      <c r="C406" s="4" t="n">
        <v>850</v>
      </c>
      <c r="D406" s="8" t="s">
        <v>8410</v>
      </c>
      <c r="E406" s="8" t="s">
        <v>4768</v>
      </c>
      <c r="F406" s="8" t="s">
        <v>4769</v>
      </c>
      <c r="G406" s="8" t="s">
        <v>8287</v>
      </c>
      <c r="H406" s="8" t="s">
        <v>62</v>
      </c>
      <c r="I406" s="8"/>
    </row>
    <row r="407" customFormat="false" ht="15" hidden="false" customHeight="false" outlineLevel="0" collapsed="false">
      <c r="A407" s="4" t="s">
        <v>9304</v>
      </c>
      <c r="B407" s="4" t="n">
        <v>406</v>
      </c>
      <c r="C407" s="4" t="n">
        <v>851</v>
      </c>
      <c r="D407" s="8" t="s">
        <v>8410</v>
      </c>
      <c r="E407" s="8" t="s">
        <v>9305</v>
      </c>
      <c r="F407" s="8" t="s">
        <v>9306</v>
      </c>
      <c r="G407" s="8" t="s">
        <v>8287</v>
      </c>
      <c r="H407" s="8" t="s">
        <v>62</v>
      </c>
      <c r="I407" s="8"/>
    </row>
    <row r="408" customFormat="false" ht="15" hidden="false" customHeight="false" outlineLevel="0" collapsed="false">
      <c r="A408" s="4" t="s">
        <v>9307</v>
      </c>
      <c r="B408" s="4" t="n">
        <v>407</v>
      </c>
      <c r="C408" s="4" t="n">
        <v>854</v>
      </c>
      <c r="D408" s="8" t="s">
        <v>8410</v>
      </c>
      <c r="E408" s="8" t="s">
        <v>9308</v>
      </c>
      <c r="F408" s="8" t="s">
        <v>9309</v>
      </c>
      <c r="G408" s="8" t="s">
        <v>8287</v>
      </c>
      <c r="H408" s="8" t="s">
        <v>62</v>
      </c>
      <c r="I408" s="8"/>
    </row>
    <row r="409" customFormat="false" ht="15" hidden="false" customHeight="false" outlineLevel="0" collapsed="false">
      <c r="A409" s="4" t="s">
        <v>9310</v>
      </c>
      <c r="B409" s="4" t="n">
        <v>408</v>
      </c>
      <c r="C409" s="4" t="n">
        <v>859</v>
      </c>
      <c r="D409" s="8" t="s">
        <v>8305</v>
      </c>
      <c r="E409" s="8" t="s">
        <v>9311</v>
      </c>
      <c r="F409" s="8" t="s">
        <v>9312</v>
      </c>
      <c r="G409" s="8" t="s">
        <v>8287</v>
      </c>
      <c r="H409" s="8" t="s">
        <v>62</v>
      </c>
      <c r="I409" s="8"/>
    </row>
    <row r="410" customFormat="false" ht="15" hidden="false" customHeight="false" outlineLevel="0" collapsed="false">
      <c r="A410" s="4" t="s">
        <v>9313</v>
      </c>
      <c r="B410" s="4" t="n">
        <v>409</v>
      </c>
      <c r="C410" s="4" t="n">
        <v>861</v>
      </c>
      <c r="D410" s="8" t="s">
        <v>8435</v>
      </c>
      <c r="E410" s="8" t="s">
        <v>9314</v>
      </c>
      <c r="F410" s="8" t="s">
        <v>9315</v>
      </c>
      <c r="G410" s="8" t="s">
        <v>8287</v>
      </c>
      <c r="H410" s="8" t="s">
        <v>62</v>
      </c>
      <c r="I410" s="8"/>
    </row>
    <row r="411" customFormat="false" ht="15" hidden="false" customHeight="false" outlineLevel="0" collapsed="false">
      <c r="A411" s="4" t="s">
        <v>9316</v>
      </c>
      <c r="B411" s="4" t="n">
        <v>410</v>
      </c>
      <c r="C411" s="4" t="n">
        <v>863</v>
      </c>
      <c r="D411" s="8" t="s">
        <v>8504</v>
      </c>
      <c r="E411" s="8" t="s">
        <v>6839</v>
      </c>
      <c r="F411" s="8" t="s">
        <v>6840</v>
      </c>
      <c r="G411" s="8" t="s">
        <v>8287</v>
      </c>
      <c r="H411" s="8" t="s">
        <v>62</v>
      </c>
      <c r="I411" s="8"/>
    </row>
    <row r="412" customFormat="false" ht="15" hidden="false" customHeight="false" outlineLevel="0" collapsed="false">
      <c r="A412" s="4" t="s">
        <v>9317</v>
      </c>
      <c r="B412" s="4" t="n">
        <v>411</v>
      </c>
      <c r="C412" s="4" t="n">
        <v>866</v>
      </c>
      <c r="D412" s="8" t="s">
        <v>8396</v>
      </c>
      <c r="E412" s="8" t="s">
        <v>9318</v>
      </c>
      <c r="F412" s="8" t="s">
        <v>9319</v>
      </c>
      <c r="G412" s="8" t="s">
        <v>8287</v>
      </c>
      <c r="H412" s="8" t="s">
        <v>62</v>
      </c>
      <c r="I412" s="8"/>
    </row>
    <row r="413" customFormat="false" ht="15" hidden="false" customHeight="false" outlineLevel="0" collapsed="false">
      <c r="A413" s="4" t="s">
        <v>9320</v>
      </c>
      <c r="B413" s="4" t="n">
        <v>412</v>
      </c>
      <c r="C413" s="4" t="n">
        <v>872</v>
      </c>
      <c r="D413" s="8" t="s">
        <v>8291</v>
      </c>
      <c r="E413" s="8" t="s">
        <v>9321</v>
      </c>
      <c r="F413" s="8" t="s">
        <v>9322</v>
      </c>
      <c r="G413" s="8" t="s">
        <v>8287</v>
      </c>
      <c r="H413" s="8" t="s">
        <v>62</v>
      </c>
      <c r="I413" s="8"/>
    </row>
    <row r="414" customFormat="false" ht="15" hidden="false" customHeight="false" outlineLevel="0" collapsed="false">
      <c r="A414" s="4" t="s">
        <v>9323</v>
      </c>
      <c r="B414" s="4" t="n">
        <v>413</v>
      </c>
      <c r="C414" s="4" t="n">
        <v>873</v>
      </c>
      <c r="D414" s="8" t="s">
        <v>8410</v>
      </c>
      <c r="E414" s="8" t="s">
        <v>9324</v>
      </c>
      <c r="F414" s="8" t="s">
        <v>9325</v>
      </c>
      <c r="G414" s="8" t="s">
        <v>8287</v>
      </c>
      <c r="H414" s="8" t="s">
        <v>62</v>
      </c>
      <c r="I414" s="8"/>
    </row>
    <row r="415" customFormat="false" ht="15" hidden="false" customHeight="false" outlineLevel="0" collapsed="false">
      <c r="A415" s="4" t="s">
        <v>9326</v>
      </c>
      <c r="B415" s="4" t="n">
        <v>414</v>
      </c>
      <c r="C415" s="4" t="n">
        <v>875</v>
      </c>
      <c r="D415" s="8" t="s">
        <v>8389</v>
      </c>
      <c r="E415" s="8" t="s">
        <v>9327</v>
      </c>
      <c r="F415" s="8" t="s">
        <v>9328</v>
      </c>
      <c r="G415" s="8" t="s">
        <v>8287</v>
      </c>
      <c r="H415" s="8" t="s">
        <v>62</v>
      </c>
      <c r="I415" s="8"/>
    </row>
    <row r="416" customFormat="false" ht="15" hidden="false" customHeight="false" outlineLevel="0" collapsed="false">
      <c r="A416" s="4" t="s">
        <v>9329</v>
      </c>
      <c r="B416" s="4" t="n">
        <v>415</v>
      </c>
      <c r="C416" s="4" t="n">
        <v>878</v>
      </c>
      <c r="D416" s="8" t="s">
        <v>8323</v>
      </c>
      <c r="E416" s="8" t="s">
        <v>9330</v>
      </c>
      <c r="F416" s="8" t="s">
        <v>9331</v>
      </c>
      <c r="G416" s="8" t="s">
        <v>8287</v>
      </c>
      <c r="H416" s="8" t="s">
        <v>62</v>
      </c>
      <c r="I416" s="8"/>
    </row>
    <row r="417" customFormat="false" ht="15" hidden="false" customHeight="false" outlineLevel="0" collapsed="false">
      <c r="A417" s="4" t="s">
        <v>9332</v>
      </c>
      <c r="B417" s="4" t="n">
        <v>416</v>
      </c>
      <c r="C417" s="4" t="n">
        <v>880</v>
      </c>
      <c r="D417" s="8" t="s">
        <v>8323</v>
      </c>
      <c r="E417" s="8" t="s">
        <v>7403</v>
      </c>
      <c r="F417" s="8" t="s">
        <v>9333</v>
      </c>
      <c r="G417" s="8" t="s">
        <v>8287</v>
      </c>
      <c r="H417" s="8" t="s">
        <v>62</v>
      </c>
      <c r="I417" s="8"/>
    </row>
    <row r="418" customFormat="false" ht="15" hidden="false" customHeight="false" outlineLevel="0" collapsed="false">
      <c r="A418" s="4" t="s">
        <v>9334</v>
      </c>
      <c r="B418" s="4" t="n">
        <v>417</v>
      </c>
      <c r="C418" s="4" t="n">
        <v>881</v>
      </c>
      <c r="D418" s="8" t="s">
        <v>8396</v>
      </c>
      <c r="E418" s="8" t="s">
        <v>9335</v>
      </c>
      <c r="F418" s="8" t="s">
        <v>9336</v>
      </c>
      <c r="G418" s="8" t="s">
        <v>8287</v>
      </c>
      <c r="H418" s="8" t="s">
        <v>62</v>
      </c>
      <c r="I418" s="8"/>
    </row>
    <row r="419" customFormat="false" ht="15" hidden="false" customHeight="false" outlineLevel="0" collapsed="false">
      <c r="A419" s="4" t="s">
        <v>9337</v>
      </c>
      <c r="B419" s="4" t="n">
        <v>418</v>
      </c>
      <c r="C419" s="4" t="n">
        <v>882</v>
      </c>
      <c r="D419" s="8" t="s">
        <v>8389</v>
      </c>
      <c r="E419" s="8" t="s">
        <v>9338</v>
      </c>
      <c r="F419" s="8" t="s">
        <v>9339</v>
      </c>
      <c r="G419" s="8" t="s">
        <v>8287</v>
      </c>
      <c r="H419" s="8" t="s">
        <v>62</v>
      </c>
      <c r="I419" s="8"/>
    </row>
    <row r="420" customFormat="false" ht="15" hidden="false" customHeight="false" outlineLevel="0" collapsed="false">
      <c r="A420" s="4" t="s">
        <v>9340</v>
      </c>
      <c r="B420" s="4" t="n">
        <v>419</v>
      </c>
      <c r="C420" s="4" t="n">
        <v>886</v>
      </c>
      <c r="D420" s="8" t="s">
        <v>8848</v>
      </c>
      <c r="E420" s="8" t="s">
        <v>6721</v>
      </c>
      <c r="F420" s="8" t="s">
        <v>6722</v>
      </c>
      <c r="G420" s="8" t="s">
        <v>8287</v>
      </c>
      <c r="H420" s="8" t="s">
        <v>62</v>
      </c>
      <c r="I420" s="8"/>
    </row>
    <row r="421" customFormat="false" ht="15" hidden="false" customHeight="false" outlineLevel="0" collapsed="false">
      <c r="A421" s="4" t="s">
        <v>9341</v>
      </c>
      <c r="B421" s="4" t="n">
        <v>420</v>
      </c>
      <c r="C421" s="4" t="n">
        <v>888</v>
      </c>
      <c r="D421" s="8" t="s">
        <v>8410</v>
      </c>
      <c r="E421" s="8" t="s">
        <v>431</v>
      </c>
      <c r="F421" s="8" t="s">
        <v>432</v>
      </c>
      <c r="G421" s="8" t="s">
        <v>8287</v>
      </c>
      <c r="H421" s="8" t="s">
        <v>62</v>
      </c>
      <c r="I421" s="8"/>
    </row>
    <row r="422" customFormat="false" ht="15" hidden="false" customHeight="false" outlineLevel="0" collapsed="false">
      <c r="A422" s="4" t="s">
        <v>9342</v>
      </c>
      <c r="B422" s="4" t="n">
        <v>421</v>
      </c>
      <c r="C422" s="4" t="n">
        <v>889</v>
      </c>
      <c r="D422" s="8" t="s">
        <v>8410</v>
      </c>
      <c r="E422" s="8" t="s">
        <v>9343</v>
      </c>
      <c r="F422" s="8" t="s">
        <v>9344</v>
      </c>
      <c r="G422" s="8" t="s">
        <v>8287</v>
      </c>
      <c r="H422" s="8" t="s">
        <v>62</v>
      </c>
      <c r="I422" s="8"/>
    </row>
    <row r="423" customFormat="false" ht="15" hidden="false" customHeight="false" outlineLevel="0" collapsed="false">
      <c r="A423" s="4" t="s">
        <v>9345</v>
      </c>
      <c r="B423" s="4" t="n">
        <v>422</v>
      </c>
      <c r="C423" s="4" t="n">
        <v>892</v>
      </c>
      <c r="D423" s="8" t="s">
        <v>8305</v>
      </c>
      <c r="E423" s="8" t="s">
        <v>9346</v>
      </c>
      <c r="F423" s="8" t="s">
        <v>9347</v>
      </c>
      <c r="G423" s="8" t="s">
        <v>8287</v>
      </c>
      <c r="H423" s="8" t="s">
        <v>62</v>
      </c>
      <c r="I423" s="8"/>
    </row>
    <row r="424" customFormat="false" ht="15" hidden="false" customHeight="false" outlineLevel="0" collapsed="false">
      <c r="A424" s="4" t="s">
        <v>9348</v>
      </c>
      <c r="B424" s="4" t="n">
        <v>423</v>
      </c>
      <c r="C424" s="4" t="n">
        <v>893</v>
      </c>
      <c r="D424" s="8" t="s">
        <v>8504</v>
      </c>
      <c r="E424" s="8" t="s">
        <v>9349</v>
      </c>
      <c r="F424" s="8" t="s">
        <v>6911</v>
      </c>
      <c r="G424" s="8" t="s">
        <v>8287</v>
      </c>
      <c r="H424" s="8" t="s">
        <v>62</v>
      </c>
      <c r="I424" s="8"/>
    </row>
    <row r="425" customFormat="false" ht="15" hidden="false" customHeight="false" outlineLevel="0" collapsed="false">
      <c r="A425" s="4" t="s">
        <v>9350</v>
      </c>
      <c r="B425" s="4" t="n">
        <v>424</v>
      </c>
      <c r="C425" s="4" t="n">
        <v>894</v>
      </c>
      <c r="D425" s="8" t="s">
        <v>8389</v>
      </c>
      <c r="E425" s="8" t="s">
        <v>5928</v>
      </c>
      <c r="F425" s="8" t="s">
        <v>5929</v>
      </c>
      <c r="G425" s="8" t="s">
        <v>8287</v>
      </c>
      <c r="H425" s="8" t="s">
        <v>62</v>
      </c>
      <c r="I425" s="8"/>
    </row>
    <row r="426" customFormat="false" ht="15" hidden="false" customHeight="false" outlineLevel="0" collapsed="false">
      <c r="A426" s="4" t="s">
        <v>9351</v>
      </c>
      <c r="B426" s="4" t="n">
        <v>425</v>
      </c>
      <c r="C426" s="4" t="n">
        <v>895</v>
      </c>
      <c r="D426" s="8" t="s">
        <v>8323</v>
      </c>
      <c r="E426" s="8" t="s">
        <v>9352</v>
      </c>
      <c r="F426" s="8" t="s">
        <v>9353</v>
      </c>
      <c r="G426" s="8" t="s">
        <v>8287</v>
      </c>
      <c r="H426" s="8" t="s">
        <v>62</v>
      </c>
      <c r="I426" s="8"/>
    </row>
    <row r="427" customFormat="false" ht="15" hidden="false" customHeight="false" outlineLevel="0" collapsed="false">
      <c r="A427" s="4" t="s">
        <v>9354</v>
      </c>
      <c r="B427" s="4" t="n">
        <v>426</v>
      </c>
      <c r="C427" s="4" t="n">
        <v>896</v>
      </c>
      <c r="D427" s="8" t="s">
        <v>8389</v>
      </c>
      <c r="E427" s="8" t="s">
        <v>9355</v>
      </c>
      <c r="F427" s="8" t="s">
        <v>9356</v>
      </c>
      <c r="G427" s="8" t="s">
        <v>8287</v>
      </c>
      <c r="H427" s="8" t="s">
        <v>62</v>
      </c>
      <c r="I427" s="8"/>
    </row>
    <row r="428" customFormat="false" ht="15" hidden="false" customHeight="false" outlineLevel="0" collapsed="false">
      <c r="A428" s="4" t="s">
        <v>9357</v>
      </c>
      <c r="B428" s="4" t="n">
        <v>427</v>
      </c>
      <c r="C428" s="4" t="n">
        <v>897</v>
      </c>
      <c r="D428" s="8" t="s">
        <v>8415</v>
      </c>
      <c r="E428" s="8" t="s">
        <v>9358</v>
      </c>
      <c r="F428" s="8" t="s">
        <v>9359</v>
      </c>
      <c r="G428" s="8" t="s">
        <v>8287</v>
      </c>
      <c r="H428" s="8" t="s">
        <v>62</v>
      </c>
      <c r="I428" s="8"/>
    </row>
    <row r="429" customFormat="false" ht="15" hidden="false" customHeight="false" outlineLevel="0" collapsed="false">
      <c r="A429" s="4" t="s">
        <v>9360</v>
      </c>
      <c r="B429" s="4" t="n">
        <v>428</v>
      </c>
      <c r="C429" s="4" t="n">
        <v>906</v>
      </c>
      <c r="D429" s="8" t="s">
        <v>8291</v>
      </c>
      <c r="E429" s="8" t="s">
        <v>9361</v>
      </c>
      <c r="F429" s="8" t="s">
        <v>6468</v>
      </c>
      <c r="G429" s="8" t="s">
        <v>8287</v>
      </c>
      <c r="H429" s="8" t="s">
        <v>62</v>
      </c>
      <c r="I429" s="8"/>
    </row>
    <row r="430" customFormat="false" ht="15" hidden="false" customHeight="false" outlineLevel="0" collapsed="false">
      <c r="A430" s="4" t="s">
        <v>9362</v>
      </c>
      <c r="B430" s="4" t="n">
        <v>429</v>
      </c>
      <c r="C430" s="4" t="n">
        <v>909</v>
      </c>
      <c r="D430" s="8" t="s">
        <v>8389</v>
      </c>
      <c r="E430" s="8" t="s">
        <v>6548</v>
      </c>
      <c r="F430" s="8" t="s">
        <v>354</v>
      </c>
      <c r="G430" s="8" t="s">
        <v>8287</v>
      </c>
      <c r="H430" s="8" t="s">
        <v>62</v>
      </c>
      <c r="I430" s="8"/>
    </row>
    <row r="431" customFormat="false" ht="15" hidden="false" customHeight="false" outlineLevel="0" collapsed="false">
      <c r="A431" s="4" t="s">
        <v>9363</v>
      </c>
      <c r="B431" s="4" t="n">
        <v>430</v>
      </c>
      <c r="C431" s="4" t="n">
        <v>912</v>
      </c>
      <c r="D431" s="8" t="s">
        <v>8410</v>
      </c>
      <c r="E431" s="8" t="s">
        <v>9364</v>
      </c>
      <c r="F431" s="8" t="s">
        <v>9365</v>
      </c>
      <c r="G431" s="8" t="s">
        <v>8287</v>
      </c>
      <c r="H431" s="8" t="s">
        <v>62</v>
      </c>
      <c r="I431" s="8"/>
    </row>
    <row r="432" customFormat="false" ht="15" hidden="false" customHeight="false" outlineLevel="0" collapsed="false">
      <c r="A432" s="4" t="s">
        <v>9366</v>
      </c>
      <c r="B432" s="4" t="n">
        <v>431</v>
      </c>
      <c r="C432" s="4" t="n">
        <v>913</v>
      </c>
      <c r="D432" s="8" t="s">
        <v>8410</v>
      </c>
      <c r="E432" s="8" t="s">
        <v>9367</v>
      </c>
      <c r="F432" s="8" t="s">
        <v>9368</v>
      </c>
      <c r="G432" s="8" t="s">
        <v>8287</v>
      </c>
      <c r="H432" s="8" t="s">
        <v>62</v>
      </c>
      <c r="I432" s="8"/>
    </row>
    <row r="433" customFormat="false" ht="15" hidden="false" customHeight="false" outlineLevel="0" collapsed="false">
      <c r="A433" s="4" t="s">
        <v>9369</v>
      </c>
      <c r="B433" s="4" t="n">
        <v>432</v>
      </c>
      <c r="C433" s="4" t="n">
        <v>914</v>
      </c>
      <c r="D433" s="8" t="s">
        <v>8389</v>
      </c>
      <c r="E433" s="8" t="s">
        <v>9370</v>
      </c>
      <c r="F433" s="8" t="s">
        <v>9371</v>
      </c>
      <c r="G433" s="8" t="s">
        <v>8287</v>
      </c>
      <c r="H433" s="8" t="s">
        <v>62</v>
      </c>
      <c r="I433" s="8"/>
    </row>
    <row r="434" customFormat="false" ht="15" hidden="false" customHeight="false" outlineLevel="0" collapsed="false">
      <c r="A434" s="4" t="s">
        <v>9372</v>
      </c>
      <c r="B434" s="4" t="n">
        <v>433</v>
      </c>
      <c r="C434" s="4" t="n">
        <v>922</v>
      </c>
      <c r="D434" s="8" t="s">
        <v>8389</v>
      </c>
      <c r="E434" s="8" t="s">
        <v>9373</v>
      </c>
      <c r="F434" s="8" t="s">
        <v>145</v>
      </c>
      <c r="G434" s="8" t="s">
        <v>8287</v>
      </c>
      <c r="H434" s="8" t="s">
        <v>62</v>
      </c>
      <c r="I434" s="8"/>
    </row>
    <row r="435" customFormat="false" ht="15" hidden="false" customHeight="false" outlineLevel="0" collapsed="false">
      <c r="A435" s="4" t="s">
        <v>9374</v>
      </c>
      <c r="B435" s="4" t="n">
        <v>434</v>
      </c>
      <c r="C435" s="4" t="n">
        <v>924</v>
      </c>
      <c r="D435" s="8" t="s">
        <v>8396</v>
      </c>
      <c r="E435" s="8" t="s">
        <v>9375</v>
      </c>
      <c r="F435" s="8" t="s">
        <v>9042</v>
      </c>
      <c r="G435" s="8" t="s">
        <v>8287</v>
      </c>
      <c r="H435" s="8" t="s">
        <v>62</v>
      </c>
      <c r="I435" s="8"/>
    </row>
    <row r="436" customFormat="false" ht="15" hidden="false" customHeight="false" outlineLevel="0" collapsed="false">
      <c r="A436" s="4" t="s">
        <v>9376</v>
      </c>
      <c r="B436" s="4" t="n">
        <v>435</v>
      </c>
      <c r="C436" s="4" t="n">
        <v>927</v>
      </c>
      <c r="D436" s="8" t="s">
        <v>8504</v>
      </c>
      <c r="E436" s="8" t="s">
        <v>9377</v>
      </c>
      <c r="F436" s="8" t="s">
        <v>9378</v>
      </c>
      <c r="G436" s="8" t="s">
        <v>8287</v>
      </c>
      <c r="H436" s="8" t="s">
        <v>62</v>
      </c>
      <c r="I436" s="8"/>
    </row>
    <row r="437" customFormat="false" ht="15" hidden="false" customHeight="false" outlineLevel="0" collapsed="false">
      <c r="A437" s="4" t="s">
        <v>9379</v>
      </c>
      <c r="B437" s="4" t="n">
        <v>436</v>
      </c>
      <c r="C437" s="4" t="n">
        <v>930</v>
      </c>
      <c r="D437" s="8" t="s">
        <v>8389</v>
      </c>
      <c r="E437" s="8" t="s">
        <v>9380</v>
      </c>
      <c r="F437" s="8" t="s">
        <v>9381</v>
      </c>
      <c r="G437" s="8" t="s">
        <v>8287</v>
      </c>
      <c r="H437" s="8" t="s">
        <v>62</v>
      </c>
      <c r="I437" s="8"/>
    </row>
    <row r="438" customFormat="false" ht="15" hidden="false" customHeight="false" outlineLevel="0" collapsed="false">
      <c r="A438" s="4" t="s">
        <v>9382</v>
      </c>
      <c r="B438" s="4" t="n">
        <v>437</v>
      </c>
      <c r="C438" s="4" t="n">
        <v>931</v>
      </c>
      <c r="D438" s="8" t="s">
        <v>8410</v>
      </c>
      <c r="E438" s="8" t="s">
        <v>9383</v>
      </c>
      <c r="F438" s="8" t="s">
        <v>9384</v>
      </c>
      <c r="G438" s="8" t="s">
        <v>8287</v>
      </c>
      <c r="H438" s="8" t="s">
        <v>62</v>
      </c>
      <c r="I438" s="8"/>
    </row>
    <row r="439" customFormat="false" ht="15" hidden="false" customHeight="false" outlineLevel="0" collapsed="false">
      <c r="A439" s="4" t="s">
        <v>9385</v>
      </c>
      <c r="B439" s="4" t="n">
        <v>438</v>
      </c>
      <c r="C439" s="4" t="n">
        <v>933</v>
      </c>
      <c r="D439" s="8" t="s">
        <v>8323</v>
      </c>
      <c r="E439" s="8" t="s">
        <v>9386</v>
      </c>
      <c r="F439" s="8" t="s">
        <v>9387</v>
      </c>
      <c r="G439" s="8" t="s">
        <v>8287</v>
      </c>
      <c r="H439" s="8" t="s">
        <v>62</v>
      </c>
      <c r="I439" s="8"/>
    </row>
    <row r="440" customFormat="false" ht="15" hidden="false" customHeight="false" outlineLevel="0" collapsed="false">
      <c r="A440" s="4" t="s">
        <v>9388</v>
      </c>
      <c r="B440" s="4" t="n">
        <v>439</v>
      </c>
      <c r="C440" s="4" t="n">
        <v>934</v>
      </c>
      <c r="D440" s="8" t="s">
        <v>8410</v>
      </c>
      <c r="E440" s="8" t="s">
        <v>9389</v>
      </c>
      <c r="F440" s="8" t="s">
        <v>9390</v>
      </c>
      <c r="G440" s="8" t="s">
        <v>8287</v>
      </c>
      <c r="H440" s="8" t="s">
        <v>62</v>
      </c>
      <c r="I440" s="8"/>
    </row>
    <row r="441" customFormat="false" ht="15" hidden="false" customHeight="false" outlineLevel="0" collapsed="false">
      <c r="A441" s="4" t="s">
        <v>9391</v>
      </c>
      <c r="B441" s="4" t="n">
        <v>440</v>
      </c>
      <c r="C441" s="4" t="n">
        <v>935</v>
      </c>
      <c r="D441" s="8" t="s">
        <v>8389</v>
      </c>
      <c r="E441" s="8" t="s">
        <v>1617</v>
      </c>
      <c r="F441" s="8" t="s">
        <v>1618</v>
      </c>
      <c r="G441" s="8" t="s">
        <v>8287</v>
      </c>
      <c r="H441" s="8" t="s">
        <v>62</v>
      </c>
      <c r="I441" s="8"/>
    </row>
    <row r="442" customFormat="false" ht="15" hidden="false" customHeight="false" outlineLevel="0" collapsed="false">
      <c r="A442" s="4" t="s">
        <v>9392</v>
      </c>
      <c r="B442" s="4" t="n">
        <v>441</v>
      </c>
      <c r="C442" s="4" t="n">
        <v>937</v>
      </c>
      <c r="D442" s="8" t="s">
        <v>8410</v>
      </c>
      <c r="E442" s="8" t="s">
        <v>9393</v>
      </c>
      <c r="F442" s="8" t="s">
        <v>9394</v>
      </c>
      <c r="G442" s="8" t="s">
        <v>8287</v>
      </c>
      <c r="H442" s="8" t="s">
        <v>62</v>
      </c>
      <c r="I442" s="8"/>
    </row>
    <row r="443" customFormat="false" ht="15" hidden="false" customHeight="false" outlineLevel="0" collapsed="false">
      <c r="A443" s="4" t="s">
        <v>9395</v>
      </c>
      <c r="B443" s="4" t="n">
        <v>442</v>
      </c>
      <c r="C443" s="4" t="n">
        <v>941</v>
      </c>
      <c r="D443" s="8" t="s">
        <v>8410</v>
      </c>
      <c r="E443" s="8" t="s">
        <v>1340</v>
      </c>
      <c r="F443" s="8" t="s">
        <v>9396</v>
      </c>
      <c r="G443" s="8" t="s">
        <v>8287</v>
      </c>
      <c r="H443" s="8" t="s">
        <v>62</v>
      </c>
      <c r="I443" s="8"/>
    </row>
    <row r="444" customFormat="false" ht="15" hidden="false" customHeight="false" outlineLevel="0" collapsed="false">
      <c r="A444" s="4" t="s">
        <v>9397</v>
      </c>
      <c r="B444" s="4" t="n">
        <v>443</v>
      </c>
      <c r="C444" s="4" t="n">
        <v>942</v>
      </c>
      <c r="D444" s="8" t="s">
        <v>8360</v>
      </c>
      <c r="E444" s="8" t="s">
        <v>8285</v>
      </c>
      <c r="F444" s="8" t="s">
        <v>9398</v>
      </c>
      <c r="G444" s="8" t="s">
        <v>8287</v>
      </c>
      <c r="H444" s="8" t="s">
        <v>62</v>
      </c>
      <c r="I444" s="8"/>
    </row>
    <row r="445" customFormat="false" ht="15" hidden="false" customHeight="false" outlineLevel="0" collapsed="false">
      <c r="A445" s="4" t="s">
        <v>9399</v>
      </c>
      <c r="B445" s="4" t="n">
        <v>444</v>
      </c>
      <c r="C445" s="4" t="n">
        <v>943</v>
      </c>
      <c r="D445" s="8" t="s">
        <v>8415</v>
      </c>
      <c r="E445" s="8" t="s">
        <v>9400</v>
      </c>
      <c r="F445" s="8" t="s">
        <v>9401</v>
      </c>
      <c r="G445" s="8" t="s">
        <v>8287</v>
      </c>
      <c r="H445" s="8" t="s">
        <v>62</v>
      </c>
      <c r="I445" s="8"/>
    </row>
    <row r="446" customFormat="false" ht="15" hidden="false" customHeight="false" outlineLevel="0" collapsed="false">
      <c r="A446" s="4" t="s">
        <v>9402</v>
      </c>
      <c r="B446" s="4" t="n">
        <v>445</v>
      </c>
      <c r="C446" s="4" t="n">
        <v>944</v>
      </c>
      <c r="D446" s="8" t="s">
        <v>8389</v>
      </c>
      <c r="E446" s="8" t="s">
        <v>9403</v>
      </c>
      <c r="F446" s="8" t="s">
        <v>9404</v>
      </c>
      <c r="G446" s="8" t="s">
        <v>8287</v>
      </c>
      <c r="H446" s="8" t="s">
        <v>62</v>
      </c>
      <c r="I446" s="8"/>
    </row>
    <row r="447" customFormat="false" ht="15" hidden="false" customHeight="false" outlineLevel="0" collapsed="false">
      <c r="A447" s="4" t="s">
        <v>9405</v>
      </c>
      <c r="B447" s="4" t="n">
        <v>446</v>
      </c>
      <c r="C447" s="4" t="n">
        <v>945</v>
      </c>
      <c r="D447" s="8" t="s">
        <v>8410</v>
      </c>
      <c r="E447" s="8" t="s">
        <v>9406</v>
      </c>
      <c r="F447" s="8" t="s">
        <v>9407</v>
      </c>
      <c r="G447" s="8" t="s">
        <v>8287</v>
      </c>
      <c r="H447" s="8" t="s">
        <v>62</v>
      </c>
      <c r="I447" s="8"/>
    </row>
    <row r="448" customFormat="false" ht="15" hidden="false" customHeight="false" outlineLevel="0" collapsed="false">
      <c r="A448" s="4" t="s">
        <v>9408</v>
      </c>
      <c r="B448" s="4" t="n">
        <v>447</v>
      </c>
      <c r="C448" s="4" t="n">
        <v>951</v>
      </c>
      <c r="D448" s="8" t="s">
        <v>8410</v>
      </c>
      <c r="E448" s="8" t="s">
        <v>9409</v>
      </c>
      <c r="F448" s="8" t="s">
        <v>9410</v>
      </c>
      <c r="G448" s="8" t="s">
        <v>8287</v>
      </c>
      <c r="H448" s="8" t="s">
        <v>62</v>
      </c>
      <c r="I448" s="8"/>
    </row>
    <row r="449" customFormat="false" ht="15" hidden="false" customHeight="false" outlineLevel="0" collapsed="false">
      <c r="A449" s="4" t="s">
        <v>9411</v>
      </c>
      <c r="B449" s="4" t="n">
        <v>448</v>
      </c>
      <c r="C449" s="4" t="n">
        <v>959</v>
      </c>
      <c r="D449" s="8" t="s">
        <v>8396</v>
      </c>
      <c r="E449" s="8" t="s">
        <v>1271</v>
      </c>
      <c r="F449" s="8" t="s">
        <v>1272</v>
      </c>
      <c r="G449" s="8" t="s">
        <v>8287</v>
      </c>
      <c r="H449" s="8" t="s">
        <v>62</v>
      </c>
      <c r="I449" s="8"/>
    </row>
    <row r="450" customFormat="false" ht="15" hidden="false" customHeight="false" outlineLevel="0" collapsed="false">
      <c r="A450" s="4" t="s">
        <v>9412</v>
      </c>
      <c r="B450" s="4" t="n">
        <v>449</v>
      </c>
      <c r="C450" s="4" t="n">
        <v>961</v>
      </c>
      <c r="D450" s="8" t="s">
        <v>8415</v>
      </c>
      <c r="E450" s="8" t="s">
        <v>9413</v>
      </c>
      <c r="F450" s="8" t="s">
        <v>9414</v>
      </c>
      <c r="G450" s="8" t="s">
        <v>8287</v>
      </c>
      <c r="H450" s="8" t="s">
        <v>62</v>
      </c>
      <c r="I450" s="8"/>
    </row>
    <row r="451" customFormat="false" ht="15" hidden="false" customHeight="false" outlineLevel="0" collapsed="false">
      <c r="A451" s="4" t="s">
        <v>9415</v>
      </c>
      <c r="B451" s="4" t="n">
        <v>450</v>
      </c>
      <c r="C451" s="4" t="n">
        <v>962</v>
      </c>
      <c r="D451" s="8" t="s">
        <v>8389</v>
      </c>
      <c r="E451" s="8" t="s">
        <v>9416</v>
      </c>
      <c r="F451" s="8" t="s">
        <v>9417</v>
      </c>
      <c r="G451" s="8" t="s">
        <v>8287</v>
      </c>
      <c r="H451" s="8" t="s">
        <v>62</v>
      </c>
      <c r="I451" s="8"/>
    </row>
    <row r="452" customFormat="false" ht="15" hidden="false" customHeight="false" outlineLevel="0" collapsed="false">
      <c r="A452" s="4" t="s">
        <v>9418</v>
      </c>
      <c r="B452" s="4" t="n">
        <v>451</v>
      </c>
      <c r="C452" s="4" t="n">
        <v>963</v>
      </c>
      <c r="D452" s="8" t="s">
        <v>8396</v>
      </c>
      <c r="E452" s="8" t="s">
        <v>9419</v>
      </c>
      <c r="F452" s="8" t="s">
        <v>9420</v>
      </c>
      <c r="G452" s="8" t="s">
        <v>8287</v>
      </c>
      <c r="H452" s="8" t="s">
        <v>62</v>
      </c>
      <c r="I452" s="8"/>
    </row>
    <row r="453" customFormat="false" ht="15" hidden="false" customHeight="false" outlineLevel="0" collapsed="false">
      <c r="A453" s="4" t="s">
        <v>9421</v>
      </c>
      <c r="B453" s="4" t="n">
        <v>452</v>
      </c>
      <c r="C453" s="4" t="n">
        <v>964</v>
      </c>
      <c r="D453" s="8" t="s">
        <v>8410</v>
      </c>
      <c r="E453" s="8" t="s">
        <v>6580</v>
      </c>
      <c r="F453" s="8" t="s">
        <v>419</v>
      </c>
      <c r="G453" s="8" t="s">
        <v>8287</v>
      </c>
      <c r="H453" s="8" t="s">
        <v>62</v>
      </c>
      <c r="I453" s="8"/>
    </row>
    <row r="454" customFormat="false" ht="15" hidden="false" customHeight="false" outlineLevel="0" collapsed="false">
      <c r="A454" s="4" t="s">
        <v>9422</v>
      </c>
      <c r="B454" s="4" t="n">
        <v>453</v>
      </c>
      <c r="C454" s="4" t="n">
        <v>965</v>
      </c>
      <c r="D454" s="8" t="s">
        <v>8410</v>
      </c>
      <c r="E454" s="8" t="s">
        <v>9423</v>
      </c>
      <c r="F454" s="8" t="s">
        <v>9424</v>
      </c>
      <c r="G454" s="8" t="s">
        <v>8287</v>
      </c>
      <c r="H454" s="8" t="s">
        <v>62</v>
      </c>
      <c r="I454" s="8"/>
    </row>
    <row r="455" customFormat="false" ht="15" hidden="false" customHeight="false" outlineLevel="0" collapsed="false">
      <c r="A455" s="4" t="s">
        <v>9425</v>
      </c>
      <c r="B455" s="4" t="n">
        <v>454</v>
      </c>
      <c r="C455" s="4" t="n">
        <v>967</v>
      </c>
      <c r="D455" s="8" t="s">
        <v>8410</v>
      </c>
      <c r="E455" s="8" t="s">
        <v>6568</v>
      </c>
      <c r="F455" s="8" t="s">
        <v>443</v>
      </c>
      <c r="G455" s="8" t="s">
        <v>8287</v>
      </c>
      <c r="H455" s="8" t="s">
        <v>62</v>
      </c>
      <c r="I455" s="8"/>
    </row>
    <row r="456" customFormat="false" ht="15" hidden="false" customHeight="false" outlineLevel="0" collapsed="false">
      <c r="A456" s="4" t="s">
        <v>9426</v>
      </c>
      <c r="B456" s="4" t="n">
        <v>455</v>
      </c>
      <c r="C456" s="4" t="n">
        <v>970</v>
      </c>
      <c r="D456" s="8" t="s">
        <v>8410</v>
      </c>
      <c r="E456" s="8" t="s">
        <v>6586</v>
      </c>
      <c r="F456" s="8" t="s">
        <v>439</v>
      </c>
      <c r="G456" s="8" t="s">
        <v>8287</v>
      </c>
      <c r="H456" s="8" t="s">
        <v>62</v>
      </c>
      <c r="I456" s="8"/>
    </row>
    <row r="457" customFormat="false" ht="15" hidden="false" customHeight="false" outlineLevel="0" collapsed="false">
      <c r="A457" s="4" t="s">
        <v>9427</v>
      </c>
      <c r="B457" s="4" t="n">
        <v>456</v>
      </c>
      <c r="C457" s="4" t="n">
        <v>972</v>
      </c>
      <c r="D457" s="8" t="s">
        <v>8323</v>
      </c>
      <c r="E457" s="8" t="s">
        <v>728</v>
      </c>
      <c r="F457" s="8" t="s">
        <v>9428</v>
      </c>
      <c r="G457" s="8" t="s">
        <v>8287</v>
      </c>
      <c r="H457" s="8" t="s">
        <v>62</v>
      </c>
      <c r="I457" s="8"/>
    </row>
    <row r="458" customFormat="false" ht="15" hidden="false" customHeight="false" outlineLevel="0" collapsed="false">
      <c r="A458" s="4" t="s">
        <v>9429</v>
      </c>
      <c r="B458" s="4" t="n">
        <v>457</v>
      </c>
      <c r="C458" s="4" t="n">
        <v>976</v>
      </c>
      <c r="D458" s="8" t="s">
        <v>8410</v>
      </c>
      <c r="E458" s="8" t="s">
        <v>9430</v>
      </c>
      <c r="F458" s="8" t="s">
        <v>9431</v>
      </c>
      <c r="G458" s="8" t="s">
        <v>8287</v>
      </c>
      <c r="H458" s="8" t="s">
        <v>62</v>
      </c>
      <c r="I458" s="8"/>
    </row>
    <row r="459" customFormat="false" ht="15" hidden="false" customHeight="false" outlineLevel="0" collapsed="false">
      <c r="A459" s="4" t="s">
        <v>9432</v>
      </c>
      <c r="B459" s="4" t="n">
        <v>458</v>
      </c>
      <c r="C459" s="4" t="n">
        <v>995</v>
      </c>
      <c r="D459" s="8" t="s">
        <v>8410</v>
      </c>
      <c r="E459" s="8" t="s">
        <v>3542</v>
      </c>
      <c r="F459" s="8" t="s">
        <v>9433</v>
      </c>
      <c r="G459" s="8" t="s">
        <v>8287</v>
      </c>
      <c r="H459" s="8" t="s">
        <v>62</v>
      </c>
      <c r="I459" s="8"/>
    </row>
    <row r="460" customFormat="false" ht="15" hidden="false" customHeight="false" outlineLevel="0" collapsed="false">
      <c r="A460" s="4" t="s">
        <v>9434</v>
      </c>
      <c r="B460" s="4" t="n">
        <v>459</v>
      </c>
      <c r="C460" s="4" t="n">
        <v>997</v>
      </c>
      <c r="D460" s="8" t="s">
        <v>8378</v>
      </c>
      <c r="E460" s="8" t="s">
        <v>9435</v>
      </c>
      <c r="F460" s="8" t="s">
        <v>9436</v>
      </c>
      <c r="G460" s="8" t="s">
        <v>8287</v>
      </c>
      <c r="H460" s="8" t="s">
        <v>62</v>
      </c>
      <c r="I460" s="8"/>
    </row>
    <row r="461" customFormat="false" ht="15" hidden="false" customHeight="false" outlineLevel="0" collapsed="false">
      <c r="A461" s="4" t="s">
        <v>9437</v>
      </c>
      <c r="B461" s="4" t="n">
        <v>460</v>
      </c>
      <c r="C461" s="4" t="n">
        <v>1009</v>
      </c>
      <c r="D461" s="8" t="s">
        <v>8323</v>
      </c>
      <c r="E461" s="8" t="s">
        <v>1074</v>
      </c>
      <c r="F461" s="8" t="s">
        <v>9438</v>
      </c>
      <c r="G461" s="8" t="s">
        <v>8287</v>
      </c>
      <c r="H461" s="8" t="s">
        <v>62</v>
      </c>
      <c r="I461" s="8"/>
    </row>
    <row r="462" customFormat="false" ht="15" hidden="false" customHeight="false" outlineLevel="0" collapsed="false">
      <c r="A462" s="4" t="s">
        <v>9439</v>
      </c>
      <c r="B462" s="4" t="n">
        <v>461</v>
      </c>
      <c r="C462" s="4" t="n">
        <v>1016</v>
      </c>
      <c r="D462" s="8" t="s">
        <v>8323</v>
      </c>
      <c r="E462" s="8" t="s">
        <v>9440</v>
      </c>
      <c r="F462" s="8" t="s">
        <v>9441</v>
      </c>
      <c r="G462" s="8" t="s">
        <v>8287</v>
      </c>
      <c r="H462" s="8" t="s">
        <v>62</v>
      </c>
      <c r="I462" s="8"/>
    </row>
    <row r="463" customFormat="false" ht="15" hidden="false" customHeight="false" outlineLevel="0" collapsed="false">
      <c r="A463" s="4" t="s">
        <v>9442</v>
      </c>
      <c r="B463" s="4" t="n">
        <v>462</v>
      </c>
      <c r="C463" s="4" t="n">
        <v>1018</v>
      </c>
      <c r="D463" s="8" t="s">
        <v>8389</v>
      </c>
      <c r="E463" s="8" t="s">
        <v>9443</v>
      </c>
      <c r="F463" s="8" t="s">
        <v>9444</v>
      </c>
      <c r="G463" s="8" t="s">
        <v>8287</v>
      </c>
      <c r="H463" s="8" t="s">
        <v>62</v>
      </c>
      <c r="I463" s="8"/>
    </row>
    <row r="464" customFormat="false" ht="15" hidden="false" customHeight="false" outlineLevel="0" collapsed="false">
      <c r="A464" s="4" t="s">
        <v>9445</v>
      </c>
      <c r="B464" s="4" t="n">
        <v>463</v>
      </c>
      <c r="C464" s="4" t="n">
        <v>1019</v>
      </c>
      <c r="D464" s="8" t="s">
        <v>8378</v>
      </c>
      <c r="E464" s="8" t="s">
        <v>9446</v>
      </c>
      <c r="F464" s="8" t="s">
        <v>9447</v>
      </c>
      <c r="G464" s="8" t="s">
        <v>8287</v>
      </c>
      <c r="H464" s="8" t="s">
        <v>62</v>
      </c>
      <c r="I464" s="8"/>
    </row>
    <row r="465" customFormat="false" ht="15" hidden="false" customHeight="false" outlineLevel="0" collapsed="false">
      <c r="A465" s="4" t="s">
        <v>9448</v>
      </c>
      <c r="B465" s="4" t="n">
        <v>464</v>
      </c>
      <c r="C465" s="4" t="n">
        <v>1020</v>
      </c>
      <c r="D465" s="8" t="s">
        <v>8284</v>
      </c>
      <c r="E465" s="8" t="s">
        <v>9449</v>
      </c>
      <c r="F465" s="8" t="s">
        <v>1515</v>
      </c>
      <c r="G465" s="8" t="s">
        <v>8287</v>
      </c>
      <c r="H465" s="8" t="s">
        <v>62</v>
      </c>
      <c r="I465" s="8"/>
    </row>
    <row r="466" customFormat="false" ht="15" hidden="false" customHeight="false" outlineLevel="0" collapsed="false">
      <c r="A466" s="4" t="s">
        <v>9450</v>
      </c>
      <c r="B466" s="4" t="n">
        <v>465</v>
      </c>
      <c r="C466" s="4" t="n">
        <v>1021</v>
      </c>
      <c r="D466" s="8" t="s">
        <v>8410</v>
      </c>
      <c r="E466" s="8" t="s">
        <v>9451</v>
      </c>
      <c r="F466" s="8" t="s">
        <v>9452</v>
      </c>
      <c r="G466" s="8" t="s">
        <v>8287</v>
      </c>
      <c r="H466" s="8" t="s">
        <v>62</v>
      </c>
      <c r="I466" s="8"/>
    </row>
    <row r="467" customFormat="false" ht="15" hidden="false" customHeight="false" outlineLevel="0" collapsed="false">
      <c r="A467" s="4" t="s">
        <v>9453</v>
      </c>
      <c r="B467" s="4" t="n">
        <v>466</v>
      </c>
      <c r="C467" s="4" t="n">
        <v>1023</v>
      </c>
      <c r="D467" s="8" t="s">
        <v>8410</v>
      </c>
      <c r="E467" s="8" t="s">
        <v>9454</v>
      </c>
      <c r="F467" s="8" t="s">
        <v>9455</v>
      </c>
      <c r="G467" s="8" t="s">
        <v>8287</v>
      </c>
      <c r="H467" s="8" t="s">
        <v>62</v>
      </c>
      <c r="I467" s="8"/>
    </row>
    <row r="468" customFormat="false" ht="15" hidden="false" customHeight="false" outlineLevel="0" collapsed="false">
      <c r="A468" s="4" t="s">
        <v>9456</v>
      </c>
      <c r="B468" s="4" t="n">
        <v>467</v>
      </c>
      <c r="C468" s="4" t="n">
        <v>1024</v>
      </c>
      <c r="D468" s="8" t="s">
        <v>8415</v>
      </c>
      <c r="E468" s="8" t="s">
        <v>8486</v>
      </c>
      <c r="F468" s="8" t="s">
        <v>9457</v>
      </c>
      <c r="G468" s="8" t="s">
        <v>8287</v>
      </c>
      <c r="H468" s="8" t="s">
        <v>62</v>
      </c>
      <c r="I468" s="8"/>
    </row>
    <row r="469" customFormat="false" ht="15" hidden="false" customHeight="false" outlineLevel="0" collapsed="false">
      <c r="A469" s="4" t="s">
        <v>9458</v>
      </c>
      <c r="B469" s="4" t="n">
        <v>468</v>
      </c>
      <c r="C469" s="4" t="n">
        <v>1029</v>
      </c>
      <c r="D469" s="8" t="s">
        <v>8410</v>
      </c>
      <c r="E469" s="8" t="s">
        <v>9459</v>
      </c>
      <c r="F469" s="8" t="s">
        <v>9460</v>
      </c>
      <c r="G469" s="8" t="s">
        <v>8287</v>
      </c>
      <c r="H469" s="8" t="s">
        <v>62</v>
      </c>
      <c r="I469" s="8"/>
    </row>
    <row r="470" customFormat="false" ht="15" hidden="false" customHeight="false" outlineLevel="0" collapsed="false">
      <c r="A470" s="4" t="s">
        <v>9461</v>
      </c>
      <c r="B470" s="4" t="n">
        <v>469</v>
      </c>
      <c r="C470" s="4" t="n">
        <v>1030</v>
      </c>
      <c r="D470" s="8" t="s">
        <v>8410</v>
      </c>
      <c r="E470" s="8" t="s">
        <v>9462</v>
      </c>
      <c r="F470" s="8" t="s">
        <v>9463</v>
      </c>
      <c r="G470" s="8" t="s">
        <v>8287</v>
      </c>
      <c r="H470" s="8" t="s">
        <v>62</v>
      </c>
      <c r="I470" s="8"/>
    </row>
    <row r="471" customFormat="false" ht="15" hidden="false" customHeight="false" outlineLevel="0" collapsed="false">
      <c r="A471" s="4" t="s">
        <v>9464</v>
      </c>
      <c r="B471" s="4" t="n">
        <v>470</v>
      </c>
      <c r="C471" s="4" t="n">
        <v>1031</v>
      </c>
      <c r="D471" s="8" t="s">
        <v>8410</v>
      </c>
      <c r="E471" s="8" t="s">
        <v>9465</v>
      </c>
      <c r="F471" s="8" t="s">
        <v>9466</v>
      </c>
      <c r="G471" s="8" t="s">
        <v>8287</v>
      </c>
      <c r="H471" s="8" t="s">
        <v>62</v>
      </c>
      <c r="I471" s="8"/>
    </row>
    <row r="472" customFormat="false" ht="15" hidden="false" customHeight="false" outlineLevel="0" collapsed="false">
      <c r="A472" s="4" t="s">
        <v>9467</v>
      </c>
      <c r="B472" s="4" t="n">
        <v>471</v>
      </c>
      <c r="C472" s="4" t="n">
        <v>1034</v>
      </c>
      <c r="D472" s="8" t="s">
        <v>8410</v>
      </c>
      <c r="E472" s="8" t="s">
        <v>9468</v>
      </c>
      <c r="F472" s="8" t="s">
        <v>9469</v>
      </c>
      <c r="G472" s="8" t="s">
        <v>8287</v>
      </c>
      <c r="H472" s="8" t="s">
        <v>62</v>
      </c>
      <c r="I472" s="8"/>
    </row>
    <row r="473" customFormat="false" ht="15" hidden="false" customHeight="false" outlineLevel="0" collapsed="false">
      <c r="A473" s="4" t="s">
        <v>9470</v>
      </c>
      <c r="B473" s="4" t="n">
        <v>472</v>
      </c>
      <c r="C473" s="4" t="n">
        <v>1045</v>
      </c>
      <c r="D473" s="8" t="s">
        <v>8323</v>
      </c>
      <c r="E473" s="8" t="s">
        <v>2400</v>
      </c>
      <c r="F473" s="8" t="s">
        <v>9471</v>
      </c>
      <c r="G473" s="8" t="s">
        <v>8287</v>
      </c>
      <c r="H473" s="8" t="s">
        <v>62</v>
      </c>
      <c r="I473" s="8"/>
    </row>
    <row r="474" customFormat="false" ht="15" hidden="false" customHeight="false" outlineLevel="0" collapsed="false">
      <c r="A474" s="4" t="s">
        <v>9472</v>
      </c>
      <c r="B474" s="4" t="n">
        <v>473</v>
      </c>
      <c r="C474" s="4" t="n">
        <v>1047</v>
      </c>
      <c r="D474" s="8" t="s">
        <v>8378</v>
      </c>
      <c r="E474" s="8" t="s">
        <v>4126</v>
      </c>
      <c r="F474" s="8" t="s">
        <v>9473</v>
      </c>
      <c r="G474" s="8" t="s">
        <v>8287</v>
      </c>
      <c r="H474" s="8" t="s">
        <v>62</v>
      </c>
      <c r="I474" s="8"/>
    </row>
    <row r="475" customFormat="false" ht="15" hidden="false" customHeight="false" outlineLevel="0" collapsed="false">
      <c r="A475" s="4" t="s">
        <v>9474</v>
      </c>
      <c r="B475" s="4" t="n">
        <v>474</v>
      </c>
      <c r="C475" s="4" t="n">
        <v>1053</v>
      </c>
      <c r="D475" s="8" t="s">
        <v>8378</v>
      </c>
      <c r="E475" s="8" t="s">
        <v>267</v>
      </c>
      <c r="F475" s="8" t="s">
        <v>9475</v>
      </c>
      <c r="G475" s="8" t="s">
        <v>8287</v>
      </c>
      <c r="H475" s="8" t="s">
        <v>62</v>
      </c>
      <c r="I475" s="8"/>
    </row>
    <row r="476" customFormat="false" ht="15" hidden="false" customHeight="false" outlineLevel="0" collapsed="false">
      <c r="A476" s="4" t="s">
        <v>9476</v>
      </c>
      <c r="B476" s="4" t="n">
        <v>475</v>
      </c>
      <c r="C476" s="4" t="n">
        <v>1055</v>
      </c>
      <c r="D476" s="8" t="s">
        <v>8323</v>
      </c>
      <c r="E476" s="8" t="s">
        <v>9477</v>
      </c>
      <c r="F476" s="8" t="s">
        <v>9478</v>
      </c>
      <c r="G476" s="8" t="s">
        <v>8287</v>
      </c>
      <c r="H476" s="8" t="s">
        <v>62</v>
      </c>
      <c r="I476" s="8"/>
    </row>
    <row r="477" customFormat="false" ht="15" hidden="false" customHeight="false" outlineLevel="0" collapsed="false">
      <c r="A477" s="4" t="s">
        <v>9479</v>
      </c>
      <c r="B477" s="4" t="n">
        <v>476</v>
      </c>
      <c r="C477" s="4" t="n">
        <v>1058</v>
      </c>
      <c r="D477" s="8" t="s">
        <v>8410</v>
      </c>
      <c r="E477" s="8" t="s">
        <v>5109</v>
      </c>
      <c r="F477" s="8" t="s">
        <v>9061</v>
      </c>
      <c r="G477" s="8" t="s">
        <v>8287</v>
      </c>
      <c r="H477" s="8" t="s">
        <v>62</v>
      </c>
      <c r="I477" s="8"/>
    </row>
    <row r="478" customFormat="false" ht="15" hidden="false" customHeight="false" outlineLevel="0" collapsed="false">
      <c r="A478" s="4" t="s">
        <v>9480</v>
      </c>
      <c r="B478" s="4" t="n">
        <v>477</v>
      </c>
      <c r="C478" s="4" t="n">
        <v>1065</v>
      </c>
      <c r="D478" s="8" t="s">
        <v>8323</v>
      </c>
      <c r="E478" s="8" t="s">
        <v>751</v>
      </c>
      <c r="F478" s="8" t="s">
        <v>9481</v>
      </c>
      <c r="G478" s="8" t="s">
        <v>8287</v>
      </c>
      <c r="H478" s="8" t="s">
        <v>62</v>
      </c>
      <c r="I478" s="8"/>
    </row>
    <row r="479" customFormat="false" ht="15" hidden="false" customHeight="false" outlineLevel="0" collapsed="false">
      <c r="A479" s="4" t="s">
        <v>9482</v>
      </c>
      <c r="B479" s="4" t="n">
        <v>478</v>
      </c>
      <c r="C479" s="4" t="n">
        <v>1069</v>
      </c>
      <c r="D479" s="8" t="s">
        <v>8410</v>
      </c>
      <c r="E479" s="8" t="s">
        <v>9483</v>
      </c>
      <c r="F479" s="8" t="s">
        <v>9484</v>
      </c>
      <c r="G479" s="8" t="s">
        <v>8287</v>
      </c>
      <c r="H479" s="8" t="s">
        <v>62</v>
      </c>
      <c r="I479" s="8"/>
    </row>
    <row r="480" customFormat="false" ht="15" hidden="false" customHeight="false" outlineLevel="0" collapsed="false">
      <c r="A480" s="4" t="s">
        <v>9485</v>
      </c>
      <c r="B480" s="4" t="n">
        <v>479</v>
      </c>
      <c r="C480" s="4" t="n">
        <v>1071</v>
      </c>
      <c r="D480" s="8" t="s">
        <v>8323</v>
      </c>
      <c r="E480" s="8" t="s">
        <v>5768</v>
      </c>
      <c r="F480" s="8" t="s">
        <v>9486</v>
      </c>
      <c r="G480" s="8" t="s">
        <v>8287</v>
      </c>
      <c r="H480" s="8" t="s">
        <v>62</v>
      </c>
      <c r="I480" s="8"/>
    </row>
    <row r="481" customFormat="false" ht="15" hidden="false" customHeight="false" outlineLevel="0" collapsed="false">
      <c r="A481" s="4" t="s">
        <v>9487</v>
      </c>
      <c r="B481" s="4" t="n">
        <v>480</v>
      </c>
      <c r="C481" s="4" t="n">
        <v>1073</v>
      </c>
      <c r="D481" s="8" t="s">
        <v>8504</v>
      </c>
      <c r="E481" s="8" t="s">
        <v>9488</v>
      </c>
      <c r="F481" s="8" t="s">
        <v>6807</v>
      </c>
      <c r="G481" s="8" t="s">
        <v>8287</v>
      </c>
      <c r="H481" s="8" t="s">
        <v>62</v>
      </c>
      <c r="I481" s="8"/>
    </row>
    <row r="482" customFormat="false" ht="15" hidden="false" customHeight="false" outlineLevel="0" collapsed="false">
      <c r="A482" s="4" t="s">
        <v>9489</v>
      </c>
      <c r="B482" s="4" t="n">
        <v>481</v>
      </c>
      <c r="C482" s="4" t="n">
        <v>1075</v>
      </c>
      <c r="D482" s="8" t="s">
        <v>8396</v>
      </c>
      <c r="E482" s="8" t="s">
        <v>9490</v>
      </c>
      <c r="F482" s="8" t="s">
        <v>9491</v>
      </c>
      <c r="G482" s="8" t="s">
        <v>8287</v>
      </c>
      <c r="H482" s="8" t="s">
        <v>62</v>
      </c>
      <c r="I482" s="8"/>
    </row>
    <row r="483" customFormat="false" ht="15" hidden="false" customHeight="false" outlineLevel="0" collapsed="false">
      <c r="A483" s="4" t="s">
        <v>9492</v>
      </c>
      <c r="B483" s="4" t="n">
        <v>482</v>
      </c>
      <c r="C483" s="4" t="n">
        <v>1076</v>
      </c>
      <c r="D483" s="8" t="s">
        <v>8389</v>
      </c>
      <c r="E483" s="8" t="s">
        <v>9493</v>
      </c>
      <c r="F483" s="8" t="s">
        <v>1010</v>
      </c>
      <c r="G483" s="8" t="s">
        <v>8287</v>
      </c>
      <c r="H483" s="8" t="s">
        <v>62</v>
      </c>
      <c r="I483" s="8"/>
    </row>
    <row r="484" customFormat="false" ht="15" hidden="false" customHeight="false" outlineLevel="0" collapsed="false">
      <c r="A484" s="4" t="s">
        <v>9494</v>
      </c>
      <c r="B484" s="4" t="n">
        <v>483</v>
      </c>
      <c r="C484" s="4" t="n">
        <v>1077</v>
      </c>
      <c r="D484" s="8" t="s">
        <v>8323</v>
      </c>
      <c r="E484" s="8" t="s">
        <v>9495</v>
      </c>
      <c r="F484" s="8" t="s">
        <v>9496</v>
      </c>
      <c r="G484" s="8" t="s">
        <v>8287</v>
      </c>
      <c r="H484" s="8" t="s">
        <v>62</v>
      </c>
      <c r="I484" s="8"/>
    </row>
    <row r="485" customFormat="false" ht="15" hidden="false" customHeight="false" outlineLevel="0" collapsed="false">
      <c r="A485" s="4" t="s">
        <v>9497</v>
      </c>
      <c r="B485" s="4" t="n">
        <v>484</v>
      </c>
      <c r="C485" s="4" t="n">
        <v>1080</v>
      </c>
      <c r="D485" s="8" t="s">
        <v>8410</v>
      </c>
      <c r="E485" s="8" t="s">
        <v>6557</v>
      </c>
      <c r="F485" s="8" t="s">
        <v>121</v>
      </c>
      <c r="G485" s="8" t="s">
        <v>8287</v>
      </c>
      <c r="H485" s="8" t="s">
        <v>62</v>
      </c>
      <c r="I485" s="8"/>
    </row>
    <row r="486" customFormat="false" ht="15" hidden="false" customHeight="false" outlineLevel="0" collapsed="false">
      <c r="A486" s="4" t="s">
        <v>9498</v>
      </c>
      <c r="B486" s="4" t="n">
        <v>485</v>
      </c>
      <c r="C486" s="4" t="n">
        <v>1085</v>
      </c>
      <c r="D486" s="8" t="s">
        <v>8504</v>
      </c>
      <c r="E486" s="8" t="s">
        <v>9499</v>
      </c>
      <c r="F486" s="8" t="s">
        <v>9500</v>
      </c>
      <c r="G486" s="8" t="s">
        <v>8287</v>
      </c>
      <c r="H486" s="8" t="s">
        <v>62</v>
      </c>
      <c r="I486" s="8"/>
    </row>
    <row r="487" customFormat="false" ht="15" hidden="false" customHeight="false" outlineLevel="0" collapsed="false">
      <c r="A487" s="4" t="s">
        <v>9501</v>
      </c>
      <c r="B487" s="4" t="n">
        <v>486</v>
      </c>
      <c r="C487" s="4" t="n">
        <v>1089</v>
      </c>
      <c r="D487" s="8" t="s">
        <v>8389</v>
      </c>
      <c r="E487" s="8" t="s">
        <v>9502</v>
      </c>
      <c r="F487" s="8" t="s">
        <v>356</v>
      </c>
      <c r="G487" s="8" t="s">
        <v>8287</v>
      </c>
      <c r="H487" s="8" t="s">
        <v>62</v>
      </c>
      <c r="I487" s="8"/>
    </row>
    <row r="488" customFormat="false" ht="15" hidden="false" customHeight="false" outlineLevel="0" collapsed="false">
      <c r="A488" s="4" t="s">
        <v>9503</v>
      </c>
      <c r="B488" s="4" t="n">
        <v>487</v>
      </c>
      <c r="C488" s="4" t="n">
        <v>1090</v>
      </c>
      <c r="D488" s="8" t="s">
        <v>8410</v>
      </c>
      <c r="E488" s="8" t="s">
        <v>9504</v>
      </c>
      <c r="F488" s="8" t="s">
        <v>9505</v>
      </c>
      <c r="G488" s="8" t="s">
        <v>8287</v>
      </c>
      <c r="H488" s="8" t="s">
        <v>62</v>
      </c>
      <c r="I488" s="8"/>
    </row>
    <row r="489" customFormat="false" ht="15" hidden="false" customHeight="false" outlineLevel="0" collapsed="false">
      <c r="A489" s="4" t="s">
        <v>9506</v>
      </c>
      <c r="B489" s="4" t="n">
        <v>488</v>
      </c>
      <c r="C489" s="4" t="n">
        <v>1097</v>
      </c>
      <c r="D489" s="8" t="s">
        <v>8415</v>
      </c>
      <c r="E489" s="8" t="s">
        <v>9507</v>
      </c>
      <c r="F489" s="8" t="s">
        <v>9508</v>
      </c>
      <c r="G489" s="8" t="s">
        <v>8287</v>
      </c>
      <c r="H489" s="8" t="s">
        <v>62</v>
      </c>
      <c r="I489" s="8"/>
    </row>
    <row r="490" customFormat="false" ht="15" hidden="false" customHeight="false" outlineLevel="0" collapsed="false">
      <c r="A490" s="4" t="s">
        <v>9509</v>
      </c>
      <c r="B490" s="4" t="n">
        <v>489</v>
      </c>
      <c r="C490" s="4" t="n">
        <v>1103</v>
      </c>
      <c r="D490" s="8" t="s">
        <v>8396</v>
      </c>
      <c r="E490" s="8" t="s">
        <v>6745</v>
      </c>
      <c r="F490" s="8" t="s">
        <v>9510</v>
      </c>
      <c r="G490" s="8" t="s">
        <v>8287</v>
      </c>
      <c r="H490" s="8" t="s">
        <v>62</v>
      </c>
      <c r="I490" s="8"/>
    </row>
    <row r="491" customFormat="false" ht="15" hidden="false" customHeight="false" outlineLevel="0" collapsed="false">
      <c r="A491" s="4" t="s">
        <v>9511</v>
      </c>
      <c r="B491" s="4" t="n">
        <v>490</v>
      </c>
      <c r="C491" s="4" t="n">
        <v>1105</v>
      </c>
      <c r="D491" s="8" t="s">
        <v>8415</v>
      </c>
      <c r="E491" s="8" t="s">
        <v>9512</v>
      </c>
      <c r="F491" s="8" t="s">
        <v>9513</v>
      </c>
      <c r="G491" s="8" t="s">
        <v>8287</v>
      </c>
      <c r="H491" s="8" t="s">
        <v>62</v>
      </c>
      <c r="I491" s="8"/>
    </row>
    <row r="492" customFormat="false" ht="15" hidden="false" customHeight="false" outlineLevel="0" collapsed="false">
      <c r="A492" s="4" t="s">
        <v>9514</v>
      </c>
      <c r="B492" s="4" t="n">
        <v>491</v>
      </c>
      <c r="C492" s="4" t="n">
        <v>1107</v>
      </c>
      <c r="D492" s="8" t="s">
        <v>8378</v>
      </c>
      <c r="E492" s="8" t="s">
        <v>9515</v>
      </c>
      <c r="F492" s="8" t="s">
        <v>9516</v>
      </c>
      <c r="G492" s="8" t="s">
        <v>8287</v>
      </c>
      <c r="H492" s="8" t="s">
        <v>62</v>
      </c>
      <c r="I492" s="8"/>
    </row>
    <row r="493" customFormat="false" ht="15" hidden="false" customHeight="false" outlineLevel="0" collapsed="false">
      <c r="A493" s="4" t="s">
        <v>9517</v>
      </c>
      <c r="B493" s="4" t="n">
        <v>492</v>
      </c>
      <c r="C493" s="4" t="n">
        <v>1116</v>
      </c>
      <c r="D493" s="8" t="s">
        <v>8323</v>
      </c>
      <c r="E493" s="8" t="s">
        <v>5630</v>
      </c>
      <c r="F493" s="8" t="s">
        <v>9518</v>
      </c>
      <c r="G493" s="8" t="s">
        <v>8287</v>
      </c>
      <c r="H493" s="8" t="s">
        <v>62</v>
      </c>
      <c r="I493" s="8"/>
    </row>
    <row r="494" customFormat="false" ht="15" hidden="false" customHeight="false" outlineLevel="0" collapsed="false">
      <c r="A494" s="4" t="s">
        <v>9519</v>
      </c>
      <c r="B494" s="4" t="n">
        <v>493</v>
      </c>
      <c r="C494" s="4" t="n">
        <v>1124</v>
      </c>
      <c r="D494" s="8" t="s">
        <v>8415</v>
      </c>
      <c r="E494" s="8" t="s">
        <v>9520</v>
      </c>
      <c r="F494" s="8" t="s">
        <v>9521</v>
      </c>
      <c r="G494" s="8" t="s">
        <v>8287</v>
      </c>
      <c r="H494" s="8" t="s">
        <v>62</v>
      </c>
      <c r="I494" s="8"/>
    </row>
    <row r="495" customFormat="false" ht="15" hidden="false" customHeight="false" outlineLevel="0" collapsed="false">
      <c r="A495" s="4" t="s">
        <v>9522</v>
      </c>
      <c r="B495" s="4" t="n">
        <v>494</v>
      </c>
      <c r="C495" s="4" t="n">
        <v>1128</v>
      </c>
      <c r="D495" s="8" t="s">
        <v>8389</v>
      </c>
      <c r="E495" s="8" t="s">
        <v>9523</v>
      </c>
      <c r="F495" s="8" t="s">
        <v>9524</v>
      </c>
      <c r="G495" s="8" t="s">
        <v>8287</v>
      </c>
      <c r="H495" s="8" t="s">
        <v>62</v>
      </c>
      <c r="I495" s="8"/>
    </row>
    <row r="496" customFormat="false" ht="15" hidden="false" customHeight="false" outlineLevel="0" collapsed="false">
      <c r="A496" s="4" t="s">
        <v>9525</v>
      </c>
      <c r="B496" s="4" t="n">
        <v>495</v>
      </c>
      <c r="C496" s="4" t="n">
        <v>1129</v>
      </c>
      <c r="D496" s="8" t="s">
        <v>8323</v>
      </c>
      <c r="E496" s="8" t="s">
        <v>2820</v>
      </c>
      <c r="F496" s="8" t="s">
        <v>9526</v>
      </c>
      <c r="G496" s="8" t="s">
        <v>8287</v>
      </c>
      <c r="H496" s="8" t="s">
        <v>62</v>
      </c>
      <c r="I496" s="8"/>
    </row>
    <row r="497" customFormat="false" ht="15" hidden="false" customHeight="false" outlineLevel="0" collapsed="false">
      <c r="A497" s="4" t="s">
        <v>9527</v>
      </c>
      <c r="B497" s="4" t="n">
        <v>496</v>
      </c>
      <c r="C497" s="4" t="n">
        <v>1133</v>
      </c>
      <c r="D497" s="8" t="s">
        <v>8378</v>
      </c>
      <c r="E497" s="8" t="s">
        <v>9528</v>
      </c>
      <c r="F497" s="8" t="s">
        <v>9529</v>
      </c>
      <c r="G497" s="8" t="s">
        <v>8287</v>
      </c>
      <c r="H497" s="8" t="s">
        <v>62</v>
      </c>
      <c r="I497" s="8"/>
    </row>
    <row r="498" customFormat="false" ht="15" hidden="false" customHeight="false" outlineLevel="0" collapsed="false">
      <c r="A498" s="4" t="s">
        <v>9530</v>
      </c>
      <c r="B498" s="4" t="n">
        <v>497</v>
      </c>
      <c r="C498" s="4" t="n">
        <v>1134</v>
      </c>
      <c r="D498" s="8" t="s">
        <v>8410</v>
      </c>
      <c r="E498" s="8" t="s">
        <v>9531</v>
      </c>
      <c r="F498" s="8" t="s">
        <v>9325</v>
      </c>
      <c r="G498" s="8" t="s">
        <v>8287</v>
      </c>
      <c r="H498" s="8" t="s">
        <v>62</v>
      </c>
      <c r="I498" s="8"/>
    </row>
    <row r="499" customFormat="false" ht="15" hidden="false" customHeight="false" outlineLevel="0" collapsed="false">
      <c r="A499" s="4" t="s">
        <v>9532</v>
      </c>
      <c r="B499" s="4" t="n">
        <v>498</v>
      </c>
      <c r="C499" s="4" t="n">
        <v>1135</v>
      </c>
      <c r="D499" s="8" t="s">
        <v>8389</v>
      </c>
      <c r="E499" s="8" t="s">
        <v>9533</v>
      </c>
      <c r="F499" s="8" t="s">
        <v>9534</v>
      </c>
      <c r="G499" s="8" t="s">
        <v>8287</v>
      </c>
      <c r="H499" s="8" t="s">
        <v>62</v>
      </c>
      <c r="I499" s="8"/>
    </row>
    <row r="500" customFormat="false" ht="15" hidden="false" customHeight="false" outlineLevel="0" collapsed="false">
      <c r="A500" s="4" t="s">
        <v>9535</v>
      </c>
      <c r="B500" s="4" t="n">
        <v>499</v>
      </c>
      <c r="C500" s="4" t="n">
        <v>1137</v>
      </c>
      <c r="D500" s="8" t="s">
        <v>8378</v>
      </c>
      <c r="E500" s="8" t="s">
        <v>9536</v>
      </c>
      <c r="F500" s="8" t="s">
        <v>9537</v>
      </c>
      <c r="G500" s="8" t="s">
        <v>8287</v>
      </c>
      <c r="H500" s="8" t="s">
        <v>62</v>
      </c>
      <c r="I500" s="8"/>
    </row>
    <row r="501" customFormat="false" ht="15" hidden="false" customHeight="false" outlineLevel="0" collapsed="false">
      <c r="A501" s="4" t="s">
        <v>9538</v>
      </c>
      <c r="B501" s="4" t="n">
        <v>500</v>
      </c>
      <c r="C501" s="4" t="n">
        <v>1140</v>
      </c>
      <c r="D501" s="8" t="s">
        <v>8474</v>
      </c>
      <c r="E501" s="8" t="s">
        <v>9539</v>
      </c>
      <c r="F501" s="8" t="s">
        <v>8571</v>
      </c>
      <c r="G501" s="8" t="s">
        <v>8474</v>
      </c>
      <c r="H501" s="8" t="s">
        <v>62</v>
      </c>
      <c r="I501" s="8"/>
    </row>
    <row r="502" customFormat="false" ht="15" hidden="false" customHeight="false" outlineLevel="0" collapsed="false">
      <c r="A502" s="4" t="s">
        <v>9540</v>
      </c>
      <c r="B502" s="4" t="n">
        <v>501</v>
      </c>
      <c r="C502" s="4" t="n">
        <v>1141</v>
      </c>
      <c r="D502" s="8" t="s">
        <v>8410</v>
      </c>
      <c r="E502" s="8" t="s">
        <v>9541</v>
      </c>
      <c r="F502" s="8" t="s">
        <v>9542</v>
      </c>
      <c r="G502" s="8" t="s">
        <v>8287</v>
      </c>
      <c r="H502" s="8" t="s">
        <v>62</v>
      </c>
      <c r="I502" s="8"/>
    </row>
    <row r="503" customFormat="false" ht="15" hidden="false" customHeight="false" outlineLevel="0" collapsed="false">
      <c r="A503" s="4" t="s">
        <v>9543</v>
      </c>
      <c r="B503" s="4" t="n">
        <v>502</v>
      </c>
      <c r="C503" s="4" t="n">
        <v>1142</v>
      </c>
      <c r="D503" s="8" t="s">
        <v>8415</v>
      </c>
      <c r="E503" s="8" t="s">
        <v>9544</v>
      </c>
      <c r="F503" s="8" t="s">
        <v>9545</v>
      </c>
      <c r="G503" s="8" t="s">
        <v>8287</v>
      </c>
      <c r="H503" s="8" t="s">
        <v>62</v>
      </c>
      <c r="I503" s="8"/>
    </row>
    <row r="504" customFormat="false" ht="15" hidden="false" customHeight="false" outlineLevel="0" collapsed="false">
      <c r="A504" s="4" t="s">
        <v>9546</v>
      </c>
      <c r="B504" s="4" t="n">
        <v>503</v>
      </c>
      <c r="C504" s="4" t="n">
        <v>1143</v>
      </c>
      <c r="D504" s="8" t="s">
        <v>8323</v>
      </c>
      <c r="E504" s="8" t="s">
        <v>9547</v>
      </c>
      <c r="F504" s="8" t="s">
        <v>9548</v>
      </c>
      <c r="G504" s="8" t="s">
        <v>8287</v>
      </c>
      <c r="H504" s="8" t="s">
        <v>62</v>
      </c>
      <c r="I504" s="8"/>
    </row>
    <row r="505" customFormat="false" ht="15" hidden="false" customHeight="false" outlineLevel="0" collapsed="false">
      <c r="A505" s="4" t="s">
        <v>9549</v>
      </c>
      <c r="B505" s="4" t="n">
        <v>504</v>
      </c>
      <c r="C505" s="4" t="n">
        <v>1146</v>
      </c>
      <c r="D505" s="8" t="s">
        <v>8415</v>
      </c>
      <c r="E505" s="8" t="s">
        <v>9550</v>
      </c>
      <c r="F505" s="8" t="s">
        <v>9551</v>
      </c>
      <c r="G505" s="8" t="s">
        <v>8287</v>
      </c>
      <c r="H505" s="8" t="s">
        <v>62</v>
      </c>
      <c r="I505" s="8"/>
    </row>
    <row r="506" customFormat="false" ht="15" hidden="false" customHeight="false" outlineLevel="0" collapsed="false">
      <c r="A506" s="4" t="s">
        <v>9552</v>
      </c>
      <c r="B506" s="4" t="n">
        <v>505</v>
      </c>
      <c r="C506" s="4" t="n">
        <v>1147</v>
      </c>
      <c r="D506" s="8" t="s">
        <v>8378</v>
      </c>
      <c r="E506" s="8" t="s">
        <v>9553</v>
      </c>
      <c r="F506" s="8" t="s">
        <v>9554</v>
      </c>
      <c r="G506" s="8" t="s">
        <v>8287</v>
      </c>
      <c r="H506" s="8" t="s">
        <v>62</v>
      </c>
      <c r="I506" s="8"/>
    </row>
    <row r="507" customFormat="false" ht="15" hidden="false" customHeight="false" outlineLevel="0" collapsed="false">
      <c r="A507" s="4" t="s">
        <v>9555</v>
      </c>
      <c r="B507" s="4" t="n">
        <v>506</v>
      </c>
      <c r="C507" s="4" t="n">
        <v>1153</v>
      </c>
      <c r="D507" s="8" t="s">
        <v>8378</v>
      </c>
      <c r="E507" s="8" t="s">
        <v>9556</v>
      </c>
      <c r="F507" s="8" t="s">
        <v>9557</v>
      </c>
      <c r="G507" s="8" t="s">
        <v>8287</v>
      </c>
      <c r="H507" s="8" t="s">
        <v>62</v>
      </c>
      <c r="I507" s="8"/>
    </row>
    <row r="508" customFormat="false" ht="15" hidden="false" customHeight="false" outlineLevel="0" collapsed="false">
      <c r="A508" s="4" t="s">
        <v>9558</v>
      </c>
      <c r="B508" s="4" t="n">
        <v>507</v>
      </c>
      <c r="C508" s="4" t="n">
        <v>1154</v>
      </c>
      <c r="D508" s="8" t="s">
        <v>8378</v>
      </c>
      <c r="E508" s="8" t="s">
        <v>9559</v>
      </c>
      <c r="F508" s="8" t="s">
        <v>9001</v>
      </c>
      <c r="G508" s="8" t="s">
        <v>8287</v>
      </c>
      <c r="H508" s="8" t="s">
        <v>62</v>
      </c>
      <c r="I508" s="8"/>
    </row>
    <row r="509" customFormat="false" ht="15" hidden="false" customHeight="false" outlineLevel="0" collapsed="false">
      <c r="A509" s="4" t="s">
        <v>9560</v>
      </c>
      <c r="B509" s="4" t="n">
        <v>508</v>
      </c>
      <c r="C509" s="4" t="n">
        <v>1156</v>
      </c>
      <c r="D509" s="8" t="s">
        <v>8389</v>
      </c>
      <c r="E509" s="8" t="s">
        <v>2740</v>
      </c>
      <c r="F509" s="8" t="s">
        <v>470</v>
      </c>
      <c r="G509" s="8" t="s">
        <v>8287</v>
      </c>
      <c r="H509" s="8" t="s">
        <v>62</v>
      </c>
      <c r="I509" s="8"/>
    </row>
    <row r="510" customFormat="false" ht="15" hidden="false" customHeight="false" outlineLevel="0" collapsed="false">
      <c r="A510" s="4" t="s">
        <v>9561</v>
      </c>
      <c r="B510" s="4" t="n">
        <v>509</v>
      </c>
      <c r="C510" s="4" t="n">
        <v>1157</v>
      </c>
      <c r="D510" s="8" t="s">
        <v>8378</v>
      </c>
      <c r="E510" s="8" t="s">
        <v>5662</v>
      </c>
      <c r="F510" s="8" t="s">
        <v>9562</v>
      </c>
      <c r="G510" s="8" t="s">
        <v>8287</v>
      </c>
      <c r="H510" s="8" t="s">
        <v>62</v>
      </c>
      <c r="I510" s="8"/>
    </row>
    <row r="511" customFormat="false" ht="15" hidden="false" customHeight="false" outlineLevel="0" collapsed="false">
      <c r="A511" s="4" t="s">
        <v>9563</v>
      </c>
      <c r="B511" s="4" t="n">
        <v>510</v>
      </c>
      <c r="C511" s="4" t="n">
        <v>1160</v>
      </c>
      <c r="D511" s="8" t="s">
        <v>8378</v>
      </c>
      <c r="E511" s="8" t="s">
        <v>9564</v>
      </c>
      <c r="F511" s="8" t="s">
        <v>9565</v>
      </c>
      <c r="G511" s="8" t="s">
        <v>8287</v>
      </c>
      <c r="H511" s="8" t="s">
        <v>62</v>
      </c>
      <c r="I511" s="8"/>
    </row>
    <row r="512" customFormat="false" ht="15" hidden="false" customHeight="false" outlineLevel="0" collapsed="false">
      <c r="A512" s="4" t="s">
        <v>9566</v>
      </c>
      <c r="B512" s="4" t="n">
        <v>511</v>
      </c>
      <c r="C512" s="4" t="n">
        <v>1162</v>
      </c>
      <c r="D512" s="8" t="s">
        <v>8415</v>
      </c>
      <c r="E512" s="8" t="s">
        <v>9567</v>
      </c>
      <c r="F512" s="8" t="s">
        <v>6315</v>
      </c>
      <c r="G512" s="8" t="s">
        <v>8287</v>
      </c>
      <c r="H512" s="8" t="s">
        <v>62</v>
      </c>
      <c r="I512" s="8"/>
    </row>
    <row r="513" customFormat="false" ht="15" hidden="false" customHeight="false" outlineLevel="0" collapsed="false">
      <c r="A513" s="4" t="s">
        <v>9568</v>
      </c>
      <c r="B513" s="4" t="n">
        <v>512</v>
      </c>
      <c r="C513" s="4" t="n">
        <v>1165</v>
      </c>
      <c r="D513" s="8" t="s">
        <v>8323</v>
      </c>
      <c r="E513" s="8" t="s">
        <v>9569</v>
      </c>
      <c r="F513" s="8" t="s">
        <v>9570</v>
      </c>
      <c r="G513" s="8" t="s">
        <v>8287</v>
      </c>
      <c r="H513" s="8" t="s">
        <v>62</v>
      </c>
      <c r="I513" s="8"/>
    </row>
    <row r="514" customFormat="false" ht="15" hidden="false" customHeight="false" outlineLevel="0" collapsed="false">
      <c r="A514" s="4" t="s">
        <v>9571</v>
      </c>
      <c r="B514" s="4" t="n">
        <v>513</v>
      </c>
      <c r="C514" s="4" t="n">
        <v>1169</v>
      </c>
      <c r="D514" s="8" t="s">
        <v>8389</v>
      </c>
      <c r="E514" s="8" t="s">
        <v>9572</v>
      </c>
      <c r="F514" s="8" t="s">
        <v>9573</v>
      </c>
      <c r="G514" s="8" t="s">
        <v>8287</v>
      </c>
      <c r="H514" s="8" t="s">
        <v>62</v>
      </c>
      <c r="I514" s="8"/>
    </row>
    <row r="515" customFormat="false" ht="15" hidden="false" customHeight="false" outlineLevel="0" collapsed="false">
      <c r="A515" s="4" t="s">
        <v>9574</v>
      </c>
      <c r="B515" s="4" t="n">
        <v>514</v>
      </c>
      <c r="C515" s="4" t="n">
        <v>1171</v>
      </c>
      <c r="D515" s="8" t="s">
        <v>8305</v>
      </c>
      <c r="E515" s="8" t="s">
        <v>9575</v>
      </c>
      <c r="F515" s="8" t="s">
        <v>9576</v>
      </c>
      <c r="G515" s="8" t="s">
        <v>8287</v>
      </c>
      <c r="H515" s="8" t="s">
        <v>62</v>
      </c>
      <c r="I515" s="8"/>
    </row>
    <row r="516" customFormat="false" ht="15" hidden="false" customHeight="false" outlineLevel="0" collapsed="false">
      <c r="A516" s="4" t="s">
        <v>9577</v>
      </c>
      <c r="B516" s="4" t="n">
        <v>515</v>
      </c>
      <c r="C516" s="4" t="n">
        <v>1172</v>
      </c>
      <c r="D516" s="8" t="s">
        <v>8396</v>
      </c>
      <c r="E516" s="8" t="s">
        <v>9578</v>
      </c>
      <c r="F516" s="8" t="s">
        <v>9579</v>
      </c>
      <c r="G516" s="8" t="s">
        <v>8287</v>
      </c>
      <c r="H516" s="8" t="s">
        <v>62</v>
      </c>
      <c r="I516" s="8"/>
    </row>
    <row r="517" customFormat="false" ht="15" hidden="false" customHeight="false" outlineLevel="0" collapsed="false">
      <c r="A517" s="4" t="s">
        <v>9580</v>
      </c>
      <c r="B517" s="4" t="n">
        <v>516</v>
      </c>
      <c r="C517" s="4" t="n">
        <v>1178</v>
      </c>
      <c r="D517" s="8" t="s">
        <v>8410</v>
      </c>
      <c r="E517" s="8" t="s">
        <v>9581</v>
      </c>
      <c r="F517" s="8" t="s">
        <v>9582</v>
      </c>
      <c r="G517" s="8" t="s">
        <v>8287</v>
      </c>
      <c r="H517" s="8" t="s">
        <v>62</v>
      </c>
      <c r="I517" s="8"/>
    </row>
    <row r="518" customFormat="false" ht="15" hidden="false" customHeight="false" outlineLevel="0" collapsed="false">
      <c r="A518" s="4" t="s">
        <v>9583</v>
      </c>
      <c r="B518" s="4" t="n">
        <v>517</v>
      </c>
      <c r="C518" s="4" t="n">
        <v>1184</v>
      </c>
      <c r="D518" s="8" t="s">
        <v>8410</v>
      </c>
      <c r="E518" s="8" t="s">
        <v>9305</v>
      </c>
      <c r="F518" s="8" t="s">
        <v>9306</v>
      </c>
      <c r="G518" s="8" t="s">
        <v>8287</v>
      </c>
      <c r="H518" s="8" t="s">
        <v>62</v>
      </c>
      <c r="I518" s="8"/>
    </row>
    <row r="519" customFormat="false" ht="15" hidden="false" customHeight="false" outlineLevel="0" collapsed="false">
      <c r="A519" s="4" t="s">
        <v>9584</v>
      </c>
      <c r="B519" s="4" t="n">
        <v>518</v>
      </c>
      <c r="C519" s="4" t="n">
        <v>1188</v>
      </c>
      <c r="D519" s="8" t="s">
        <v>8410</v>
      </c>
      <c r="E519" s="8" t="s">
        <v>9585</v>
      </c>
      <c r="F519" s="8" t="s">
        <v>8419</v>
      </c>
      <c r="G519" s="8" t="s">
        <v>8287</v>
      </c>
      <c r="H519" s="8" t="s">
        <v>62</v>
      </c>
      <c r="I519" s="8"/>
    </row>
    <row r="520" customFormat="false" ht="15" hidden="false" customHeight="false" outlineLevel="0" collapsed="false">
      <c r="A520" s="4" t="s">
        <v>9586</v>
      </c>
      <c r="B520" s="4" t="n">
        <v>519</v>
      </c>
      <c r="C520" s="4" t="n">
        <v>1190</v>
      </c>
      <c r="D520" s="8" t="s">
        <v>8323</v>
      </c>
      <c r="E520" s="8" t="s">
        <v>9587</v>
      </c>
      <c r="F520" s="8" t="s">
        <v>9588</v>
      </c>
      <c r="G520" s="8" t="s">
        <v>8287</v>
      </c>
      <c r="H520" s="8" t="s">
        <v>62</v>
      </c>
      <c r="I520" s="8"/>
    </row>
    <row r="521" customFormat="false" ht="15" hidden="false" customHeight="false" outlineLevel="0" collapsed="false">
      <c r="A521" s="4" t="s">
        <v>9589</v>
      </c>
      <c r="B521" s="4" t="n">
        <v>520</v>
      </c>
      <c r="C521" s="4" t="n">
        <v>1192</v>
      </c>
      <c r="D521" s="8" t="s">
        <v>8396</v>
      </c>
      <c r="E521" s="8" t="s">
        <v>9590</v>
      </c>
      <c r="F521" s="8" t="s">
        <v>9591</v>
      </c>
      <c r="G521" s="8" t="s">
        <v>8287</v>
      </c>
      <c r="H521" s="8" t="s">
        <v>62</v>
      </c>
      <c r="I521" s="8"/>
    </row>
    <row r="522" customFormat="false" ht="15" hidden="false" customHeight="false" outlineLevel="0" collapsed="false">
      <c r="A522" s="4" t="s">
        <v>9592</v>
      </c>
      <c r="B522" s="4" t="n">
        <v>521</v>
      </c>
      <c r="C522" s="4" t="n">
        <v>1193</v>
      </c>
      <c r="D522" s="8" t="s">
        <v>8435</v>
      </c>
      <c r="E522" s="8" t="s">
        <v>9593</v>
      </c>
      <c r="F522" s="8" t="s">
        <v>9594</v>
      </c>
      <c r="G522" s="8" t="s">
        <v>8287</v>
      </c>
      <c r="H522" s="8" t="s">
        <v>62</v>
      </c>
      <c r="I522" s="8"/>
    </row>
    <row r="523" customFormat="false" ht="15" hidden="false" customHeight="false" outlineLevel="0" collapsed="false">
      <c r="A523" s="4" t="s">
        <v>9595</v>
      </c>
      <c r="B523" s="4" t="n">
        <v>522</v>
      </c>
      <c r="C523" s="4" t="n">
        <v>1198</v>
      </c>
      <c r="D523" s="8" t="s">
        <v>8415</v>
      </c>
      <c r="E523" s="8" t="s">
        <v>9596</v>
      </c>
      <c r="F523" s="8" t="s">
        <v>9597</v>
      </c>
      <c r="G523" s="8" t="s">
        <v>8287</v>
      </c>
      <c r="H523" s="8" t="s">
        <v>62</v>
      </c>
      <c r="I523" s="8"/>
    </row>
    <row r="524" customFormat="false" ht="15" hidden="false" customHeight="false" outlineLevel="0" collapsed="false">
      <c r="A524" s="4" t="s">
        <v>9598</v>
      </c>
      <c r="B524" s="4" t="n">
        <v>523</v>
      </c>
      <c r="C524" s="4" t="n">
        <v>1201</v>
      </c>
      <c r="D524" s="8" t="s">
        <v>8323</v>
      </c>
      <c r="E524" s="8" t="s">
        <v>9599</v>
      </c>
      <c r="F524" s="8" t="s">
        <v>9600</v>
      </c>
      <c r="G524" s="8" t="s">
        <v>8287</v>
      </c>
      <c r="H524" s="8" t="s">
        <v>62</v>
      </c>
      <c r="I524" s="8"/>
    </row>
    <row r="525" customFormat="false" ht="15" hidden="false" customHeight="false" outlineLevel="0" collapsed="false">
      <c r="A525" s="4" t="s">
        <v>9601</v>
      </c>
      <c r="B525" s="4" t="n">
        <v>524</v>
      </c>
      <c r="C525" s="4" t="n">
        <v>1202</v>
      </c>
      <c r="D525" s="8" t="s">
        <v>8410</v>
      </c>
      <c r="E525" s="8" t="s">
        <v>9602</v>
      </c>
      <c r="F525" s="8" t="s">
        <v>2700</v>
      </c>
      <c r="G525" s="8" t="s">
        <v>8287</v>
      </c>
      <c r="H525" s="8" t="s">
        <v>62</v>
      </c>
      <c r="I525" s="8"/>
    </row>
    <row r="526" customFormat="false" ht="15" hidden="false" customHeight="false" outlineLevel="0" collapsed="false">
      <c r="A526" s="4" t="s">
        <v>9603</v>
      </c>
      <c r="B526" s="4" t="n">
        <v>525</v>
      </c>
      <c r="C526" s="4" t="n">
        <v>1206</v>
      </c>
      <c r="D526" s="8" t="s">
        <v>8323</v>
      </c>
      <c r="E526" s="8" t="s">
        <v>7506</v>
      </c>
      <c r="F526" s="8" t="s">
        <v>9604</v>
      </c>
      <c r="G526" s="8" t="s">
        <v>8287</v>
      </c>
      <c r="H526" s="8" t="s">
        <v>62</v>
      </c>
      <c r="I526" s="8"/>
    </row>
    <row r="527" customFormat="false" ht="15" hidden="false" customHeight="false" outlineLevel="0" collapsed="false">
      <c r="A527" s="4" t="s">
        <v>9605</v>
      </c>
      <c r="B527" s="4" t="n">
        <v>526</v>
      </c>
      <c r="C527" s="4" t="n">
        <v>1208</v>
      </c>
      <c r="D527" s="8" t="s">
        <v>8410</v>
      </c>
      <c r="E527" s="8" t="s">
        <v>9606</v>
      </c>
      <c r="F527" s="8" t="s">
        <v>9607</v>
      </c>
      <c r="G527" s="8" t="s">
        <v>8287</v>
      </c>
      <c r="H527" s="8" t="s">
        <v>62</v>
      </c>
      <c r="I527" s="8"/>
    </row>
    <row r="528" customFormat="false" ht="15" hidden="false" customHeight="false" outlineLevel="0" collapsed="false">
      <c r="A528" s="4" t="s">
        <v>9608</v>
      </c>
      <c r="B528" s="4" t="n">
        <v>527</v>
      </c>
      <c r="C528" s="4" t="n">
        <v>1210</v>
      </c>
      <c r="D528" s="8" t="s">
        <v>8410</v>
      </c>
      <c r="E528" s="8" t="s">
        <v>9609</v>
      </c>
      <c r="F528" s="8" t="s">
        <v>9610</v>
      </c>
      <c r="G528" s="8" t="s">
        <v>8287</v>
      </c>
      <c r="H528" s="8" t="s">
        <v>62</v>
      </c>
      <c r="I528" s="8"/>
    </row>
    <row r="529" customFormat="false" ht="15" hidden="false" customHeight="false" outlineLevel="0" collapsed="false">
      <c r="A529" s="4" t="s">
        <v>9611</v>
      </c>
      <c r="B529" s="4" t="n">
        <v>528</v>
      </c>
      <c r="C529" s="4" t="n">
        <v>1212</v>
      </c>
      <c r="D529" s="8" t="s">
        <v>8336</v>
      </c>
      <c r="E529" s="8" t="s">
        <v>9612</v>
      </c>
      <c r="F529" s="8" t="s">
        <v>9613</v>
      </c>
      <c r="G529" s="8" t="s">
        <v>8287</v>
      </c>
      <c r="H529" s="8" t="s">
        <v>62</v>
      </c>
      <c r="I529" s="8"/>
    </row>
    <row r="530" customFormat="false" ht="15" hidden="false" customHeight="false" outlineLevel="0" collapsed="false">
      <c r="A530" s="4" t="s">
        <v>9614</v>
      </c>
      <c r="B530" s="4" t="n">
        <v>529</v>
      </c>
      <c r="C530" s="4" t="n">
        <v>1214</v>
      </c>
      <c r="D530" s="8" t="s">
        <v>8323</v>
      </c>
      <c r="E530" s="8" t="s">
        <v>9615</v>
      </c>
      <c r="F530" s="8" t="s">
        <v>9616</v>
      </c>
      <c r="G530" s="8" t="s">
        <v>8287</v>
      </c>
      <c r="H530" s="8" t="s">
        <v>62</v>
      </c>
      <c r="I530" s="8"/>
    </row>
    <row r="531" customFormat="false" ht="15" hidden="false" customHeight="false" outlineLevel="0" collapsed="false">
      <c r="A531" s="4" t="s">
        <v>9617</v>
      </c>
      <c r="B531" s="4" t="n">
        <v>530</v>
      </c>
      <c r="C531" s="4" t="n">
        <v>1218</v>
      </c>
      <c r="D531" s="8" t="s">
        <v>8410</v>
      </c>
      <c r="E531" s="8" t="s">
        <v>9618</v>
      </c>
      <c r="F531" s="8" t="s">
        <v>9619</v>
      </c>
      <c r="G531" s="8" t="s">
        <v>8287</v>
      </c>
      <c r="H531" s="8" t="s">
        <v>62</v>
      </c>
      <c r="I531" s="8"/>
    </row>
    <row r="532" customFormat="false" ht="15" hidden="false" customHeight="false" outlineLevel="0" collapsed="false">
      <c r="A532" s="4" t="s">
        <v>9620</v>
      </c>
      <c r="B532" s="4" t="n">
        <v>531</v>
      </c>
      <c r="C532" s="4" t="n">
        <v>1219</v>
      </c>
      <c r="D532" s="8" t="s">
        <v>8410</v>
      </c>
      <c r="E532" s="8" t="s">
        <v>9621</v>
      </c>
      <c r="F532" s="8" t="s">
        <v>9622</v>
      </c>
      <c r="G532" s="8" t="s">
        <v>8287</v>
      </c>
      <c r="H532" s="8" t="s">
        <v>62</v>
      </c>
      <c r="I532" s="8"/>
    </row>
    <row r="533" customFormat="false" ht="15" hidden="false" customHeight="false" outlineLevel="0" collapsed="false">
      <c r="A533" s="4" t="s">
        <v>9623</v>
      </c>
      <c r="B533" s="4" t="n">
        <v>532</v>
      </c>
      <c r="C533" s="4" t="n">
        <v>1222</v>
      </c>
      <c r="D533" s="8" t="s">
        <v>8410</v>
      </c>
      <c r="E533" s="8" t="s">
        <v>9624</v>
      </c>
      <c r="F533" s="8" t="s">
        <v>9625</v>
      </c>
      <c r="G533" s="8" t="s">
        <v>8287</v>
      </c>
      <c r="H533" s="8" t="s">
        <v>62</v>
      </c>
      <c r="I533" s="8"/>
    </row>
    <row r="534" customFormat="false" ht="15" hidden="false" customHeight="false" outlineLevel="0" collapsed="false">
      <c r="A534" s="4" t="s">
        <v>9626</v>
      </c>
      <c r="B534" s="4" t="n">
        <v>533</v>
      </c>
      <c r="C534" s="4" t="n">
        <v>1224</v>
      </c>
      <c r="D534" s="8" t="s">
        <v>8378</v>
      </c>
      <c r="E534" s="8" t="s">
        <v>9627</v>
      </c>
      <c r="F534" s="8" t="s">
        <v>9628</v>
      </c>
      <c r="G534" s="8" t="s">
        <v>8287</v>
      </c>
      <c r="H534" s="8" t="s">
        <v>62</v>
      </c>
      <c r="I534" s="8"/>
    </row>
    <row r="535" customFormat="false" ht="15" hidden="false" customHeight="false" outlineLevel="0" collapsed="false">
      <c r="A535" s="4" t="s">
        <v>9629</v>
      </c>
      <c r="B535" s="4" t="n">
        <v>534</v>
      </c>
      <c r="C535" s="4" t="n">
        <v>1225</v>
      </c>
      <c r="D535" s="8" t="s">
        <v>8323</v>
      </c>
      <c r="E535" s="8" t="s">
        <v>9630</v>
      </c>
      <c r="F535" s="8" t="s">
        <v>9631</v>
      </c>
      <c r="G535" s="8" t="s">
        <v>8287</v>
      </c>
      <c r="H535" s="8" t="s">
        <v>62</v>
      </c>
      <c r="I535" s="8"/>
    </row>
    <row r="536" customFormat="false" ht="15" hidden="false" customHeight="false" outlineLevel="0" collapsed="false">
      <c r="A536" s="4" t="s">
        <v>9632</v>
      </c>
      <c r="B536" s="4" t="n">
        <v>535</v>
      </c>
      <c r="C536" s="4" t="n">
        <v>1229</v>
      </c>
      <c r="D536" s="8" t="s">
        <v>8415</v>
      </c>
      <c r="E536" s="8" t="s">
        <v>9633</v>
      </c>
      <c r="F536" s="8" t="s">
        <v>9634</v>
      </c>
      <c r="G536" s="8" t="s">
        <v>8287</v>
      </c>
      <c r="H536" s="8" t="s">
        <v>62</v>
      </c>
      <c r="I536" s="8"/>
    </row>
    <row r="537" customFormat="false" ht="15" hidden="false" customHeight="false" outlineLevel="0" collapsed="false">
      <c r="A537" s="4" t="s">
        <v>9635</v>
      </c>
      <c r="B537" s="4" t="n">
        <v>536</v>
      </c>
      <c r="C537" s="4" t="n">
        <v>1237</v>
      </c>
      <c r="D537" s="8" t="s">
        <v>8410</v>
      </c>
      <c r="E537" s="8" t="s">
        <v>9636</v>
      </c>
      <c r="F537" s="8" t="s">
        <v>9637</v>
      </c>
      <c r="G537" s="8" t="s">
        <v>8287</v>
      </c>
      <c r="H537" s="8" t="s">
        <v>62</v>
      </c>
      <c r="I537" s="8"/>
    </row>
    <row r="538" customFormat="false" ht="15" hidden="false" customHeight="false" outlineLevel="0" collapsed="false">
      <c r="A538" s="4" t="s">
        <v>9638</v>
      </c>
      <c r="B538" s="4" t="n">
        <v>537</v>
      </c>
      <c r="C538" s="4" t="n">
        <v>1238</v>
      </c>
      <c r="D538" s="8" t="s">
        <v>8504</v>
      </c>
      <c r="E538" s="8" t="s">
        <v>9639</v>
      </c>
      <c r="F538" s="8" t="s">
        <v>6804</v>
      </c>
      <c r="G538" s="8" t="s">
        <v>8287</v>
      </c>
      <c r="H538" s="8" t="s">
        <v>62</v>
      </c>
      <c r="I538" s="8"/>
    </row>
    <row r="539" customFormat="false" ht="15" hidden="false" customHeight="false" outlineLevel="0" collapsed="false">
      <c r="A539" s="4" t="s">
        <v>9640</v>
      </c>
      <c r="B539" s="4" t="n">
        <v>538</v>
      </c>
      <c r="C539" s="4" t="n">
        <v>1243</v>
      </c>
      <c r="D539" s="8" t="s">
        <v>8378</v>
      </c>
      <c r="E539" s="8" t="s">
        <v>9641</v>
      </c>
      <c r="F539" s="8" t="s">
        <v>9642</v>
      </c>
      <c r="G539" s="8" t="s">
        <v>8287</v>
      </c>
      <c r="H539" s="8" t="s">
        <v>62</v>
      </c>
      <c r="I539" s="8"/>
    </row>
    <row r="540" customFormat="false" ht="15" hidden="false" customHeight="false" outlineLevel="0" collapsed="false">
      <c r="A540" s="4" t="s">
        <v>9643</v>
      </c>
      <c r="B540" s="4" t="n">
        <v>539</v>
      </c>
      <c r="C540" s="4" t="n">
        <v>1245</v>
      </c>
      <c r="D540" s="8" t="s">
        <v>8474</v>
      </c>
      <c r="E540" s="8" t="s">
        <v>378</v>
      </c>
      <c r="F540" s="8" t="s">
        <v>379</v>
      </c>
      <c r="G540" s="8" t="s">
        <v>8474</v>
      </c>
      <c r="H540" s="8" t="s">
        <v>62</v>
      </c>
      <c r="I540" s="8"/>
    </row>
    <row r="541" customFormat="false" ht="15" hidden="false" customHeight="false" outlineLevel="0" collapsed="false">
      <c r="A541" s="4" t="s">
        <v>9644</v>
      </c>
      <c r="B541" s="4" t="n">
        <v>540</v>
      </c>
      <c r="C541" s="4" t="n">
        <v>1247</v>
      </c>
      <c r="D541" s="8" t="s">
        <v>8396</v>
      </c>
      <c r="E541" s="8" t="s">
        <v>9645</v>
      </c>
      <c r="F541" s="8" t="s">
        <v>9646</v>
      </c>
      <c r="G541" s="8" t="s">
        <v>8287</v>
      </c>
      <c r="H541" s="8" t="s">
        <v>62</v>
      </c>
      <c r="I541" s="8"/>
    </row>
    <row r="542" customFormat="false" ht="15" hidden="false" customHeight="false" outlineLevel="0" collapsed="false">
      <c r="A542" s="4" t="s">
        <v>9647</v>
      </c>
      <c r="B542" s="4" t="n">
        <v>541</v>
      </c>
      <c r="C542" s="4" t="n">
        <v>1249</v>
      </c>
      <c r="D542" s="8" t="s">
        <v>8474</v>
      </c>
      <c r="E542" s="8" t="s">
        <v>9648</v>
      </c>
      <c r="F542" s="8" t="s">
        <v>6480</v>
      </c>
      <c r="G542" s="8" t="s">
        <v>8474</v>
      </c>
      <c r="H542" s="8" t="s">
        <v>62</v>
      </c>
      <c r="I542" s="8"/>
    </row>
    <row r="543" customFormat="false" ht="15" hidden="false" customHeight="false" outlineLevel="0" collapsed="false">
      <c r="A543" s="4" t="s">
        <v>9649</v>
      </c>
      <c r="B543" s="4" t="n">
        <v>542</v>
      </c>
      <c r="C543" s="4" t="n">
        <v>1259</v>
      </c>
      <c r="D543" s="8" t="s">
        <v>8410</v>
      </c>
      <c r="E543" s="8" t="s">
        <v>9650</v>
      </c>
      <c r="F543" s="8" t="s">
        <v>151</v>
      </c>
      <c r="G543" s="8" t="s">
        <v>8287</v>
      </c>
      <c r="H543" s="8" t="s">
        <v>62</v>
      </c>
      <c r="I543" s="8"/>
    </row>
    <row r="544" customFormat="false" ht="15" hidden="false" customHeight="false" outlineLevel="0" collapsed="false">
      <c r="A544" s="4" t="s">
        <v>9651</v>
      </c>
      <c r="B544" s="4" t="n">
        <v>543</v>
      </c>
      <c r="C544" s="4" t="n">
        <v>1260</v>
      </c>
      <c r="D544" s="8" t="s">
        <v>8410</v>
      </c>
      <c r="E544" s="8" t="s">
        <v>2538</v>
      </c>
      <c r="F544" s="8" t="s">
        <v>2539</v>
      </c>
      <c r="G544" s="8" t="s">
        <v>8287</v>
      </c>
      <c r="H544" s="8" t="s">
        <v>62</v>
      </c>
      <c r="I544" s="8"/>
    </row>
    <row r="545" customFormat="false" ht="15" hidden="false" customHeight="false" outlineLevel="0" collapsed="false">
      <c r="A545" s="4" t="s">
        <v>9652</v>
      </c>
      <c r="B545" s="4" t="n">
        <v>544</v>
      </c>
      <c r="C545" s="4" t="n">
        <v>1261</v>
      </c>
      <c r="D545" s="8" t="s">
        <v>8410</v>
      </c>
      <c r="E545" s="8" t="s">
        <v>9653</v>
      </c>
      <c r="F545" s="8" t="s">
        <v>2050</v>
      </c>
      <c r="G545" s="8" t="s">
        <v>8287</v>
      </c>
      <c r="H545" s="8" t="s">
        <v>62</v>
      </c>
      <c r="I545" s="8"/>
    </row>
    <row r="546" customFormat="false" ht="15" hidden="false" customHeight="false" outlineLevel="0" collapsed="false">
      <c r="A546" s="4" t="s">
        <v>9654</v>
      </c>
      <c r="B546" s="4" t="n">
        <v>545</v>
      </c>
      <c r="C546" s="4" t="n">
        <v>1263</v>
      </c>
      <c r="D546" s="8" t="s">
        <v>8378</v>
      </c>
      <c r="E546" s="8" t="s">
        <v>9655</v>
      </c>
      <c r="F546" s="8" t="s">
        <v>9656</v>
      </c>
      <c r="G546" s="8" t="s">
        <v>8287</v>
      </c>
      <c r="H546" s="8" t="s">
        <v>62</v>
      </c>
      <c r="I546" s="8"/>
    </row>
    <row r="547" customFormat="false" ht="15" hidden="false" customHeight="false" outlineLevel="0" collapsed="false">
      <c r="A547" s="4" t="s">
        <v>9657</v>
      </c>
      <c r="B547" s="4" t="n">
        <v>546</v>
      </c>
      <c r="C547" s="4" t="n">
        <v>1274</v>
      </c>
      <c r="D547" s="8" t="s">
        <v>8323</v>
      </c>
      <c r="E547" s="8" t="s">
        <v>708</v>
      </c>
      <c r="F547" s="8" t="s">
        <v>9658</v>
      </c>
      <c r="G547" s="8" t="s">
        <v>8287</v>
      </c>
      <c r="H547" s="8" t="s">
        <v>62</v>
      </c>
      <c r="I547" s="8"/>
    </row>
    <row r="548" customFormat="false" ht="15" hidden="false" customHeight="false" outlineLevel="0" collapsed="false">
      <c r="A548" s="4" t="s">
        <v>9659</v>
      </c>
      <c r="B548" s="4" t="n">
        <v>547</v>
      </c>
      <c r="C548" s="4" t="n">
        <v>1277</v>
      </c>
      <c r="D548" s="8" t="s">
        <v>8323</v>
      </c>
      <c r="E548" s="8" t="s">
        <v>2228</v>
      </c>
      <c r="F548" s="8" t="s">
        <v>9660</v>
      </c>
      <c r="G548" s="8" t="s">
        <v>8287</v>
      </c>
      <c r="H548" s="8" t="s">
        <v>62</v>
      </c>
      <c r="I548" s="8"/>
    </row>
    <row r="549" customFormat="false" ht="15" hidden="false" customHeight="false" outlineLevel="0" collapsed="false">
      <c r="A549" s="4" t="s">
        <v>9661</v>
      </c>
      <c r="B549" s="4" t="n">
        <v>548</v>
      </c>
      <c r="C549" s="4" t="n">
        <v>1280</v>
      </c>
      <c r="D549" s="8" t="s">
        <v>8284</v>
      </c>
      <c r="E549" s="8" t="s">
        <v>9662</v>
      </c>
      <c r="F549" s="8" t="s">
        <v>9663</v>
      </c>
      <c r="G549" s="8" t="s">
        <v>8287</v>
      </c>
      <c r="H549" s="8" t="s">
        <v>62</v>
      </c>
      <c r="I549" s="8"/>
    </row>
    <row r="550" customFormat="false" ht="15" hidden="false" customHeight="false" outlineLevel="0" collapsed="false">
      <c r="A550" s="4" t="s">
        <v>9664</v>
      </c>
      <c r="B550" s="4" t="n">
        <v>549</v>
      </c>
      <c r="C550" s="4" t="n">
        <v>1283</v>
      </c>
      <c r="D550" s="8" t="s">
        <v>8291</v>
      </c>
      <c r="E550" s="8" t="s">
        <v>7053</v>
      </c>
      <c r="F550" s="8" t="s">
        <v>7054</v>
      </c>
      <c r="G550" s="8" t="s">
        <v>8287</v>
      </c>
      <c r="H550" s="8" t="s">
        <v>62</v>
      </c>
      <c r="I550" s="8"/>
    </row>
    <row r="551" customFormat="false" ht="15" hidden="false" customHeight="false" outlineLevel="0" collapsed="false">
      <c r="A551" s="4" t="s">
        <v>9665</v>
      </c>
      <c r="B551" s="4" t="n">
        <v>550</v>
      </c>
      <c r="C551" s="4" t="n">
        <v>1286</v>
      </c>
      <c r="D551" s="8" t="s">
        <v>8410</v>
      </c>
      <c r="E551" s="8" t="s">
        <v>9666</v>
      </c>
      <c r="F551" s="8" t="s">
        <v>9667</v>
      </c>
      <c r="G551" s="8" t="s">
        <v>8287</v>
      </c>
      <c r="H551" s="8" t="s">
        <v>62</v>
      </c>
      <c r="I551" s="8"/>
    </row>
    <row r="552" customFormat="false" ht="15" hidden="false" customHeight="false" outlineLevel="0" collapsed="false">
      <c r="A552" s="4" t="s">
        <v>9668</v>
      </c>
      <c r="B552" s="4" t="n">
        <v>551</v>
      </c>
      <c r="C552" s="4" t="n">
        <v>1287</v>
      </c>
      <c r="D552" s="8" t="s">
        <v>8415</v>
      </c>
      <c r="E552" s="8" t="s">
        <v>9669</v>
      </c>
      <c r="F552" s="8" t="s">
        <v>9670</v>
      </c>
      <c r="G552" s="8" t="s">
        <v>8287</v>
      </c>
      <c r="H552" s="8" t="s">
        <v>62</v>
      </c>
      <c r="I552" s="8"/>
    </row>
    <row r="553" customFormat="false" ht="15" hidden="false" customHeight="false" outlineLevel="0" collapsed="false">
      <c r="A553" s="4" t="s">
        <v>9671</v>
      </c>
      <c r="B553" s="4" t="n">
        <v>552</v>
      </c>
      <c r="C553" s="4" t="n">
        <v>1293</v>
      </c>
      <c r="D553" s="8" t="s">
        <v>8410</v>
      </c>
      <c r="E553" s="8" t="s">
        <v>9672</v>
      </c>
      <c r="F553" s="8" t="s">
        <v>9673</v>
      </c>
      <c r="G553" s="8" t="s">
        <v>8287</v>
      </c>
      <c r="H553" s="8" t="s">
        <v>62</v>
      </c>
      <c r="I553" s="8"/>
    </row>
    <row r="554" customFormat="false" ht="15" hidden="false" customHeight="false" outlineLevel="0" collapsed="false">
      <c r="A554" s="4" t="s">
        <v>9674</v>
      </c>
      <c r="B554" s="4" t="n">
        <v>553</v>
      </c>
      <c r="C554" s="4" t="n">
        <v>1305</v>
      </c>
      <c r="D554" s="8" t="s">
        <v>8410</v>
      </c>
      <c r="E554" s="8" t="s">
        <v>9675</v>
      </c>
      <c r="F554" s="8" t="s">
        <v>9676</v>
      </c>
      <c r="G554" s="8" t="s">
        <v>8287</v>
      </c>
      <c r="H554" s="8" t="s">
        <v>62</v>
      </c>
      <c r="I554" s="8"/>
    </row>
    <row r="555" customFormat="false" ht="15" hidden="false" customHeight="false" outlineLevel="0" collapsed="false">
      <c r="A555" s="4" t="s">
        <v>9677</v>
      </c>
      <c r="B555" s="4" t="n">
        <v>554</v>
      </c>
      <c r="C555" s="4" t="n">
        <v>1308</v>
      </c>
      <c r="D555" s="8" t="s">
        <v>8389</v>
      </c>
      <c r="E555" s="8" t="s">
        <v>9678</v>
      </c>
      <c r="F555" s="8" t="s">
        <v>9679</v>
      </c>
      <c r="G555" s="8" t="s">
        <v>8287</v>
      </c>
      <c r="H555" s="8" t="s">
        <v>62</v>
      </c>
      <c r="I555" s="8"/>
    </row>
    <row r="556" customFormat="false" ht="15" hidden="false" customHeight="false" outlineLevel="0" collapsed="false">
      <c r="A556" s="4" t="s">
        <v>9680</v>
      </c>
      <c r="B556" s="4" t="n">
        <v>555</v>
      </c>
      <c r="C556" s="4" t="n">
        <v>1312</v>
      </c>
      <c r="D556" s="8" t="s">
        <v>8389</v>
      </c>
      <c r="E556" s="8" t="s">
        <v>9681</v>
      </c>
      <c r="F556" s="8" t="s">
        <v>9682</v>
      </c>
      <c r="G556" s="8" t="s">
        <v>8287</v>
      </c>
      <c r="H556" s="8" t="s">
        <v>62</v>
      </c>
      <c r="I556" s="8"/>
    </row>
    <row r="557" customFormat="false" ht="15" hidden="false" customHeight="false" outlineLevel="0" collapsed="false">
      <c r="A557" s="4" t="s">
        <v>9683</v>
      </c>
      <c r="B557" s="4" t="n">
        <v>556</v>
      </c>
      <c r="C557" s="4" t="n">
        <v>1313</v>
      </c>
      <c r="D557" s="8" t="s">
        <v>8410</v>
      </c>
      <c r="E557" s="8" t="s">
        <v>545</v>
      </c>
      <c r="F557" s="8" t="s">
        <v>546</v>
      </c>
      <c r="G557" s="8" t="s">
        <v>8287</v>
      </c>
      <c r="H557" s="8" t="s">
        <v>62</v>
      </c>
      <c r="I557" s="8"/>
    </row>
    <row r="558" customFormat="false" ht="15" hidden="false" customHeight="false" outlineLevel="0" collapsed="false">
      <c r="A558" s="4" t="s">
        <v>9684</v>
      </c>
      <c r="B558" s="4" t="n">
        <v>557</v>
      </c>
      <c r="C558" s="4" t="n">
        <v>1339</v>
      </c>
      <c r="D558" s="8" t="s">
        <v>8410</v>
      </c>
      <c r="E558" s="8" t="s">
        <v>9685</v>
      </c>
      <c r="F558" s="8" t="s">
        <v>9686</v>
      </c>
      <c r="G558" s="8" t="s">
        <v>8287</v>
      </c>
      <c r="H558" s="8" t="s">
        <v>62</v>
      </c>
      <c r="I558" s="8"/>
    </row>
    <row r="559" customFormat="false" ht="15" hidden="false" customHeight="false" outlineLevel="0" collapsed="false">
      <c r="A559" s="4" t="s">
        <v>9687</v>
      </c>
      <c r="B559" s="4" t="n">
        <v>558</v>
      </c>
      <c r="C559" s="4" t="n">
        <v>1340</v>
      </c>
      <c r="D559" s="8" t="s">
        <v>8410</v>
      </c>
      <c r="E559" s="8" t="s">
        <v>9688</v>
      </c>
      <c r="F559" s="8" t="s">
        <v>1469</v>
      </c>
      <c r="G559" s="8" t="s">
        <v>8287</v>
      </c>
      <c r="H559" s="8" t="s">
        <v>62</v>
      </c>
      <c r="I559" s="8"/>
    </row>
    <row r="560" customFormat="false" ht="15" hidden="false" customHeight="false" outlineLevel="0" collapsed="false">
      <c r="A560" s="4" t="s">
        <v>9689</v>
      </c>
      <c r="B560" s="4" t="n">
        <v>559</v>
      </c>
      <c r="C560" s="4" t="n">
        <v>1343</v>
      </c>
      <c r="D560" s="8" t="s">
        <v>8410</v>
      </c>
      <c r="E560" s="8" t="s">
        <v>9690</v>
      </c>
      <c r="F560" s="8" t="s">
        <v>162</v>
      </c>
      <c r="G560" s="8" t="s">
        <v>8287</v>
      </c>
      <c r="H560" s="8" t="s">
        <v>62</v>
      </c>
      <c r="I560" s="8"/>
    </row>
    <row r="561" customFormat="false" ht="15" hidden="false" customHeight="false" outlineLevel="0" collapsed="false">
      <c r="A561" s="4" t="s">
        <v>9691</v>
      </c>
      <c r="B561" s="4" t="n">
        <v>560</v>
      </c>
      <c r="C561" s="4" t="n">
        <v>1345</v>
      </c>
      <c r="D561" s="8" t="s">
        <v>8415</v>
      </c>
      <c r="E561" s="8" t="s">
        <v>9692</v>
      </c>
      <c r="F561" s="8" t="s">
        <v>9693</v>
      </c>
      <c r="G561" s="8" t="s">
        <v>8287</v>
      </c>
      <c r="H561" s="8" t="s">
        <v>62</v>
      </c>
      <c r="I561" s="8"/>
    </row>
    <row r="562" customFormat="false" ht="15" hidden="false" customHeight="false" outlineLevel="0" collapsed="false">
      <c r="A562" s="4" t="s">
        <v>9694</v>
      </c>
      <c r="B562" s="4" t="n">
        <v>561</v>
      </c>
      <c r="C562" s="4" t="n">
        <v>1354</v>
      </c>
      <c r="D562" s="8" t="s">
        <v>8415</v>
      </c>
      <c r="E562" s="8" t="s">
        <v>9695</v>
      </c>
      <c r="F562" s="8" t="s">
        <v>6377</v>
      </c>
      <c r="G562" s="8" t="s">
        <v>8287</v>
      </c>
      <c r="H562" s="8" t="s">
        <v>62</v>
      </c>
      <c r="I562" s="8"/>
    </row>
    <row r="563" customFormat="false" ht="15" hidden="false" customHeight="false" outlineLevel="0" collapsed="false">
      <c r="A563" s="4" t="s">
        <v>9696</v>
      </c>
      <c r="B563" s="4" t="n">
        <v>562</v>
      </c>
      <c r="C563" s="4" t="n">
        <v>1358</v>
      </c>
      <c r="D563" s="8" t="s">
        <v>8378</v>
      </c>
      <c r="E563" s="8" t="s">
        <v>9697</v>
      </c>
      <c r="F563" s="8" t="s">
        <v>9698</v>
      </c>
      <c r="G563" s="8" t="s">
        <v>8287</v>
      </c>
      <c r="H563" s="8" t="s">
        <v>62</v>
      </c>
      <c r="I563" s="8"/>
    </row>
    <row r="564" customFormat="false" ht="15" hidden="false" customHeight="false" outlineLevel="0" collapsed="false">
      <c r="A564" s="4" t="s">
        <v>9699</v>
      </c>
      <c r="B564" s="4" t="n">
        <v>563</v>
      </c>
      <c r="C564" s="4" t="n">
        <v>1362</v>
      </c>
      <c r="D564" s="8" t="s">
        <v>8410</v>
      </c>
      <c r="E564" s="8" t="s">
        <v>568</v>
      </c>
      <c r="F564" s="8" t="s">
        <v>569</v>
      </c>
      <c r="G564" s="8" t="s">
        <v>8287</v>
      </c>
      <c r="H564" s="8" t="s">
        <v>62</v>
      </c>
      <c r="I564" s="8"/>
    </row>
    <row r="565" customFormat="false" ht="15" hidden="false" customHeight="false" outlineLevel="0" collapsed="false">
      <c r="A565" s="4" t="s">
        <v>9700</v>
      </c>
      <c r="B565" s="4" t="n">
        <v>564</v>
      </c>
      <c r="C565" s="4" t="n">
        <v>1371</v>
      </c>
      <c r="D565" s="8" t="s">
        <v>8389</v>
      </c>
      <c r="E565" s="8" t="s">
        <v>9701</v>
      </c>
      <c r="F565" s="8" t="s">
        <v>9702</v>
      </c>
      <c r="G565" s="8" t="s">
        <v>8287</v>
      </c>
      <c r="H565" s="8" t="s">
        <v>62</v>
      </c>
      <c r="I565" s="8"/>
    </row>
    <row r="566" customFormat="false" ht="15" hidden="false" customHeight="false" outlineLevel="0" collapsed="false">
      <c r="A566" s="4" t="s">
        <v>9703</v>
      </c>
      <c r="B566" s="4" t="n">
        <v>565</v>
      </c>
      <c r="C566" s="4" t="n">
        <v>1372</v>
      </c>
      <c r="D566" s="8" t="s">
        <v>8410</v>
      </c>
      <c r="E566" s="8" t="s">
        <v>9704</v>
      </c>
      <c r="F566" s="8" t="s">
        <v>9705</v>
      </c>
      <c r="G566" s="8" t="s">
        <v>8287</v>
      </c>
      <c r="H566" s="8" t="s">
        <v>62</v>
      </c>
      <c r="I566" s="8"/>
    </row>
    <row r="567" customFormat="false" ht="15" hidden="false" customHeight="false" outlineLevel="0" collapsed="false">
      <c r="A567" s="4" t="s">
        <v>9706</v>
      </c>
      <c r="B567" s="4" t="n">
        <v>566</v>
      </c>
      <c r="C567" s="4" t="n">
        <v>1376</v>
      </c>
      <c r="D567" s="8" t="s">
        <v>8410</v>
      </c>
      <c r="E567" s="8" t="s">
        <v>9707</v>
      </c>
      <c r="F567" s="8" t="s">
        <v>9708</v>
      </c>
      <c r="G567" s="8" t="s">
        <v>8287</v>
      </c>
      <c r="H567" s="8" t="s">
        <v>62</v>
      </c>
      <c r="I567" s="8"/>
    </row>
    <row r="568" customFormat="false" ht="15" hidden="false" customHeight="false" outlineLevel="0" collapsed="false">
      <c r="A568" s="4" t="s">
        <v>9709</v>
      </c>
      <c r="B568" s="4" t="n">
        <v>567</v>
      </c>
      <c r="C568" s="4" t="n">
        <v>1385</v>
      </c>
      <c r="D568" s="8" t="s">
        <v>8378</v>
      </c>
      <c r="E568" s="8" t="s">
        <v>9710</v>
      </c>
      <c r="F568" s="8" t="s">
        <v>9711</v>
      </c>
      <c r="G568" s="8" t="s">
        <v>8287</v>
      </c>
      <c r="H568" s="8" t="s">
        <v>62</v>
      </c>
      <c r="I568" s="8"/>
    </row>
    <row r="569" customFormat="false" ht="15" hidden="false" customHeight="false" outlineLevel="0" collapsed="false">
      <c r="A569" s="4" t="s">
        <v>9712</v>
      </c>
      <c r="B569" s="4" t="n">
        <v>568</v>
      </c>
      <c r="C569" s="4" t="n">
        <v>1388</v>
      </c>
      <c r="D569" s="8" t="s">
        <v>8396</v>
      </c>
      <c r="E569" s="8" t="s">
        <v>9713</v>
      </c>
      <c r="F569" s="8" t="s">
        <v>9714</v>
      </c>
      <c r="G569" s="8" t="s">
        <v>8287</v>
      </c>
      <c r="H569" s="8" t="s">
        <v>62</v>
      </c>
      <c r="I569" s="8"/>
    </row>
    <row r="570" customFormat="false" ht="15" hidden="false" customHeight="false" outlineLevel="0" collapsed="false">
      <c r="A570" s="4" t="s">
        <v>9715</v>
      </c>
      <c r="B570" s="4" t="n">
        <v>569</v>
      </c>
      <c r="C570" s="4" t="n">
        <v>1394</v>
      </c>
      <c r="D570" s="8" t="s">
        <v>8389</v>
      </c>
      <c r="E570" s="8" t="s">
        <v>9716</v>
      </c>
      <c r="F570" s="8" t="s">
        <v>9717</v>
      </c>
      <c r="G570" s="8" t="s">
        <v>8287</v>
      </c>
      <c r="H570" s="8" t="s">
        <v>62</v>
      </c>
      <c r="I570" s="8"/>
    </row>
    <row r="571" customFormat="false" ht="15" hidden="false" customHeight="false" outlineLevel="0" collapsed="false">
      <c r="A571" s="4" t="s">
        <v>9718</v>
      </c>
      <c r="B571" s="4" t="n">
        <v>570</v>
      </c>
      <c r="C571" s="4" t="n">
        <v>1396</v>
      </c>
      <c r="D571" s="8" t="s">
        <v>8474</v>
      </c>
      <c r="E571" s="8" t="s">
        <v>9719</v>
      </c>
      <c r="F571" s="8" t="s">
        <v>9720</v>
      </c>
      <c r="G571" s="8" t="s">
        <v>8287</v>
      </c>
      <c r="H571" s="8" t="s">
        <v>62</v>
      </c>
      <c r="I571" s="8"/>
    </row>
    <row r="572" customFormat="false" ht="15" hidden="false" customHeight="false" outlineLevel="0" collapsed="false">
      <c r="A572" s="4" t="s">
        <v>9721</v>
      </c>
      <c r="B572" s="4" t="n">
        <v>571</v>
      </c>
      <c r="C572" s="4" t="n">
        <v>1398</v>
      </c>
      <c r="D572" s="8" t="s">
        <v>8378</v>
      </c>
      <c r="E572" s="8" t="s">
        <v>9722</v>
      </c>
      <c r="F572" s="8" t="s">
        <v>9723</v>
      </c>
      <c r="G572" s="8" t="s">
        <v>8287</v>
      </c>
      <c r="H572" s="8" t="s">
        <v>62</v>
      </c>
      <c r="I572" s="8"/>
    </row>
    <row r="573" customFormat="false" ht="15" hidden="false" customHeight="false" outlineLevel="0" collapsed="false">
      <c r="A573" s="4" t="s">
        <v>9724</v>
      </c>
      <c r="B573" s="4" t="n">
        <v>572</v>
      </c>
      <c r="C573" s="4" t="n">
        <v>1404</v>
      </c>
      <c r="D573" s="8" t="s">
        <v>8389</v>
      </c>
      <c r="E573" s="8" t="s">
        <v>9725</v>
      </c>
      <c r="F573" s="8" t="s">
        <v>9726</v>
      </c>
      <c r="G573" s="8" t="s">
        <v>8287</v>
      </c>
      <c r="H573" s="8" t="s">
        <v>62</v>
      </c>
      <c r="I573" s="8"/>
    </row>
    <row r="574" customFormat="false" ht="15" hidden="false" customHeight="false" outlineLevel="0" collapsed="false">
      <c r="A574" s="4" t="s">
        <v>9727</v>
      </c>
      <c r="B574" s="4" t="n">
        <v>573</v>
      </c>
      <c r="C574" s="4" t="n">
        <v>1405</v>
      </c>
      <c r="D574" s="8" t="s">
        <v>8378</v>
      </c>
      <c r="E574" s="8" t="s">
        <v>5963</v>
      </c>
      <c r="F574" s="8" t="s">
        <v>9728</v>
      </c>
      <c r="G574" s="8" t="s">
        <v>8287</v>
      </c>
      <c r="H574" s="8" t="s">
        <v>62</v>
      </c>
      <c r="I574" s="8"/>
    </row>
    <row r="575" customFormat="false" ht="15" hidden="false" customHeight="false" outlineLevel="0" collapsed="false">
      <c r="A575" s="4" t="s">
        <v>9729</v>
      </c>
      <c r="B575" s="4" t="n">
        <v>574</v>
      </c>
      <c r="C575" s="4" t="n">
        <v>1408</v>
      </c>
      <c r="D575" s="8" t="s">
        <v>8389</v>
      </c>
      <c r="E575" s="8" t="s">
        <v>9730</v>
      </c>
      <c r="F575" s="8" t="s">
        <v>9731</v>
      </c>
      <c r="G575" s="8" t="s">
        <v>8287</v>
      </c>
      <c r="H575" s="8" t="s">
        <v>62</v>
      </c>
      <c r="I575" s="8"/>
    </row>
    <row r="576" customFormat="false" ht="15" hidden="false" customHeight="false" outlineLevel="0" collapsed="false">
      <c r="A576" s="4" t="s">
        <v>9732</v>
      </c>
      <c r="B576" s="4" t="n">
        <v>575</v>
      </c>
      <c r="C576" s="4" t="n">
        <v>1412</v>
      </c>
      <c r="D576" s="8" t="s">
        <v>8410</v>
      </c>
      <c r="E576" s="8" t="s">
        <v>9733</v>
      </c>
      <c r="F576" s="8" t="s">
        <v>9734</v>
      </c>
      <c r="G576" s="8" t="s">
        <v>8287</v>
      </c>
      <c r="H576" s="8" t="s">
        <v>62</v>
      </c>
      <c r="I576" s="8"/>
    </row>
    <row r="577" customFormat="false" ht="15" hidden="false" customHeight="false" outlineLevel="0" collapsed="false">
      <c r="A577" s="4" t="s">
        <v>9735</v>
      </c>
      <c r="B577" s="4" t="n">
        <v>576</v>
      </c>
      <c r="C577" s="4" t="n">
        <v>1418</v>
      </c>
      <c r="D577" s="8" t="s">
        <v>8410</v>
      </c>
      <c r="E577" s="8" t="s">
        <v>9736</v>
      </c>
      <c r="F577" s="8" t="s">
        <v>9737</v>
      </c>
      <c r="G577" s="8" t="s">
        <v>8287</v>
      </c>
      <c r="H577" s="8" t="s">
        <v>62</v>
      </c>
      <c r="I577" s="8"/>
    </row>
    <row r="578" customFormat="false" ht="15" hidden="false" customHeight="false" outlineLevel="0" collapsed="false">
      <c r="A578" s="4" t="s">
        <v>9738</v>
      </c>
      <c r="B578" s="4" t="n">
        <v>577</v>
      </c>
      <c r="C578" s="4" t="n">
        <v>1420</v>
      </c>
      <c r="D578" s="8" t="s">
        <v>8415</v>
      </c>
      <c r="E578" s="8" t="s">
        <v>1522</v>
      </c>
      <c r="F578" s="8" t="s">
        <v>9739</v>
      </c>
      <c r="G578" s="8" t="s">
        <v>8287</v>
      </c>
      <c r="H578" s="8" t="s">
        <v>62</v>
      </c>
      <c r="I578" s="8"/>
    </row>
    <row r="579" customFormat="false" ht="15" hidden="false" customHeight="false" outlineLevel="0" collapsed="false">
      <c r="A579" s="4" t="s">
        <v>9740</v>
      </c>
      <c r="B579" s="4" t="n">
        <v>578</v>
      </c>
      <c r="C579" s="4" t="n">
        <v>1425</v>
      </c>
      <c r="D579" s="8" t="s">
        <v>8410</v>
      </c>
      <c r="E579" s="8" t="s">
        <v>9741</v>
      </c>
      <c r="F579" s="8" t="s">
        <v>155</v>
      </c>
      <c r="G579" s="8" t="s">
        <v>8287</v>
      </c>
      <c r="H579" s="8" t="s">
        <v>62</v>
      </c>
      <c r="I579" s="8"/>
    </row>
    <row r="580" customFormat="false" ht="15" hidden="false" customHeight="false" outlineLevel="0" collapsed="false">
      <c r="A580" s="4" t="s">
        <v>9742</v>
      </c>
      <c r="B580" s="4" t="n">
        <v>579</v>
      </c>
      <c r="C580" s="4" t="n">
        <v>1432</v>
      </c>
      <c r="D580" s="8" t="s">
        <v>8410</v>
      </c>
      <c r="E580" s="8" t="s">
        <v>9743</v>
      </c>
      <c r="F580" s="8" t="s">
        <v>9744</v>
      </c>
      <c r="G580" s="8" t="s">
        <v>8287</v>
      </c>
      <c r="H580" s="8" t="s">
        <v>62</v>
      </c>
      <c r="I580" s="8"/>
    </row>
    <row r="581" customFormat="false" ht="15" hidden="false" customHeight="false" outlineLevel="0" collapsed="false">
      <c r="A581" s="4" t="s">
        <v>9745</v>
      </c>
      <c r="B581" s="4" t="n">
        <v>580</v>
      </c>
      <c r="C581" s="4" t="n">
        <v>1438</v>
      </c>
      <c r="D581" s="8" t="s">
        <v>8410</v>
      </c>
      <c r="E581" s="8" t="s">
        <v>9746</v>
      </c>
      <c r="F581" s="8" t="s">
        <v>9747</v>
      </c>
      <c r="G581" s="8" t="s">
        <v>8287</v>
      </c>
      <c r="H581" s="8" t="s">
        <v>62</v>
      </c>
      <c r="I581" s="8"/>
    </row>
    <row r="582" customFormat="false" ht="15" hidden="false" customHeight="false" outlineLevel="0" collapsed="false">
      <c r="A582" s="4" t="s">
        <v>9748</v>
      </c>
      <c r="B582" s="4" t="n">
        <v>581</v>
      </c>
      <c r="C582" s="4" t="n">
        <v>1445</v>
      </c>
      <c r="D582" s="8" t="s">
        <v>8415</v>
      </c>
      <c r="E582" s="8" t="s">
        <v>9749</v>
      </c>
      <c r="F582" s="8" t="s">
        <v>6342</v>
      </c>
      <c r="G582" s="8" t="s">
        <v>8287</v>
      </c>
      <c r="H582" s="8" t="s">
        <v>62</v>
      </c>
      <c r="I582" s="8"/>
    </row>
    <row r="583" customFormat="false" ht="15" hidden="false" customHeight="false" outlineLevel="0" collapsed="false">
      <c r="A583" s="4" t="s">
        <v>9750</v>
      </c>
      <c r="B583" s="4" t="n">
        <v>582</v>
      </c>
      <c r="C583" s="4" t="n">
        <v>1449</v>
      </c>
      <c r="D583" s="8" t="s">
        <v>8410</v>
      </c>
      <c r="E583" s="8" t="s">
        <v>9751</v>
      </c>
      <c r="F583" s="8" t="s">
        <v>9752</v>
      </c>
      <c r="G583" s="8" t="s">
        <v>8287</v>
      </c>
      <c r="H583" s="8" t="s">
        <v>62</v>
      </c>
      <c r="I583" s="8"/>
    </row>
    <row r="584" customFormat="false" ht="15" hidden="false" customHeight="false" outlineLevel="0" collapsed="false">
      <c r="A584" s="4" t="s">
        <v>9753</v>
      </c>
      <c r="B584" s="4" t="n">
        <v>583</v>
      </c>
      <c r="C584" s="4" t="n">
        <v>1461</v>
      </c>
      <c r="D584" s="8" t="s">
        <v>8410</v>
      </c>
      <c r="E584" s="8" t="s">
        <v>9754</v>
      </c>
      <c r="F584" s="8" t="s">
        <v>9755</v>
      </c>
      <c r="G584" s="8" t="s">
        <v>8287</v>
      </c>
      <c r="H584" s="8" t="s">
        <v>62</v>
      </c>
      <c r="I584" s="8"/>
    </row>
    <row r="585" customFormat="false" ht="15" hidden="false" customHeight="false" outlineLevel="0" collapsed="false">
      <c r="A585" s="4" t="s">
        <v>9756</v>
      </c>
      <c r="B585" s="4" t="n">
        <v>584</v>
      </c>
      <c r="C585" s="4" t="n">
        <v>1466</v>
      </c>
      <c r="D585" s="8" t="s">
        <v>8410</v>
      </c>
      <c r="E585" s="8" t="s">
        <v>9757</v>
      </c>
      <c r="F585" s="8" t="s">
        <v>9758</v>
      </c>
      <c r="G585" s="8" t="s">
        <v>8287</v>
      </c>
      <c r="H585" s="8" t="s">
        <v>62</v>
      </c>
      <c r="I585" s="8"/>
    </row>
    <row r="586" customFormat="false" ht="15" hidden="false" customHeight="false" outlineLevel="0" collapsed="false">
      <c r="A586" s="4" t="s">
        <v>9759</v>
      </c>
      <c r="B586" s="4" t="n">
        <v>585</v>
      </c>
      <c r="C586" s="4" t="n">
        <v>1469</v>
      </c>
      <c r="D586" s="8" t="s">
        <v>8415</v>
      </c>
      <c r="E586" s="8" t="s">
        <v>6654</v>
      </c>
      <c r="F586" s="8" t="s">
        <v>6655</v>
      </c>
      <c r="G586" s="8" t="s">
        <v>8287</v>
      </c>
      <c r="H586" s="8" t="s">
        <v>62</v>
      </c>
      <c r="I586" s="8"/>
    </row>
    <row r="587" customFormat="false" ht="15" hidden="false" customHeight="false" outlineLevel="0" collapsed="false">
      <c r="A587" s="4" t="s">
        <v>9760</v>
      </c>
      <c r="B587" s="4" t="n">
        <v>586</v>
      </c>
      <c r="C587" s="4" t="n">
        <v>1474</v>
      </c>
      <c r="D587" s="8" t="s">
        <v>8474</v>
      </c>
      <c r="E587" s="8" t="s">
        <v>9761</v>
      </c>
      <c r="F587" s="8" t="s">
        <v>9762</v>
      </c>
      <c r="G587" s="8" t="s">
        <v>8474</v>
      </c>
      <c r="H587" s="8" t="s">
        <v>62</v>
      </c>
      <c r="I587" s="8"/>
    </row>
    <row r="588" customFormat="false" ht="15" hidden="false" customHeight="false" outlineLevel="0" collapsed="false">
      <c r="A588" s="4" t="s">
        <v>9763</v>
      </c>
      <c r="B588" s="4" t="n">
        <v>587</v>
      </c>
      <c r="C588" s="4" t="n">
        <v>1476</v>
      </c>
      <c r="D588" s="8" t="s">
        <v>8378</v>
      </c>
      <c r="E588" s="8" t="s">
        <v>9764</v>
      </c>
      <c r="F588" s="8" t="s">
        <v>9765</v>
      </c>
      <c r="G588" s="8" t="s">
        <v>8287</v>
      </c>
      <c r="H588" s="8" t="s">
        <v>62</v>
      </c>
      <c r="I588" s="8"/>
    </row>
    <row r="589" customFormat="false" ht="15" hidden="false" customHeight="false" outlineLevel="0" collapsed="false">
      <c r="A589" s="4" t="s">
        <v>9766</v>
      </c>
      <c r="B589" s="4" t="n">
        <v>588</v>
      </c>
      <c r="C589" s="4" t="n">
        <v>1477</v>
      </c>
      <c r="D589" s="8" t="s">
        <v>8415</v>
      </c>
      <c r="E589" s="8" t="s">
        <v>630</v>
      </c>
      <c r="F589" s="8" t="s">
        <v>631</v>
      </c>
      <c r="G589" s="8" t="s">
        <v>8287</v>
      </c>
      <c r="H589" s="8" t="s">
        <v>62</v>
      </c>
      <c r="I589" s="8"/>
    </row>
    <row r="590" customFormat="false" ht="15" hidden="false" customHeight="false" outlineLevel="0" collapsed="false">
      <c r="A590" s="4" t="s">
        <v>9767</v>
      </c>
      <c r="B590" s="4" t="n">
        <v>589</v>
      </c>
      <c r="C590" s="4" t="n">
        <v>1484</v>
      </c>
      <c r="D590" s="8" t="s">
        <v>8841</v>
      </c>
      <c r="E590" s="8" t="s">
        <v>9768</v>
      </c>
      <c r="F590" s="8" t="s">
        <v>9769</v>
      </c>
      <c r="G590" s="8" t="s">
        <v>8287</v>
      </c>
      <c r="H590" s="8" t="s">
        <v>62</v>
      </c>
      <c r="I590" s="8"/>
    </row>
    <row r="591" customFormat="false" ht="15" hidden="false" customHeight="false" outlineLevel="0" collapsed="false">
      <c r="A591" s="4" t="s">
        <v>9770</v>
      </c>
      <c r="B591" s="4" t="n">
        <v>590</v>
      </c>
      <c r="C591" s="4" t="n">
        <v>1489</v>
      </c>
      <c r="D591" s="8" t="s">
        <v>8410</v>
      </c>
      <c r="E591" s="8" t="s">
        <v>9771</v>
      </c>
      <c r="F591" s="8" t="s">
        <v>9772</v>
      </c>
      <c r="G591" s="8" t="s">
        <v>8287</v>
      </c>
      <c r="H591" s="8" t="s">
        <v>62</v>
      </c>
      <c r="I591" s="8"/>
    </row>
    <row r="592" customFormat="false" ht="15" hidden="false" customHeight="false" outlineLevel="0" collapsed="false">
      <c r="A592" s="4" t="s">
        <v>9773</v>
      </c>
      <c r="B592" s="4" t="n">
        <v>591</v>
      </c>
      <c r="C592" s="4" t="n">
        <v>1494</v>
      </c>
      <c r="D592" s="8" t="s">
        <v>8410</v>
      </c>
      <c r="E592" s="8" t="s">
        <v>9774</v>
      </c>
      <c r="F592" s="8" t="s">
        <v>9775</v>
      </c>
      <c r="G592" s="8" t="s">
        <v>8287</v>
      </c>
      <c r="H592" s="8" t="s">
        <v>62</v>
      </c>
      <c r="I592" s="8"/>
    </row>
    <row r="593" customFormat="false" ht="15" hidden="false" customHeight="false" outlineLevel="0" collapsed="false">
      <c r="A593" s="4" t="s">
        <v>9776</v>
      </c>
      <c r="B593" s="4" t="n">
        <v>592</v>
      </c>
      <c r="C593" s="4" t="n">
        <v>1505</v>
      </c>
      <c r="D593" s="8" t="s">
        <v>8415</v>
      </c>
      <c r="E593" s="8" t="s">
        <v>1784</v>
      </c>
      <c r="F593" s="8" t="s">
        <v>1785</v>
      </c>
      <c r="G593" s="8" t="s">
        <v>8287</v>
      </c>
      <c r="H593" s="8" t="s">
        <v>62</v>
      </c>
      <c r="I593" s="8"/>
    </row>
    <row r="594" customFormat="false" ht="15" hidden="false" customHeight="false" outlineLevel="0" collapsed="false">
      <c r="A594" s="4" t="s">
        <v>9777</v>
      </c>
      <c r="B594" s="4" t="n">
        <v>593</v>
      </c>
      <c r="C594" s="4" t="n">
        <v>1526</v>
      </c>
      <c r="D594" s="8" t="s">
        <v>8323</v>
      </c>
      <c r="E594" s="8" t="s">
        <v>9778</v>
      </c>
      <c r="F594" s="8" t="s">
        <v>9779</v>
      </c>
      <c r="G594" s="8" t="s">
        <v>8287</v>
      </c>
      <c r="H594" s="8" t="s">
        <v>62</v>
      </c>
      <c r="I594" s="8"/>
    </row>
    <row r="595" customFormat="false" ht="15" hidden="false" customHeight="false" outlineLevel="0" collapsed="false">
      <c r="A595" s="4" t="s">
        <v>9780</v>
      </c>
      <c r="B595" s="4" t="n">
        <v>594</v>
      </c>
      <c r="C595" s="4" t="n">
        <v>1530</v>
      </c>
      <c r="D595" s="8" t="s">
        <v>8323</v>
      </c>
      <c r="E595" s="8" t="s">
        <v>9781</v>
      </c>
      <c r="F595" s="8" t="s">
        <v>9782</v>
      </c>
      <c r="G595" s="8" t="s">
        <v>8287</v>
      </c>
      <c r="H595" s="8" t="s">
        <v>62</v>
      </c>
      <c r="I595" s="8"/>
    </row>
    <row r="596" customFormat="false" ht="15" hidden="false" customHeight="false" outlineLevel="0" collapsed="false">
      <c r="A596" s="4" t="s">
        <v>9783</v>
      </c>
      <c r="B596" s="4" t="n">
        <v>595</v>
      </c>
      <c r="C596" s="4" t="n">
        <v>1538</v>
      </c>
      <c r="D596" s="8" t="s">
        <v>8410</v>
      </c>
      <c r="E596" s="8" t="s">
        <v>293</v>
      </c>
      <c r="F596" s="8" t="s">
        <v>294</v>
      </c>
      <c r="G596" s="8" t="s">
        <v>8287</v>
      </c>
      <c r="H596" s="8" t="s">
        <v>62</v>
      </c>
      <c r="I596" s="8"/>
    </row>
    <row r="597" customFormat="false" ht="15" hidden="false" customHeight="false" outlineLevel="0" collapsed="false">
      <c r="A597" s="4" t="s">
        <v>9784</v>
      </c>
      <c r="B597" s="4" t="n">
        <v>596</v>
      </c>
      <c r="C597" s="4" t="n">
        <v>1541</v>
      </c>
      <c r="D597" s="8" t="s">
        <v>8410</v>
      </c>
      <c r="E597" s="8" t="s">
        <v>236</v>
      </c>
      <c r="F597" s="8" t="s">
        <v>9785</v>
      </c>
      <c r="G597" s="8" t="s">
        <v>8287</v>
      </c>
      <c r="H597" s="8" t="s">
        <v>62</v>
      </c>
      <c r="I597" s="8"/>
    </row>
    <row r="598" customFormat="false" ht="15" hidden="false" customHeight="false" outlineLevel="0" collapsed="false">
      <c r="A598" s="4" t="s">
        <v>9786</v>
      </c>
      <c r="B598" s="4" t="n">
        <v>597</v>
      </c>
      <c r="C598" s="4" t="n">
        <v>1544</v>
      </c>
      <c r="D598" s="8" t="s">
        <v>8389</v>
      </c>
      <c r="E598" s="8" t="s">
        <v>9787</v>
      </c>
      <c r="F598" s="8" t="s">
        <v>9788</v>
      </c>
      <c r="G598" s="8" t="s">
        <v>8287</v>
      </c>
      <c r="H598" s="8" t="s">
        <v>62</v>
      </c>
      <c r="I598" s="8"/>
    </row>
    <row r="599" customFormat="false" ht="15" hidden="false" customHeight="false" outlineLevel="0" collapsed="false">
      <c r="A599" s="4" t="s">
        <v>9789</v>
      </c>
      <c r="B599" s="4" t="n">
        <v>598</v>
      </c>
      <c r="C599" s="4" t="n">
        <v>1551</v>
      </c>
      <c r="D599" s="8" t="s">
        <v>8410</v>
      </c>
      <c r="E599" s="8" t="s">
        <v>9790</v>
      </c>
      <c r="F599" s="8" t="s">
        <v>9791</v>
      </c>
      <c r="G599" s="8" t="s">
        <v>8287</v>
      </c>
      <c r="H599" s="8" t="s">
        <v>62</v>
      </c>
      <c r="I599" s="8"/>
    </row>
    <row r="600" customFormat="false" ht="15" hidden="false" customHeight="false" outlineLevel="0" collapsed="false">
      <c r="A600" s="4" t="s">
        <v>9792</v>
      </c>
      <c r="B600" s="4" t="n">
        <v>599</v>
      </c>
      <c r="C600" s="4" t="n">
        <v>1560</v>
      </c>
      <c r="D600" s="8" t="s">
        <v>8323</v>
      </c>
      <c r="E600" s="8" t="s">
        <v>9793</v>
      </c>
      <c r="F600" s="8" t="s">
        <v>9794</v>
      </c>
      <c r="G600" s="8" t="s">
        <v>8287</v>
      </c>
      <c r="H600" s="8" t="s">
        <v>62</v>
      </c>
      <c r="I600" s="8"/>
    </row>
    <row r="601" customFormat="false" ht="15" hidden="false" customHeight="false" outlineLevel="0" collapsed="false">
      <c r="A601" s="4" t="s">
        <v>9795</v>
      </c>
      <c r="B601" s="4" t="n">
        <v>600</v>
      </c>
      <c r="C601" s="4" t="n">
        <v>1562</v>
      </c>
      <c r="D601" s="8" t="s">
        <v>8378</v>
      </c>
      <c r="E601" s="8" t="s">
        <v>9796</v>
      </c>
      <c r="F601" s="8" t="s">
        <v>9797</v>
      </c>
      <c r="G601" s="8" t="s">
        <v>8287</v>
      </c>
      <c r="H601" s="8" t="s">
        <v>62</v>
      </c>
      <c r="I601" s="8"/>
    </row>
    <row r="602" customFormat="false" ht="15" hidden="false" customHeight="false" outlineLevel="0" collapsed="false">
      <c r="A602" s="4" t="s">
        <v>9798</v>
      </c>
      <c r="B602" s="4" t="n">
        <v>601</v>
      </c>
      <c r="C602" s="4" t="n">
        <v>1564</v>
      </c>
      <c r="D602" s="8" t="s">
        <v>8323</v>
      </c>
      <c r="E602" s="8" t="s">
        <v>9799</v>
      </c>
      <c r="F602" s="8" t="s">
        <v>9800</v>
      </c>
      <c r="G602" s="8" t="s">
        <v>8287</v>
      </c>
      <c r="H602" s="8" t="s">
        <v>62</v>
      </c>
      <c r="I602" s="8"/>
    </row>
    <row r="603" customFormat="false" ht="15" hidden="false" customHeight="false" outlineLevel="0" collapsed="false">
      <c r="A603" s="4" t="s">
        <v>9801</v>
      </c>
      <c r="B603" s="4" t="n">
        <v>602</v>
      </c>
      <c r="C603" s="4" t="n">
        <v>1568</v>
      </c>
      <c r="D603" s="8" t="s">
        <v>8415</v>
      </c>
      <c r="E603" s="8" t="s">
        <v>9802</v>
      </c>
      <c r="F603" s="8" t="s">
        <v>9803</v>
      </c>
      <c r="G603" s="8" t="s">
        <v>8287</v>
      </c>
      <c r="H603" s="8" t="s">
        <v>62</v>
      </c>
      <c r="I603" s="8"/>
    </row>
    <row r="604" customFormat="false" ht="15" hidden="false" customHeight="false" outlineLevel="0" collapsed="false">
      <c r="A604" s="4" t="s">
        <v>9804</v>
      </c>
      <c r="B604" s="4" t="n">
        <v>603</v>
      </c>
      <c r="C604" s="4" t="n">
        <v>1573</v>
      </c>
      <c r="D604" s="8" t="s">
        <v>8410</v>
      </c>
      <c r="E604" s="8" t="s">
        <v>9805</v>
      </c>
      <c r="F604" s="8" t="s">
        <v>9806</v>
      </c>
      <c r="G604" s="8" t="s">
        <v>8287</v>
      </c>
      <c r="H604" s="8" t="s">
        <v>62</v>
      </c>
      <c r="I604" s="8"/>
    </row>
    <row r="605" customFormat="false" ht="15" hidden="false" customHeight="false" outlineLevel="0" collapsed="false">
      <c r="A605" s="4" t="s">
        <v>9807</v>
      </c>
      <c r="B605" s="4" t="n">
        <v>604</v>
      </c>
      <c r="C605" s="4" t="n">
        <v>1576</v>
      </c>
      <c r="D605" s="8" t="s">
        <v>9092</v>
      </c>
      <c r="E605" s="8" t="s">
        <v>2263</v>
      </c>
      <c r="F605" s="8" t="s">
        <v>9808</v>
      </c>
      <c r="G605" s="8" t="s">
        <v>8287</v>
      </c>
      <c r="H605" s="8" t="s">
        <v>62</v>
      </c>
      <c r="I605" s="8"/>
    </row>
    <row r="606" customFormat="false" ht="15" hidden="false" customHeight="false" outlineLevel="0" collapsed="false">
      <c r="A606" s="4" t="s">
        <v>9809</v>
      </c>
      <c r="B606" s="4" t="n">
        <v>605</v>
      </c>
      <c r="C606" s="4" t="n">
        <v>1583</v>
      </c>
      <c r="D606" s="8" t="s">
        <v>8389</v>
      </c>
      <c r="E606" s="8" t="s">
        <v>9810</v>
      </c>
      <c r="F606" s="8" t="s">
        <v>399</v>
      </c>
      <c r="G606" s="8" t="s">
        <v>8287</v>
      </c>
      <c r="H606" s="8" t="s">
        <v>62</v>
      </c>
      <c r="I606" s="8"/>
    </row>
    <row r="607" customFormat="false" ht="15" hidden="false" customHeight="false" outlineLevel="0" collapsed="false">
      <c r="A607" s="4" t="s">
        <v>9811</v>
      </c>
      <c r="B607" s="4" t="n">
        <v>606</v>
      </c>
      <c r="C607" s="4" t="n">
        <v>1585</v>
      </c>
      <c r="D607" s="8" t="s">
        <v>8410</v>
      </c>
      <c r="E607" s="8" t="s">
        <v>9812</v>
      </c>
      <c r="F607" s="8" t="s">
        <v>9813</v>
      </c>
      <c r="G607" s="8" t="s">
        <v>8287</v>
      </c>
      <c r="H607" s="8" t="s">
        <v>62</v>
      </c>
      <c r="I607" s="8"/>
    </row>
    <row r="608" customFormat="false" ht="15" hidden="false" customHeight="false" outlineLevel="0" collapsed="false">
      <c r="A608" s="4" t="s">
        <v>9814</v>
      </c>
      <c r="B608" s="4" t="n">
        <v>607</v>
      </c>
      <c r="C608" s="4" t="n">
        <v>1591</v>
      </c>
      <c r="D608" s="8" t="s">
        <v>8415</v>
      </c>
      <c r="E608" s="8" t="s">
        <v>9815</v>
      </c>
      <c r="F608" s="8" t="s">
        <v>9816</v>
      </c>
      <c r="G608" s="8" t="s">
        <v>8287</v>
      </c>
      <c r="H608" s="8" t="s">
        <v>62</v>
      </c>
      <c r="I608" s="8"/>
    </row>
    <row r="609" customFormat="false" ht="15" hidden="false" customHeight="false" outlineLevel="0" collapsed="false">
      <c r="A609" s="4" t="s">
        <v>9817</v>
      </c>
      <c r="B609" s="4" t="n">
        <v>608</v>
      </c>
      <c r="C609" s="4" t="n">
        <v>1593</v>
      </c>
      <c r="D609" s="8" t="s">
        <v>8410</v>
      </c>
      <c r="E609" s="8" t="s">
        <v>9818</v>
      </c>
      <c r="F609" s="8" t="s">
        <v>9819</v>
      </c>
      <c r="G609" s="8" t="s">
        <v>8287</v>
      </c>
      <c r="H609" s="8" t="s">
        <v>62</v>
      </c>
      <c r="I609" s="8"/>
    </row>
    <row r="610" customFormat="false" ht="15" hidden="false" customHeight="false" outlineLevel="0" collapsed="false">
      <c r="A610" s="4" t="s">
        <v>9820</v>
      </c>
      <c r="B610" s="4" t="n">
        <v>609</v>
      </c>
      <c r="C610" s="4" t="n">
        <v>1597</v>
      </c>
      <c r="D610" s="8" t="s">
        <v>8410</v>
      </c>
      <c r="E610" s="8" t="s">
        <v>906</v>
      </c>
      <c r="F610" s="8" t="s">
        <v>907</v>
      </c>
      <c r="G610" s="8" t="s">
        <v>8287</v>
      </c>
      <c r="H610" s="8" t="s">
        <v>62</v>
      </c>
      <c r="I610" s="8"/>
    </row>
    <row r="611" customFormat="false" ht="15" hidden="false" customHeight="false" outlineLevel="0" collapsed="false">
      <c r="A611" s="4" t="s">
        <v>9821</v>
      </c>
      <c r="B611" s="4" t="n">
        <v>610</v>
      </c>
      <c r="C611" s="4" t="n">
        <v>1600</v>
      </c>
      <c r="D611" s="8" t="s">
        <v>8474</v>
      </c>
      <c r="E611" s="8" t="s">
        <v>9822</v>
      </c>
      <c r="F611" s="8" t="s">
        <v>9823</v>
      </c>
      <c r="G611" s="8" t="s">
        <v>8474</v>
      </c>
      <c r="H611" s="8" t="s">
        <v>62</v>
      </c>
      <c r="I611" s="8"/>
    </row>
    <row r="612" customFormat="false" ht="15" hidden="false" customHeight="false" outlineLevel="0" collapsed="false">
      <c r="A612" s="4" t="s">
        <v>9824</v>
      </c>
      <c r="B612" s="4" t="n">
        <v>611</v>
      </c>
      <c r="C612" s="4" t="n">
        <v>1611</v>
      </c>
      <c r="D612" s="8" t="s">
        <v>8323</v>
      </c>
      <c r="E612" s="8" t="s">
        <v>2120</v>
      </c>
      <c r="F612" s="8" t="s">
        <v>9825</v>
      </c>
      <c r="G612" s="8" t="s">
        <v>8287</v>
      </c>
      <c r="H612" s="8" t="s">
        <v>62</v>
      </c>
      <c r="I612" s="8"/>
    </row>
    <row r="613" customFormat="false" ht="15" hidden="false" customHeight="false" outlineLevel="0" collapsed="false">
      <c r="A613" s="4" t="s">
        <v>9826</v>
      </c>
      <c r="B613" s="4" t="n">
        <v>612</v>
      </c>
      <c r="C613" s="4" t="n">
        <v>1613</v>
      </c>
      <c r="D613" s="8" t="s">
        <v>8389</v>
      </c>
      <c r="E613" s="8" t="s">
        <v>9827</v>
      </c>
      <c r="F613" s="8" t="s">
        <v>148</v>
      </c>
      <c r="G613" s="8" t="s">
        <v>8287</v>
      </c>
      <c r="H613" s="8" t="s">
        <v>62</v>
      </c>
      <c r="I613" s="8"/>
    </row>
    <row r="614" customFormat="false" ht="15" hidden="false" customHeight="false" outlineLevel="0" collapsed="false">
      <c r="A614" s="4" t="s">
        <v>9828</v>
      </c>
      <c r="B614" s="4" t="n">
        <v>613</v>
      </c>
      <c r="C614" s="4" t="n">
        <v>1615</v>
      </c>
      <c r="D614" s="8" t="s">
        <v>8415</v>
      </c>
      <c r="E614" s="8" t="s">
        <v>9829</v>
      </c>
      <c r="F614" s="8" t="s">
        <v>6342</v>
      </c>
      <c r="G614" s="8" t="s">
        <v>8287</v>
      </c>
      <c r="H614" s="8" t="s">
        <v>62</v>
      </c>
      <c r="I614" s="8"/>
    </row>
    <row r="615" customFormat="false" ht="15" hidden="false" customHeight="false" outlineLevel="0" collapsed="false">
      <c r="A615" s="4" t="s">
        <v>9830</v>
      </c>
      <c r="B615" s="4" t="n">
        <v>614</v>
      </c>
      <c r="C615" s="4" t="n">
        <v>1616</v>
      </c>
      <c r="D615" s="8" t="s">
        <v>8415</v>
      </c>
      <c r="E615" s="8" t="s">
        <v>9831</v>
      </c>
      <c r="F615" s="8" t="s">
        <v>9832</v>
      </c>
      <c r="G615" s="8" t="s">
        <v>8287</v>
      </c>
      <c r="H615" s="8" t="s">
        <v>62</v>
      </c>
      <c r="I615" s="8"/>
    </row>
    <row r="616" customFormat="false" ht="15" hidden="false" customHeight="false" outlineLevel="0" collapsed="false">
      <c r="A616" s="4" t="s">
        <v>9833</v>
      </c>
      <c r="B616" s="4" t="n">
        <v>615</v>
      </c>
      <c r="C616" s="4" t="n">
        <v>1617</v>
      </c>
      <c r="D616" s="8" t="s">
        <v>8291</v>
      </c>
      <c r="E616" s="8" t="s">
        <v>7005</v>
      </c>
      <c r="F616" s="8" t="s">
        <v>3443</v>
      </c>
      <c r="G616" s="8" t="s">
        <v>8287</v>
      </c>
      <c r="H616" s="8" t="s">
        <v>62</v>
      </c>
      <c r="I616" s="8"/>
    </row>
    <row r="617" customFormat="false" ht="15" hidden="false" customHeight="false" outlineLevel="0" collapsed="false">
      <c r="A617" s="4" t="s">
        <v>9834</v>
      </c>
      <c r="B617" s="4" t="n">
        <v>616</v>
      </c>
      <c r="C617" s="4" t="n">
        <v>1625</v>
      </c>
      <c r="D617" s="8" t="s">
        <v>8410</v>
      </c>
      <c r="E617" s="8" t="s">
        <v>9835</v>
      </c>
      <c r="F617" s="8" t="s">
        <v>9836</v>
      </c>
      <c r="G617" s="8" t="s">
        <v>8287</v>
      </c>
      <c r="H617" s="8" t="s">
        <v>62</v>
      </c>
      <c r="I617" s="8"/>
    </row>
    <row r="618" customFormat="false" ht="15" hidden="false" customHeight="false" outlineLevel="0" collapsed="false">
      <c r="A618" s="4" t="s">
        <v>9837</v>
      </c>
      <c r="B618" s="4" t="n">
        <v>617</v>
      </c>
      <c r="C618" s="4" t="n">
        <v>1625</v>
      </c>
      <c r="D618" s="8" t="s">
        <v>8410</v>
      </c>
      <c r="E618" s="8" t="s">
        <v>263</v>
      </c>
      <c r="F618" s="8" t="s">
        <v>264</v>
      </c>
      <c r="G618" s="8" t="s">
        <v>8287</v>
      </c>
      <c r="H618" s="8" t="s">
        <v>62</v>
      </c>
      <c r="I618" s="8"/>
    </row>
    <row r="619" customFormat="false" ht="15" hidden="false" customHeight="false" outlineLevel="0" collapsed="false">
      <c r="A619" s="4" t="s">
        <v>9838</v>
      </c>
      <c r="B619" s="4" t="n">
        <v>618</v>
      </c>
      <c r="C619" s="4" t="n">
        <v>1627</v>
      </c>
      <c r="D619" s="8" t="s">
        <v>8410</v>
      </c>
      <c r="E619" s="8" t="s">
        <v>9839</v>
      </c>
      <c r="F619" s="8" t="s">
        <v>1657</v>
      </c>
      <c r="G619" s="8" t="s">
        <v>8287</v>
      </c>
      <c r="H619" s="8" t="s">
        <v>62</v>
      </c>
      <c r="I619" s="8"/>
    </row>
    <row r="620" customFormat="false" ht="15" hidden="false" customHeight="false" outlineLevel="0" collapsed="false">
      <c r="A620" s="4" t="s">
        <v>9840</v>
      </c>
      <c r="B620" s="4" t="n">
        <v>619</v>
      </c>
      <c r="C620" s="4" t="n">
        <v>1630</v>
      </c>
      <c r="D620" s="8" t="s">
        <v>8435</v>
      </c>
      <c r="E620" s="8" t="s">
        <v>9841</v>
      </c>
      <c r="F620" s="8" t="s">
        <v>9842</v>
      </c>
      <c r="G620" s="8" t="s">
        <v>8287</v>
      </c>
      <c r="H620" s="8" t="s">
        <v>62</v>
      </c>
      <c r="I620" s="8"/>
    </row>
    <row r="621" customFormat="false" ht="15" hidden="false" customHeight="false" outlineLevel="0" collapsed="false">
      <c r="A621" s="4" t="s">
        <v>9843</v>
      </c>
      <c r="B621" s="4" t="n">
        <v>620</v>
      </c>
      <c r="C621" s="4" t="n">
        <v>1654</v>
      </c>
      <c r="D621" s="8" t="s">
        <v>8389</v>
      </c>
      <c r="E621" s="8" t="s">
        <v>6173</v>
      </c>
      <c r="F621" s="8" t="s">
        <v>9844</v>
      </c>
      <c r="G621" s="8" t="s">
        <v>8287</v>
      </c>
      <c r="H621" s="8" t="s">
        <v>62</v>
      </c>
      <c r="I621" s="8"/>
    </row>
    <row r="622" customFormat="false" ht="15" hidden="false" customHeight="false" outlineLevel="0" collapsed="false">
      <c r="A622" s="4" t="s">
        <v>9845</v>
      </c>
      <c r="B622" s="4" t="n">
        <v>621</v>
      </c>
      <c r="C622" s="4" t="n">
        <v>1662</v>
      </c>
      <c r="D622" s="8" t="s">
        <v>8410</v>
      </c>
      <c r="E622" s="8" t="s">
        <v>9846</v>
      </c>
      <c r="F622" s="8" t="s">
        <v>1721</v>
      </c>
      <c r="G622" s="8" t="s">
        <v>8287</v>
      </c>
      <c r="H622" s="8" t="s">
        <v>62</v>
      </c>
      <c r="I622" s="8"/>
    </row>
    <row r="623" customFormat="false" ht="15" hidden="false" customHeight="false" outlineLevel="0" collapsed="false">
      <c r="A623" s="4" t="s">
        <v>9847</v>
      </c>
      <c r="B623" s="4" t="n">
        <v>622</v>
      </c>
      <c r="C623" s="4" t="n">
        <v>1664</v>
      </c>
      <c r="D623" s="8" t="s">
        <v>8474</v>
      </c>
      <c r="E623" s="8" t="s">
        <v>9848</v>
      </c>
      <c r="F623" s="8" t="s">
        <v>9849</v>
      </c>
      <c r="G623" s="8" t="s">
        <v>8474</v>
      </c>
      <c r="H623" s="8" t="s">
        <v>62</v>
      </c>
      <c r="I623" s="8"/>
    </row>
    <row r="624" customFormat="false" ht="15" hidden="false" customHeight="false" outlineLevel="0" collapsed="false">
      <c r="A624" s="4" t="s">
        <v>9850</v>
      </c>
      <c r="B624" s="4" t="n">
        <v>623</v>
      </c>
      <c r="C624" s="4" t="n">
        <v>1670</v>
      </c>
      <c r="D624" s="8" t="s">
        <v>8323</v>
      </c>
      <c r="E624" s="8" t="s">
        <v>9851</v>
      </c>
      <c r="F624" s="8" t="s">
        <v>9852</v>
      </c>
      <c r="G624" s="8" t="s">
        <v>8287</v>
      </c>
      <c r="H624" s="8" t="s">
        <v>62</v>
      </c>
      <c r="I624" s="8"/>
    </row>
    <row r="625" customFormat="false" ht="15" hidden="false" customHeight="false" outlineLevel="0" collapsed="false">
      <c r="A625" s="4" t="s">
        <v>9853</v>
      </c>
      <c r="B625" s="4" t="n">
        <v>624</v>
      </c>
      <c r="C625" s="4" t="n">
        <v>1672</v>
      </c>
      <c r="D625" s="8" t="s">
        <v>8415</v>
      </c>
      <c r="E625" s="8" t="s">
        <v>9854</v>
      </c>
      <c r="F625" s="8" t="s">
        <v>9855</v>
      </c>
      <c r="G625" s="8" t="s">
        <v>8287</v>
      </c>
      <c r="H625" s="8" t="s">
        <v>62</v>
      </c>
      <c r="I625" s="8"/>
    </row>
    <row r="626" customFormat="false" ht="15" hidden="false" customHeight="false" outlineLevel="0" collapsed="false">
      <c r="A626" s="4" t="s">
        <v>9856</v>
      </c>
      <c r="B626" s="4" t="n">
        <v>625</v>
      </c>
      <c r="C626" s="4" t="n">
        <v>1673</v>
      </c>
      <c r="D626" s="8" t="s">
        <v>8389</v>
      </c>
      <c r="E626" s="8" t="s">
        <v>9857</v>
      </c>
      <c r="F626" s="8" t="s">
        <v>9858</v>
      </c>
      <c r="G626" s="8" t="s">
        <v>8287</v>
      </c>
      <c r="H626" s="8" t="s">
        <v>62</v>
      </c>
      <c r="I626" s="8"/>
    </row>
    <row r="627" customFormat="false" ht="15" hidden="false" customHeight="false" outlineLevel="0" collapsed="false">
      <c r="A627" s="4" t="s">
        <v>9859</v>
      </c>
      <c r="B627" s="4" t="n">
        <v>626</v>
      </c>
      <c r="C627" s="4" t="n">
        <v>1674</v>
      </c>
      <c r="D627" s="8" t="s">
        <v>8389</v>
      </c>
      <c r="E627" s="8" t="s">
        <v>9860</v>
      </c>
      <c r="F627" s="8" t="s">
        <v>5194</v>
      </c>
      <c r="G627" s="8" t="s">
        <v>8287</v>
      </c>
      <c r="H627" s="8" t="s">
        <v>62</v>
      </c>
      <c r="I627" s="8"/>
    </row>
    <row r="628" customFormat="false" ht="15" hidden="false" customHeight="false" outlineLevel="0" collapsed="false">
      <c r="A628" s="4" t="s">
        <v>9861</v>
      </c>
      <c r="B628" s="4" t="n">
        <v>627</v>
      </c>
      <c r="C628" s="4" t="n">
        <v>1678</v>
      </c>
      <c r="D628" s="8" t="s">
        <v>8323</v>
      </c>
      <c r="E628" s="8" t="s">
        <v>9862</v>
      </c>
      <c r="F628" s="8" t="s">
        <v>9863</v>
      </c>
      <c r="G628" s="8" t="s">
        <v>8287</v>
      </c>
      <c r="H628" s="8" t="s">
        <v>62</v>
      </c>
      <c r="I628" s="8"/>
    </row>
    <row r="629" customFormat="false" ht="15" hidden="false" customHeight="false" outlineLevel="0" collapsed="false">
      <c r="A629" s="4" t="s">
        <v>9864</v>
      </c>
      <c r="B629" s="4" t="n">
        <v>628</v>
      </c>
      <c r="C629" s="4" t="n">
        <v>1679</v>
      </c>
      <c r="D629" s="8" t="s">
        <v>8474</v>
      </c>
      <c r="E629" s="8" t="s">
        <v>5152</v>
      </c>
      <c r="F629" s="8" t="s">
        <v>9865</v>
      </c>
      <c r="G629" s="8" t="s">
        <v>8474</v>
      </c>
      <c r="H629" s="8" t="s">
        <v>62</v>
      </c>
      <c r="I629" s="8"/>
    </row>
    <row r="630" customFormat="false" ht="15" hidden="false" customHeight="false" outlineLevel="0" collapsed="false">
      <c r="A630" s="4" t="s">
        <v>9866</v>
      </c>
      <c r="B630" s="4" t="n">
        <v>629</v>
      </c>
      <c r="C630" s="4" t="n">
        <v>1681</v>
      </c>
      <c r="D630" s="8" t="s">
        <v>8378</v>
      </c>
      <c r="E630" s="8" t="s">
        <v>2550</v>
      </c>
      <c r="F630" s="8" t="s">
        <v>9867</v>
      </c>
      <c r="G630" s="8" t="s">
        <v>8287</v>
      </c>
      <c r="H630" s="8" t="s">
        <v>62</v>
      </c>
      <c r="I630" s="8"/>
    </row>
    <row r="631" customFormat="false" ht="15" hidden="false" customHeight="false" outlineLevel="0" collapsed="false">
      <c r="A631" s="4" t="s">
        <v>9868</v>
      </c>
      <c r="B631" s="4" t="n">
        <v>630</v>
      </c>
      <c r="C631" s="4" t="n">
        <v>1694</v>
      </c>
      <c r="D631" s="8" t="s">
        <v>8410</v>
      </c>
      <c r="E631" s="8" t="s">
        <v>9869</v>
      </c>
      <c r="F631" s="8" t="s">
        <v>9870</v>
      </c>
      <c r="G631" s="8" t="s">
        <v>8287</v>
      </c>
      <c r="H631" s="8" t="s">
        <v>62</v>
      </c>
      <c r="I631" s="8"/>
    </row>
    <row r="632" customFormat="false" ht="15" hidden="false" customHeight="false" outlineLevel="0" collapsed="false">
      <c r="A632" s="4" t="s">
        <v>9871</v>
      </c>
      <c r="B632" s="4" t="n">
        <v>631</v>
      </c>
      <c r="C632" s="4" t="n">
        <v>1698</v>
      </c>
      <c r="D632" s="8" t="s">
        <v>8410</v>
      </c>
      <c r="E632" s="8" t="s">
        <v>3236</v>
      </c>
      <c r="F632" s="8" t="s">
        <v>3237</v>
      </c>
      <c r="G632" s="8" t="s">
        <v>8287</v>
      </c>
      <c r="H632" s="8" t="s">
        <v>62</v>
      </c>
      <c r="I632" s="8"/>
    </row>
    <row r="633" customFormat="false" ht="15" hidden="false" customHeight="false" outlineLevel="0" collapsed="false">
      <c r="A633" s="4" t="s">
        <v>9872</v>
      </c>
      <c r="B633" s="4" t="n">
        <v>632</v>
      </c>
      <c r="C633" s="4" t="n">
        <v>1701</v>
      </c>
      <c r="D633" s="8" t="s">
        <v>8389</v>
      </c>
      <c r="E633" s="8" t="s">
        <v>9873</v>
      </c>
      <c r="F633" s="8" t="s">
        <v>9874</v>
      </c>
      <c r="G633" s="8" t="s">
        <v>8287</v>
      </c>
      <c r="H633" s="8" t="s">
        <v>62</v>
      </c>
      <c r="I633" s="8"/>
    </row>
    <row r="634" customFormat="false" ht="15" hidden="false" customHeight="false" outlineLevel="0" collapsed="false">
      <c r="A634" s="4" t="s">
        <v>9875</v>
      </c>
      <c r="B634" s="4" t="n">
        <v>633</v>
      </c>
      <c r="C634" s="4" t="n">
        <v>1704</v>
      </c>
      <c r="D634" s="8" t="s">
        <v>8410</v>
      </c>
      <c r="E634" s="8" t="s">
        <v>9876</v>
      </c>
      <c r="F634" s="8" t="s">
        <v>9877</v>
      </c>
      <c r="G634" s="8" t="s">
        <v>8287</v>
      </c>
      <c r="H634" s="8" t="s">
        <v>62</v>
      </c>
      <c r="I634" s="8"/>
    </row>
    <row r="635" customFormat="false" ht="15" hidden="false" customHeight="false" outlineLevel="0" collapsed="false">
      <c r="A635" s="4" t="s">
        <v>9878</v>
      </c>
      <c r="B635" s="4" t="n">
        <v>634</v>
      </c>
      <c r="C635" s="4" t="n">
        <v>1715</v>
      </c>
      <c r="D635" s="8" t="s">
        <v>8389</v>
      </c>
      <c r="E635" s="8" t="s">
        <v>9879</v>
      </c>
      <c r="F635" s="8" t="s">
        <v>5850</v>
      </c>
      <c r="G635" s="8" t="s">
        <v>8287</v>
      </c>
      <c r="H635" s="8" t="s">
        <v>62</v>
      </c>
      <c r="I635" s="8"/>
    </row>
    <row r="636" customFormat="false" ht="15" hidden="false" customHeight="false" outlineLevel="0" collapsed="false">
      <c r="A636" s="4" t="s">
        <v>9880</v>
      </c>
      <c r="B636" s="4" t="n">
        <v>635</v>
      </c>
      <c r="C636" s="4" t="n">
        <v>1720</v>
      </c>
      <c r="D636" s="8" t="s">
        <v>8410</v>
      </c>
      <c r="E636" s="8" t="s">
        <v>9881</v>
      </c>
      <c r="F636" s="8" t="s">
        <v>2737</v>
      </c>
      <c r="G636" s="8" t="s">
        <v>8287</v>
      </c>
      <c r="H636" s="8" t="s">
        <v>62</v>
      </c>
      <c r="I636" s="8"/>
    </row>
    <row r="637" customFormat="false" ht="15" hidden="false" customHeight="false" outlineLevel="0" collapsed="false">
      <c r="A637" s="4" t="s">
        <v>9882</v>
      </c>
      <c r="B637" s="4" t="n">
        <v>636</v>
      </c>
      <c r="C637" s="4" t="n">
        <v>1725</v>
      </c>
      <c r="D637" s="8" t="s">
        <v>8415</v>
      </c>
      <c r="E637" s="8" t="s">
        <v>530</v>
      </c>
      <c r="F637" s="8" t="s">
        <v>531</v>
      </c>
      <c r="G637" s="8" t="s">
        <v>8287</v>
      </c>
      <c r="H637" s="8" t="s">
        <v>62</v>
      </c>
      <c r="I637" s="8"/>
    </row>
    <row r="638" customFormat="false" ht="15" hidden="false" customHeight="false" outlineLevel="0" collapsed="false">
      <c r="A638" s="4" t="s">
        <v>9883</v>
      </c>
      <c r="B638" s="4" t="n">
        <v>637</v>
      </c>
      <c r="C638" s="4" t="n">
        <v>1733</v>
      </c>
      <c r="D638" s="8" t="s">
        <v>8410</v>
      </c>
      <c r="E638" s="8" t="s">
        <v>2758</v>
      </c>
      <c r="F638" s="8" t="s">
        <v>2759</v>
      </c>
      <c r="G638" s="8" t="s">
        <v>8287</v>
      </c>
      <c r="H638" s="8" t="s">
        <v>62</v>
      </c>
      <c r="I638" s="8"/>
    </row>
    <row r="639" customFormat="false" ht="15" hidden="false" customHeight="false" outlineLevel="0" collapsed="false">
      <c r="A639" s="4" t="s">
        <v>9884</v>
      </c>
      <c r="B639" s="4" t="n">
        <v>638</v>
      </c>
      <c r="C639" s="4" t="n">
        <v>1734</v>
      </c>
      <c r="D639" s="8" t="s">
        <v>8848</v>
      </c>
      <c r="E639" s="8" t="s">
        <v>6715</v>
      </c>
      <c r="F639" s="8" t="s">
        <v>6716</v>
      </c>
      <c r="G639" s="8" t="s">
        <v>8287</v>
      </c>
      <c r="H639" s="8" t="s">
        <v>62</v>
      </c>
      <c r="I639" s="8"/>
    </row>
    <row r="640" customFormat="false" ht="15" hidden="false" customHeight="false" outlineLevel="0" collapsed="false">
      <c r="A640" s="4" t="s">
        <v>9885</v>
      </c>
      <c r="B640" s="4" t="n">
        <v>639</v>
      </c>
      <c r="C640" s="4" t="n">
        <v>1737</v>
      </c>
      <c r="D640" s="8" t="s">
        <v>8378</v>
      </c>
      <c r="E640" s="8" t="s">
        <v>9886</v>
      </c>
      <c r="F640" s="8" t="s">
        <v>9887</v>
      </c>
      <c r="G640" s="8" t="s">
        <v>8287</v>
      </c>
      <c r="H640" s="8" t="s">
        <v>62</v>
      </c>
      <c r="I640" s="8"/>
    </row>
    <row r="641" customFormat="false" ht="15" hidden="false" customHeight="false" outlineLevel="0" collapsed="false">
      <c r="A641" s="4" t="s">
        <v>9888</v>
      </c>
      <c r="B641" s="4" t="n">
        <v>640</v>
      </c>
      <c r="C641" s="4" t="n">
        <v>1744</v>
      </c>
      <c r="D641" s="8" t="s">
        <v>8415</v>
      </c>
      <c r="E641" s="8" t="s">
        <v>6643</v>
      </c>
      <c r="F641" s="8" t="s">
        <v>6644</v>
      </c>
      <c r="G641" s="8" t="s">
        <v>8287</v>
      </c>
      <c r="H641" s="8" t="s">
        <v>62</v>
      </c>
      <c r="I641" s="8"/>
    </row>
    <row r="642" customFormat="false" ht="15" hidden="false" customHeight="false" outlineLevel="0" collapsed="false">
      <c r="A642" s="4" t="s">
        <v>9889</v>
      </c>
      <c r="B642" s="4" t="n">
        <v>641</v>
      </c>
      <c r="C642" s="4" t="n">
        <v>1745</v>
      </c>
      <c r="D642" s="8" t="s">
        <v>8323</v>
      </c>
      <c r="E642" s="8" t="s">
        <v>9890</v>
      </c>
      <c r="F642" s="8" t="s">
        <v>9891</v>
      </c>
      <c r="G642" s="8" t="s">
        <v>8287</v>
      </c>
      <c r="H642" s="8" t="s">
        <v>62</v>
      </c>
      <c r="I642" s="8"/>
    </row>
    <row r="643" customFormat="false" ht="15" hidden="false" customHeight="false" outlineLevel="0" collapsed="false">
      <c r="A643" s="4" t="s">
        <v>9892</v>
      </c>
      <c r="B643" s="4" t="n">
        <v>642</v>
      </c>
      <c r="C643" s="4" t="n">
        <v>1749</v>
      </c>
      <c r="D643" s="8" t="s">
        <v>8410</v>
      </c>
      <c r="E643" s="8" t="s">
        <v>9893</v>
      </c>
      <c r="F643" s="8" t="s">
        <v>9894</v>
      </c>
      <c r="G643" s="8" t="s">
        <v>8287</v>
      </c>
      <c r="H643" s="8" t="s">
        <v>62</v>
      </c>
      <c r="I643" s="8"/>
    </row>
    <row r="644" customFormat="false" ht="15" hidden="false" customHeight="false" outlineLevel="0" collapsed="false">
      <c r="A644" s="4" t="s">
        <v>9895</v>
      </c>
      <c r="B644" s="4" t="n">
        <v>643</v>
      </c>
      <c r="C644" s="4" t="n">
        <v>1752</v>
      </c>
      <c r="D644" s="8" t="s">
        <v>8410</v>
      </c>
      <c r="E644" s="8" t="s">
        <v>472</v>
      </c>
      <c r="F644" s="8" t="s">
        <v>473</v>
      </c>
      <c r="G644" s="8" t="s">
        <v>8287</v>
      </c>
      <c r="H644" s="8" t="s">
        <v>62</v>
      </c>
      <c r="I644" s="8"/>
    </row>
    <row r="645" customFormat="false" ht="15" hidden="false" customHeight="false" outlineLevel="0" collapsed="false">
      <c r="A645" s="4" t="s">
        <v>9896</v>
      </c>
      <c r="B645" s="4" t="n">
        <v>644</v>
      </c>
      <c r="C645" s="4" t="n">
        <v>1754</v>
      </c>
      <c r="D645" s="8" t="s">
        <v>8389</v>
      </c>
      <c r="E645" s="8" t="s">
        <v>9897</v>
      </c>
      <c r="F645" s="8" t="s">
        <v>9898</v>
      </c>
      <c r="G645" s="8" t="s">
        <v>8287</v>
      </c>
      <c r="H645" s="8" t="s">
        <v>62</v>
      </c>
      <c r="I645" s="8"/>
    </row>
    <row r="646" customFormat="false" ht="15" hidden="false" customHeight="false" outlineLevel="0" collapsed="false">
      <c r="A646" s="4" t="s">
        <v>9899</v>
      </c>
      <c r="B646" s="4" t="n">
        <v>645</v>
      </c>
      <c r="C646" s="4" t="n">
        <v>1756</v>
      </c>
      <c r="D646" s="8" t="s">
        <v>8389</v>
      </c>
      <c r="E646" s="8" t="s">
        <v>9900</v>
      </c>
      <c r="F646" s="8" t="s">
        <v>9901</v>
      </c>
      <c r="G646" s="8" t="s">
        <v>8287</v>
      </c>
      <c r="H646" s="8" t="s">
        <v>62</v>
      </c>
      <c r="I646" s="8"/>
    </row>
    <row r="647" customFormat="false" ht="15" hidden="false" customHeight="false" outlineLevel="0" collapsed="false">
      <c r="A647" s="4" t="s">
        <v>9902</v>
      </c>
      <c r="B647" s="4" t="n">
        <v>646</v>
      </c>
      <c r="C647" s="4" t="n">
        <v>1761</v>
      </c>
      <c r="D647" s="8" t="s">
        <v>8323</v>
      </c>
      <c r="E647" s="8" t="s">
        <v>9903</v>
      </c>
      <c r="F647" s="8" t="s">
        <v>9904</v>
      </c>
      <c r="G647" s="8" t="s">
        <v>8287</v>
      </c>
      <c r="H647" s="8" t="s">
        <v>62</v>
      </c>
      <c r="I647" s="8"/>
    </row>
    <row r="648" customFormat="false" ht="15" hidden="false" customHeight="false" outlineLevel="0" collapsed="false">
      <c r="A648" s="4" t="s">
        <v>9905</v>
      </c>
      <c r="B648" s="4" t="n">
        <v>647</v>
      </c>
      <c r="C648" s="4" t="n">
        <v>1781</v>
      </c>
      <c r="D648" s="8" t="s">
        <v>8389</v>
      </c>
      <c r="E648" s="8" t="s">
        <v>9906</v>
      </c>
      <c r="F648" s="8" t="s">
        <v>9907</v>
      </c>
      <c r="G648" s="8" t="s">
        <v>8287</v>
      </c>
      <c r="H648" s="8" t="s">
        <v>62</v>
      </c>
      <c r="I648" s="8"/>
    </row>
    <row r="649" customFormat="false" ht="15" hidden="false" customHeight="false" outlineLevel="0" collapsed="false">
      <c r="A649" s="4" t="s">
        <v>9908</v>
      </c>
      <c r="B649" s="4" t="n">
        <v>648</v>
      </c>
      <c r="C649" s="4" t="n">
        <v>1785</v>
      </c>
      <c r="D649" s="8" t="s">
        <v>8415</v>
      </c>
      <c r="E649" s="8" t="s">
        <v>9909</v>
      </c>
      <c r="F649" s="8" t="s">
        <v>9910</v>
      </c>
      <c r="G649" s="8" t="s">
        <v>8287</v>
      </c>
      <c r="H649" s="8" t="s">
        <v>62</v>
      </c>
      <c r="I649" s="8"/>
    </row>
    <row r="650" customFormat="false" ht="15" hidden="false" customHeight="false" outlineLevel="0" collapsed="false">
      <c r="A650" s="4" t="s">
        <v>9911</v>
      </c>
      <c r="B650" s="4" t="n">
        <v>649</v>
      </c>
      <c r="C650" s="4" t="n">
        <v>1787</v>
      </c>
      <c r="D650" s="8" t="s">
        <v>8336</v>
      </c>
      <c r="E650" s="8" t="s">
        <v>9912</v>
      </c>
      <c r="F650" s="8" t="s">
        <v>9913</v>
      </c>
      <c r="G650" s="8" t="s">
        <v>8287</v>
      </c>
      <c r="H650" s="8" t="s">
        <v>62</v>
      </c>
      <c r="I650" s="8"/>
    </row>
    <row r="651" customFormat="false" ht="15" hidden="false" customHeight="false" outlineLevel="0" collapsed="false">
      <c r="A651" s="4" t="s">
        <v>9914</v>
      </c>
      <c r="B651" s="4" t="n">
        <v>650</v>
      </c>
      <c r="C651" s="4" t="n">
        <v>1794</v>
      </c>
      <c r="D651" s="8" t="s">
        <v>8410</v>
      </c>
      <c r="E651" s="8" t="s">
        <v>9915</v>
      </c>
      <c r="F651" s="8" t="s">
        <v>9916</v>
      </c>
      <c r="G651" s="8" t="s">
        <v>8287</v>
      </c>
      <c r="H651" s="8" t="s">
        <v>62</v>
      </c>
      <c r="I651" s="8"/>
    </row>
    <row r="652" customFormat="false" ht="15" hidden="false" customHeight="false" outlineLevel="0" collapsed="false">
      <c r="A652" s="4" t="s">
        <v>9917</v>
      </c>
      <c r="B652" s="4" t="n">
        <v>651</v>
      </c>
      <c r="C652" s="4" t="n">
        <v>1802</v>
      </c>
      <c r="D652" s="8" t="s">
        <v>8389</v>
      </c>
      <c r="E652" s="8" t="s">
        <v>9918</v>
      </c>
      <c r="F652" s="8" t="s">
        <v>9919</v>
      </c>
      <c r="G652" s="8" t="s">
        <v>8287</v>
      </c>
      <c r="H652" s="8" t="s">
        <v>62</v>
      </c>
      <c r="I652" s="8"/>
    </row>
    <row r="653" customFormat="false" ht="15" hidden="false" customHeight="false" outlineLevel="0" collapsed="false">
      <c r="A653" s="4" t="s">
        <v>9920</v>
      </c>
      <c r="B653" s="4" t="n">
        <v>652</v>
      </c>
      <c r="C653" s="4" t="n">
        <v>1810</v>
      </c>
      <c r="D653" s="8" t="s">
        <v>8474</v>
      </c>
      <c r="E653" s="8" t="s">
        <v>9921</v>
      </c>
      <c r="F653" s="8" t="s">
        <v>9922</v>
      </c>
      <c r="G653" s="8" t="s">
        <v>8287</v>
      </c>
      <c r="H653" s="8" t="s">
        <v>62</v>
      </c>
      <c r="I653" s="8"/>
    </row>
    <row r="654" customFormat="false" ht="15" hidden="false" customHeight="false" outlineLevel="0" collapsed="false">
      <c r="A654" s="4" t="s">
        <v>9923</v>
      </c>
      <c r="B654" s="4" t="n">
        <v>653</v>
      </c>
      <c r="C654" s="4" t="n">
        <v>1811</v>
      </c>
      <c r="D654" s="8" t="s">
        <v>8323</v>
      </c>
      <c r="E654" s="8" t="s">
        <v>685</v>
      </c>
      <c r="F654" s="8" t="s">
        <v>9924</v>
      </c>
      <c r="G654" s="8" t="s">
        <v>8287</v>
      </c>
      <c r="H654" s="8" t="s">
        <v>62</v>
      </c>
      <c r="I654" s="8"/>
    </row>
    <row r="655" customFormat="false" ht="15" hidden="false" customHeight="false" outlineLevel="0" collapsed="false">
      <c r="A655" s="4" t="s">
        <v>9925</v>
      </c>
      <c r="B655" s="4" t="n">
        <v>654</v>
      </c>
      <c r="C655" s="4" t="n">
        <v>1819</v>
      </c>
      <c r="D655" s="8" t="s">
        <v>8410</v>
      </c>
      <c r="E655" s="8" t="s">
        <v>9926</v>
      </c>
      <c r="F655" s="8" t="s">
        <v>9927</v>
      </c>
      <c r="G655" s="8" t="s">
        <v>8287</v>
      </c>
      <c r="H655" s="8" t="s">
        <v>62</v>
      </c>
      <c r="I655" s="8"/>
    </row>
    <row r="656" customFormat="false" ht="15" hidden="false" customHeight="false" outlineLevel="0" collapsed="false">
      <c r="A656" s="4" t="s">
        <v>9928</v>
      </c>
      <c r="B656" s="4" t="n">
        <v>655</v>
      </c>
      <c r="C656" s="4" t="n">
        <v>1823</v>
      </c>
      <c r="D656" s="8" t="s">
        <v>8410</v>
      </c>
      <c r="E656" s="8" t="s">
        <v>9929</v>
      </c>
      <c r="F656" s="8" t="s">
        <v>9930</v>
      </c>
      <c r="G656" s="8" t="s">
        <v>8287</v>
      </c>
      <c r="H656" s="8" t="s">
        <v>62</v>
      </c>
      <c r="I656" s="8"/>
    </row>
    <row r="657" customFormat="false" ht="15" hidden="false" customHeight="false" outlineLevel="0" collapsed="false">
      <c r="A657" s="4" t="s">
        <v>9931</v>
      </c>
      <c r="B657" s="4" t="n">
        <v>656</v>
      </c>
      <c r="C657" s="4" t="n">
        <v>1826</v>
      </c>
      <c r="D657" s="8" t="s">
        <v>8410</v>
      </c>
      <c r="E657" s="8" t="s">
        <v>9932</v>
      </c>
      <c r="F657" s="8" t="s">
        <v>9933</v>
      </c>
      <c r="G657" s="8" t="s">
        <v>8287</v>
      </c>
      <c r="H657" s="8" t="s">
        <v>62</v>
      </c>
      <c r="I657" s="8"/>
    </row>
    <row r="658" customFormat="false" ht="15" hidden="false" customHeight="false" outlineLevel="0" collapsed="false">
      <c r="A658" s="4" t="s">
        <v>9934</v>
      </c>
      <c r="B658" s="4" t="n">
        <v>657</v>
      </c>
      <c r="C658" s="4" t="n">
        <v>1828</v>
      </c>
      <c r="D658" s="8" t="s">
        <v>8378</v>
      </c>
      <c r="E658" s="8" t="s">
        <v>9935</v>
      </c>
      <c r="F658" s="8" t="s">
        <v>9936</v>
      </c>
      <c r="G658" s="8" t="s">
        <v>8287</v>
      </c>
      <c r="H658" s="8" t="s">
        <v>62</v>
      </c>
      <c r="I658" s="8"/>
    </row>
    <row r="659" customFormat="false" ht="15" hidden="false" customHeight="false" outlineLevel="0" collapsed="false">
      <c r="A659" s="4" t="s">
        <v>9937</v>
      </c>
      <c r="B659" s="4" t="n">
        <v>658</v>
      </c>
      <c r="C659" s="4" t="n">
        <v>1842</v>
      </c>
      <c r="D659" s="8" t="s">
        <v>8396</v>
      </c>
      <c r="E659" s="8" t="s">
        <v>7090</v>
      </c>
      <c r="F659" s="8" t="s">
        <v>7091</v>
      </c>
      <c r="G659" s="8" t="s">
        <v>8287</v>
      </c>
      <c r="H659" s="8" t="s">
        <v>62</v>
      </c>
      <c r="I659" s="8"/>
    </row>
    <row r="660" customFormat="false" ht="15" hidden="false" customHeight="false" outlineLevel="0" collapsed="false">
      <c r="A660" s="4" t="s">
        <v>9938</v>
      </c>
      <c r="B660" s="4" t="n">
        <v>659</v>
      </c>
      <c r="C660" s="4" t="n">
        <v>1844</v>
      </c>
      <c r="D660" s="8" t="s">
        <v>8410</v>
      </c>
      <c r="E660" s="8" t="s">
        <v>4326</v>
      </c>
      <c r="F660" s="8" t="s">
        <v>9939</v>
      </c>
      <c r="G660" s="8" t="s">
        <v>8287</v>
      </c>
      <c r="H660" s="8" t="s">
        <v>62</v>
      </c>
      <c r="I660" s="8"/>
    </row>
    <row r="661" customFormat="false" ht="15" hidden="false" customHeight="false" outlineLevel="0" collapsed="false">
      <c r="A661" s="4" t="s">
        <v>9940</v>
      </c>
      <c r="B661" s="4" t="n">
        <v>660</v>
      </c>
      <c r="C661" s="4" t="n">
        <v>1848</v>
      </c>
      <c r="D661" s="8" t="s">
        <v>8396</v>
      </c>
      <c r="E661" s="8" t="s">
        <v>9941</v>
      </c>
      <c r="F661" s="8" t="s">
        <v>9942</v>
      </c>
      <c r="G661" s="8" t="s">
        <v>8287</v>
      </c>
      <c r="H661" s="8" t="s">
        <v>62</v>
      </c>
      <c r="I661" s="8"/>
    </row>
    <row r="662" customFormat="false" ht="15" hidden="false" customHeight="false" outlineLevel="0" collapsed="false">
      <c r="A662" s="4" t="s">
        <v>9943</v>
      </c>
      <c r="B662" s="4" t="n">
        <v>661</v>
      </c>
      <c r="C662" s="4" t="n">
        <v>1853</v>
      </c>
      <c r="D662" s="8" t="s">
        <v>8415</v>
      </c>
      <c r="E662" s="8" t="s">
        <v>6613</v>
      </c>
      <c r="F662" s="8" t="s">
        <v>6614</v>
      </c>
      <c r="G662" s="8" t="s">
        <v>8287</v>
      </c>
      <c r="H662" s="8" t="s">
        <v>62</v>
      </c>
      <c r="I662" s="8"/>
    </row>
    <row r="663" customFormat="false" ht="15" hidden="false" customHeight="false" outlineLevel="0" collapsed="false">
      <c r="A663" s="4" t="s">
        <v>9944</v>
      </c>
      <c r="B663" s="4" t="n">
        <v>662</v>
      </c>
      <c r="C663" s="4" t="n">
        <v>1857</v>
      </c>
      <c r="D663" s="8" t="s">
        <v>8410</v>
      </c>
      <c r="E663" s="8" t="s">
        <v>9945</v>
      </c>
      <c r="F663" s="8" t="s">
        <v>1284</v>
      </c>
      <c r="G663" s="8" t="s">
        <v>8287</v>
      </c>
      <c r="H663" s="8" t="s">
        <v>62</v>
      </c>
      <c r="I663" s="8"/>
    </row>
    <row r="664" customFormat="false" ht="15" hidden="false" customHeight="false" outlineLevel="0" collapsed="false">
      <c r="A664" s="4" t="s">
        <v>9946</v>
      </c>
      <c r="B664" s="4" t="n">
        <v>663</v>
      </c>
      <c r="C664" s="4" t="n">
        <v>1858</v>
      </c>
      <c r="D664" s="8" t="s">
        <v>8389</v>
      </c>
      <c r="E664" s="8" t="s">
        <v>9947</v>
      </c>
      <c r="F664" s="8" t="s">
        <v>9948</v>
      </c>
      <c r="G664" s="8" t="s">
        <v>8287</v>
      </c>
      <c r="H664" s="8" t="s">
        <v>62</v>
      </c>
      <c r="I664" s="8"/>
    </row>
    <row r="665" customFormat="false" ht="15" hidden="false" customHeight="false" outlineLevel="0" collapsed="false">
      <c r="A665" s="4" t="s">
        <v>9949</v>
      </c>
      <c r="B665" s="4" t="n">
        <v>664</v>
      </c>
      <c r="C665" s="4" t="n">
        <v>1862</v>
      </c>
      <c r="D665" s="8" t="s">
        <v>8410</v>
      </c>
      <c r="E665" s="8" t="s">
        <v>1880</v>
      </c>
      <c r="F665" s="8" t="s">
        <v>9950</v>
      </c>
      <c r="G665" s="8" t="s">
        <v>8287</v>
      </c>
      <c r="H665" s="8" t="s">
        <v>62</v>
      </c>
      <c r="I665" s="8"/>
    </row>
    <row r="666" customFormat="false" ht="15" hidden="false" customHeight="false" outlineLevel="0" collapsed="false">
      <c r="A666" s="4" t="s">
        <v>9951</v>
      </c>
      <c r="B666" s="4" t="n">
        <v>665</v>
      </c>
      <c r="C666" s="4" t="n">
        <v>1864</v>
      </c>
      <c r="D666" s="8" t="s">
        <v>8410</v>
      </c>
      <c r="E666" s="8" t="s">
        <v>9952</v>
      </c>
      <c r="F666" s="8" t="s">
        <v>9953</v>
      </c>
      <c r="G666" s="8" t="s">
        <v>8287</v>
      </c>
      <c r="H666" s="8" t="s">
        <v>62</v>
      </c>
      <c r="I666" s="8"/>
    </row>
    <row r="667" customFormat="false" ht="15" hidden="false" customHeight="false" outlineLevel="0" collapsed="false">
      <c r="A667" s="4" t="s">
        <v>9954</v>
      </c>
      <c r="B667" s="4" t="n">
        <v>666</v>
      </c>
      <c r="C667" s="4" t="n">
        <v>1874</v>
      </c>
      <c r="D667" s="8" t="s">
        <v>8389</v>
      </c>
      <c r="E667" s="8" t="s">
        <v>9955</v>
      </c>
      <c r="F667" s="8" t="s">
        <v>9956</v>
      </c>
      <c r="G667" s="8" t="s">
        <v>8287</v>
      </c>
      <c r="H667" s="8" t="s">
        <v>62</v>
      </c>
      <c r="I667" s="8"/>
    </row>
    <row r="668" customFormat="false" ht="15" hidden="false" customHeight="false" outlineLevel="0" collapsed="false">
      <c r="A668" s="4" t="s">
        <v>9957</v>
      </c>
      <c r="B668" s="4" t="n">
        <v>667</v>
      </c>
      <c r="C668" s="4" t="n">
        <v>1875</v>
      </c>
      <c r="D668" s="8" t="s">
        <v>8410</v>
      </c>
      <c r="E668" s="8" t="s">
        <v>9958</v>
      </c>
      <c r="F668" s="8" t="s">
        <v>9959</v>
      </c>
      <c r="G668" s="8" t="s">
        <v>8287</v>
      </c>
      <c r="H668" s="8" t="s">
        <v>62</v>
      </c>
      <c r="I668" s="8"/>
    </row>
    <row r="669" customFormat="false" ht="15" hidden="false" customHeight="false" outlineLevel="0" collapsed="false">
      <c r="A669" s="4" t="s">
        <v>9960</v>
      </c>
      <c r="B669" s="4" t="n">
        <v>668</v>
      </c>
      <c r="C669" s="4" t="n">
        <v>1882</v>
      </c>
      <c r="D669" s="8" t="s">
        <v>8410</v>
      </c>
      <c r="E669" s="8" t="s">
        <v>872</v>
      </c>
      <c r="F669" s="8" t="s">
        <v>873</v>
      </c>
      <c r="G669" s="8" t="s">
        <v>8287</v>
      </c>
      <c r="H669" s="8" t="s">
        <v>62</v>
      </c>
      <c r="I669" s="8"/>
    </row>
    <row r="670" customFormat="false" ht="15" hidden="false" customHeight="false" outlineLevel="0" collapsed="false">
      <c r="A670" s="4" t="s">
        <v>9961</v>
      </c>
      <c r="B670" s="4" t="n">
        <v>669</v>
      </c>
      <c r="C670" s="4" t="n">
        <v>1885</v>
      </c>
      <c r="D670" s="8" t="s">
        <v>8415</v>
      </c>
      <c r="E670" s="8" t="s">
        <v>9962</v>
      </c>
      <c r="F670" s="8" t="s">
        <v>9963</v>
      </c>
      <c r="G670" s="8" t="s">
        <v>8287</v>
      </c>
      <c r="H670" s="8" t="s">
        <v>62</v>
      </c>
      <c r="I670" s="8"/>
    </row>
    <row r="671" customFormat="false" ht="15" hidden="false" customHeight="false" outlineLevel="0" collapsed="false">
      <c r="A671" s="4" t="s">
        <v>9964</v>
      </c>
      <c r="B671" s="4" t="n">
        <v>670</v>
      </c>
      <c r="C671" s="4" t="n">
        <v>1886</v>
      </c>
      <c r="D671" s="8" t="s">
        <v>8389</v>
      </c>
      <c r="E671" s="8" t="s">
        <v>3752</v>
      </c>
      <c r="F671" s="8" t="s">
        <v>3753</v>
      </c>
      <c r="G671" s="8" t="s">
        <v>8287</v>
      </c>
      <c r="H671" s="8" t="s">
        <v>62</v>
      </c>
      <c r="I671" s="8"/>
    </row>
    <row r="672" customFormat="false" ht="15" hidden="false" customHeight="false" outlineLevel="0" collapsed="false">
      <c r="A672" s="4" t="s">
        <v>9965</v>
      </c>
      <c r="B672" s="4" t="n">
        <v>671</v>
      </c>
      <c r="C672" s="4" t="n">
        <v>1893</v>
      </c>
      <c r="D672" s="8" t="s">
        <v>8410</v>
      </c>
      <c r="E672" s="8" t="s">
        <v>9966</v>
      </c>
      <c r="F672" s="8" t="s">
        <v>9967</v>
      </c>
      <c r="G672" s="8" t="s">
        <v>8287</v>
      </c>
      <c r="H672" s="8" t="s">
        <v>62</v>
      </c>
      <c r="I672" s="8"/>
    </row>
    <row r="673" customFormat="false" ht="15" hidden="false" customHeight="false" outlineLevel="0" collapsed="false">
      <c r="A673" s="4" t="s">
        <v>9968</v>
      </c>
      <c r="B673" s="4" t="n">
        <v>672</v>
      </c>
      <c r="C673" s="4" t="n">
        <v>1896</v>
      </c>
      <c r="D673" s="8" t="s">
        <v>8389</v>
      </c>
      <c r="E673" s="8" t="s">
        <v>9969</v>
      </c>
      <c r="F673" s="8" t="s">
        <v>9970</v>
      </c>
      <c r="G673" s="8" t="s">
        <v>8287</v>
      </c>
      <c r="H673" s="8" t="s">
        <v>62</v>
      </c>
      <c r="I673" s="8"/>
    </row>
    <row r="674" customFormat="false" ht="15" hidden="false" customHeight="false" outlineLevel="0" collapsed="false">
      <c r="A674" s="4" t="s">
        <v>9971</v>
      </c>
      <c r="B674" s="4" t="n">
        <v>673</v>
      </c>
      <c r="C674" s="4" t="n">
        <v>1921</v>
      </c>
      <c r="D674" s="8" t="s">
        <v>8396</v>
      </c>
      <c r="E674" s="8" t="s">
        <v>9972</v>
      </c>
      <c r="F674" s="8" t="s">
        <v>9973</v>
      </c>
      <c r="G674" s="8" t="s">
        <v>8287</v>
      </c>
      <c r="H674" s="8" t="s">
        <v>62</v>
      </c>
      <c r="I674" s="8"/>
    </row>
    <row r="675" customFormat="false" ht="15" hidden="false" customHeight="false" outlineLevel="0" collapsed="false">
      <c r="A675" s="4" t="s">
        <v>9974</v>
      </c>
      <c r="B675" s="4" t="n">
        <v>674</v>
      </c>
      <c r="C675" s="4" t="n">
        <v>1931</v>
      </c>
      <c r="D675" s="8" t="s">
        <v>8389</v>
      </c>
      <c r="E675" s="8" t="s">
        <v>9975</v>
      </c>
      <c r="F675" s="8" t="s">
        <v>159</v>
      </c>
      <c r="G675" s="8" t="s">
        <v>8287</v>
      </c>
      <c r="H675" s="8" t="s">
        <v>62</v>
      </c>
      <c r="I675" s="8"/>
    </row>
    <row r="676" customFormat="false" ht="15" hidden="false" customHeight="false" outlineLevel="0" collapsed="false">
      <c r="A676" s="4" t="s">
        <v>9976</v>
      </c>
      <c r="B676" s="4" t="n">
        <v>675</v>
      </c>
      <c r="C676" s="4" t="n">
        <v>1933</v>
      </c>
      <c r="D676" s="8" t="s">
        <v>8410</v>
      </c>
      <c r="E676" s="8" t="s">
        <v>4711</v>
      </c>
      <c r="F676" s="8" t="s">
        <v>4712</v>
      </c>
      <c r="G676" s="8" t="s">
        <v>8287</v>
      </c>
      <c r="H676" s="8" t="s">
        <v>62</v>
      </c>
      <c r="I676" s="8"/>
    </row>
    <row r="677" customFormat="false" ht="15" hidden="false" customHeight="false" outlineLevel="0" collapsed="false">
      <c r="A677" s="4" t="s">
        <v>9977</v>
      </c>
      <c r="B677" s="4" t="n">
        <v>676</v>
      </c>
      <c r="C677" s="4" t="n">
        <v>1935</v>
      </c>
      <c r="D677" s="8" t="s">
        <v>8378</v>
      </c>
      <c r="E677" s="8" t="s">
        <v>9978</v>
      </c>
      <c r="F677" s="8" t="s">
        <v>9979</v>
      </c>
      <c r="G677" s="8" t="s">
        <v>8287</v>
      </c>
      <c r="H677" s="8" t="s">
        <v>62</v>
      </c>
      <c r="I677" s="8"/>
    </row>
    <row r="678" customFormat="false" ht="15" hidden="false" customHeight="false" outlineLevel="0" collapsed="false">
      <c r="A678" s="4" t="s">
        <v>9980</v>
      </c>
      <c r="B678" s="4" t="n">
        <v>677</v>
      </c>
      <c r="C678" s="4" t="n">
        <v>1942</v>
      </c>
      <c r="D678" s="8" t="s">
        <v>8410</v>
      </c>
      <c r="E678" s="8" t="s">
        <v>9981</v>
      </c>
      <c r="F678" s="8" t="s">
        <v>9982</v>
      </c>
      <c r="G678" s="8" t="s">
        <v>8287</v>
      </c>
      <c r="H678" s="8" t="s">
        <v>62</v>
      </c>
      <c r="I678" s="8"/>
    </row>
    <row r="679" customFormat="false" ht="15" hidden="false" customHeight="false" outlineLevel="0" collapsed="false">
      <c r="A679" s="4" t="s">
        <v>9983</v>
      </c>
      <c r="B679" s="4" t="n">
        <v>678</v>
      </c>
      <c r="C679" s="4" t="n">
        <v>1943</v>
      </c>
      <c r="D679" s="8" t="s">
        <v>8389</v>
      </c>
      <c r="E679" s="8" t="s">
        <v>9984</v>
      </c>
      <c r="F679" s="8" t="s">
        <v>9985</v>
      </c>
      <c r="G679" s="8" t="s">
        <v>8287</v>
      </c>
      <c r="H679" s="8" t="s">
        <v>62</v>
      </c>
      <c r="I679" s="8"/>
    </row>
    <row r="680" customFormat="false" ht="15" hidden="false" customHeight="false" outlineLevel="0" collapsed="false">
      <c r="A680" s="4" t="s">
        <v>9986</v>
      </c>
      <c r="B680" s="4" t="n">
        <v>679</v>
      </c>
      <c r="C680" s="4" t="n">
        <v>1955</v>
      </c>
      <c r="D680" s="8" t="s">
        <v>8389</v>
      </c>
      <c r="E680" s="8" t="s">
        <v>606</v>
      </c>
      <c r="F680" s="8" t="s">
        <v>9987</v>
      </c>
      <c r="G680" s="8" t="s">
        <v>8287</v>
      </c>
      <c r="H680" s="8" t="s">
        <v>62</v>
      </c>
      <c r="I680" s="8"/>
    </row>
    <row r="681" customFormat="false" ht="15" hidden="false" customHeight="false" outlineLevel="0" collapsed="false">
      <c r="A681" s="4" t="s">
        <v>9988</v>
      </c>
      <c r="B681" s="4" t="n">
        <v>680</v>
      </c>
      <c r="C681" s="4" t="n">
        <v>1957</v>
      </c>
      <c r="D681" s="8" t="s">
        <v>8415</v>
      </c>
      <c r="E681" s="8" t="s">
        <v>428</v>
      </c>
      <c r="F681" s="8" t="s">
        <v>429</v>
      </c>
      <c r="G681" s="8" t="s">
        <v>8287</v>
      </c>
      <c r="H681" s="8" t="s">
        <v>62</v>
      </c>
      <c r="I681" s="8"/>
    </row>
    <row r="682" customFormat="false" ht="15" hidden="false" customHeight="false" outlineLevel="0" collapsed="false">
      <c r="A682" s="4" t="s">
        <v>9989</v>
      </c>
      <c r="B682" s="4" t="n">
        <v>681</v>
      </c>
      <c r="C682" s="4" t="n">
        <v>1961</v>
      </c>
      <c r="D682" s="8" t="s">
        <v>8378</v>
      </c>
      <c r="E682" s="8" t="s">
        <v>9990</v>
      </c>
      <c r="F682" s="8" t="s">
        <v>9991</v>
      </c>
      <c r="G682" s="8" t="s">
        <v>8287</v>
      </c>
      <c r="H682" s="8" t="s">
        <v>62</v>
      </c>
      <c r="I682" s="8"/>
    </row>
    <row r="683" customFormat="false" ht="15" hidden="false" customHeight="false" outlineLevel="0" collapsed="false">
      <c r="A683" s="4" t="s">
        <v>9992</v>
      </c>
      <c r="B683" s="4" t="n">
        <v>682</v>
      </c>
      <c r="C683" s="4" t="n">
        <v>1966</v>
      </c>
      <c r="D683" s="8" t="s">
        <v>8410</v>
      </c>
      <c r="E683" s="8" t="s">
        <v>9993</v>
      </c>
      <c r="F683" s="8" t="s">
        <v>9994</v>
      </c>
      <c r="G683" s="8" t="s">
        <v>8287</v>
      </c>
      <c r="H683" s="8" t="s">
        <v>62</v>
      </c>
      <c r="I683" s="8"/>
    </row>
    <row r="684" customFormat="false" ht="15" hidden="false" customHeight="false" outlineLevel="0" collapsed="false">
      <c r="A684" s="4" t="s">
        <v>9995</v>
      </c>
      <c r="B684" s="4" t="n">
        <v>683</v>
      </c>
      <c r="C684" s="4" t="n">
        <v>1967</v>
      </c>
      <c r="D684" s="8" t="s">
        <v>8435</v>
      </c>
      <c r="E684" s="8" t="s">
        <v>9996</v>
      </c>
      <c r="F684" s="8" t="s">
        <v>9997</v>
      </c>
      <c r="G684" s="8" t="s">
        <v>8287</v>
      </c>
      <c r="H684" s="8" t="s">
        <v>62</v>
      </c>
      <c r="I684" s="8"/>
    </row>
    <row r="685" customFormat="false" ht="15" hidden="false" customHeight="false" outlineLevel="0" collapsed="false">
      <c r="A685" s="4" t="s">
        <v>9998</v>
      </c>
      <c r="B685" s="4" t="n">
        <v>684</v>
      </c>
      <c r="C685" s="4" t="n">
        <v>1973</v>
      </c>
      <c r="D685" s="8" t="s">
        <v>8389</v>
      </c>
      <c r="E685" s="8" t="s">
        <v>9999</v>
      </c>
      <c r="F685" s="8" t="s">
        <v>10000</v>
      </c>
      <c r="G685" s="8" t="s">
        <v>8287</v>
      </c>
      <c r="H685" s="8" t="s">
        <v>62</v>
      </c>
      <c r="I685" s="8"/>
    </row>
    <row r="686" customFormat="false" ht="15" hidden="false" customHeight="false" outlineLevel="0" collapsed="false">
      <c r="A686" s="4" t="s">
        <v>10001</v>
      </c>
      <c r="B686" s="4" t="n">
        <v>685</v>
      </c>
      <c r="C686" s="4" t="n">
        <v>1974</v>
      </c>
      <c r="D686" s="8" t="s">
        <v>8415</v>
      </c>
      <c r="E686" s="8" t="s">
        <v>10002</v>
      </c>
      <c r="F686" s="8" t="s">
        <v>10003</v>
      </c>
      <c r="G686" s="8" t="s">
        <v>8287</v>
      </c>
      <c r="H686" s="8" t="s">
        <v>62</v>
      </c>
      <c r="I686" s="8"/>
    </row>
    <row r="687" customFormat="false" ht="15" hidden="false" customHeight="false" outlineLevel="0" collapsed="false">
      <c r="A687" s="4" t="s">
        <v>10004</v>
      </c>
      <c r="B687" s="4" t="n">
        <v>686</v>
      </c>
      <c r="C687" s="4" t="n">
        <v>1975</v>
      </c>
      <c r="D687" s="8" t="s">
        <v>8410</v>
      </c>
      <c r="E687" s="8" t="s">
        <v>10005</v>
      </c>
      <c r="F687" s="8" t="s">
        <v>553</v>
      </c>
      <c r="G687" s="8" t="s">
        <v>8287</v>
      </c>
      <c r="H687" s="8" t="s">
        <v>62</v>
      </c>
      <c r="I687" s="8"/>
    </row>
    <row r="688" customFormat="false" ht="15" hidden="false" customHeight="false" outlineLevel="0" collapsed="false">
      <c r="A688" s="4" t="s">
        <v>10006</v>
      </c>
      <c r="B688" s="4" t="n">
        <v>687</v>
      </c>
      <c r="C688" s="4" t="n">
        <v>1978</v>
      </c>
      <c r="D688" s="8" t="s">
        <v>8410</v>
      </c>
      <c r="E688" s="8" t="s">
        <v>10007</v>
      </c>
      <c r="F688" s="8" t="s">
        <v>10008</v>
      </c>
      <c r="G688" s="8" t="s">
        <v>8287</v>
      </c>
      <c r="H688" s="8" t="s">
        <v>62</v>
      </c>
      <c r="I688" s="8"/>
    </row>
    <row r="689" customFormat="false" ht="15" hidden="false" customHeight="false" outlineLevel="0" collapsed="false">
      <c r="A689" s="4" t="s">
        <v>10009</v>
      </c>
      <c r="B689" s="4" t="n">
        <v>688</v>
      </c>
      <c r="C689" s="4" t="n">
        <v>1985</v>
      </c>
      <c r="D689" s="8" t="s">
        <v>8378</v>
      </c>
      <c r="E689" s="8" t="s">
        <v>10010</v>
      </c>
      <c r="F689" s="8" t="s">
        <v>10011</v>
      </c>
      <c r="G689" s="8" t="s">
        <v>8287</v>
      </c>
      <c r="H689" s="8" t="s">
        <v>62</v>
      </c>
      <c r="I689" s="8"/>
    </row>
    <row r="690" customFormat="false" ht="15" hidden="false" customHeight="false" outlineLevel="0" collapsed="false">
      <c r="A690" s="4" t="s">
        <v>10012</v>
      </c>
      <c r="B690" s="4" t="n">
        <v>689</v>
      </c>
      <c r="C690" s="4" t="n">
        <v>1987</v>
      </c>
      <c r="D690" s="8" t="s">
        <v>8336</v>
      </c>
      <c r="E690" s="8" t="s">
        <v>10013</v>
      </c>
      <c r="F690" s="8" t="s">
        <v>10014</v>
      </c>
      <c r="G690" s="8" t="s">
        <v>8287</v>
      </c>
      <c r="H690" s="8" t="s">
        <v>62</v>
      </c>
      <c r="I690" s="8"/>
    </row>
    <row r="691" customFormat="false" ht="15" hidden="false" customHeight="false" outlineLevel="0" collapsed="false">
      <c r="A691" s="4" t="s">
        <v>10015</v>
      </c>
      <c r="B691" s="4" t="n">
        <v>690</v>
      </c>
      <c r="C691" s="4" t="n">
        <v>1991</v>
      </c>
      <c r="D691" s="8" t="s">
        <v>8323</v>
      </c>
      <c r="E691" s="8" t="s">
        <v>2238</v>
      </c>
      <c r="F691" s="8" t="s">
        <v>10016</v>
      </c>
      <c r="G691" s="8" t="s">
        <v>8287</v>
      </c>
      <c r="H691" s="8" t="s">
        <v>62</v>
      </c>
      <c r="I691" s="8"/>
    </row>
    <row r="692" customFormat="false" ht="15" hidden="false" customHeight="false" outlineLevel="0" collapsed="false">
      <c r="A692" s="4" t="s">
        <v>10017</v>
      </c>
      <c r="B692" s="4" t="n">
        <v>691</v>
      </c>
      <c r="C692" s="4" t="n">
        <v>2002</v>
      </c>
      <c r="D692" s="8" t="s">
        <v>8410</v>
      </c>
      <c r="E692" s="8" t="s">
        <v>244</v>
      </c>
      <c r="F692" s="8" t="s">
        <v>10018</v>
      </c>
      <c r="G692" s="8" t="s">
        <v>10019</v>
      </c>
      <c r="H692" s="8" t="s">
        <v>62</v>
      </c>
      <c r="I692" s="8"/>
    </row>
    <row r="693" customFormat="false" ht="15" hidden="false" customHeight="false" outlineLevel="0" collapsed="false">
      <c r="A693" s="4" t="s">
        <v>10020</v>
      </c>
      <c r="B693" s="4" t="n">
        <v>692</v>
      </c>
      <c r="C693" s="4" t="n">
        <v>2004</v>
      </c>
      <c r="D693" s="8" t="s">
        <v>8415</v>
      </c>
      <c r="E693" s="8" t="s">
        <v>6317</v>
      </c>
      <c r="F693" s="8" t="s">
        <v>6318</v>
      </c>
      <c r="G693" s="8" t="s">
        <v>10019</v>
      </c>
      <c r="H693" s="8" t="s">
        <v>62</v>
      </c>
      <c r="I693" s="8"/>
    </row>
    <row r="694" customFormat="false" ht="15" hidden="false" customHeight="false" outlineLevel="0" collapsed="false">
      <c r="A694" s="4" t="s">
        <v>10021</v>
      </c>
      <c r="B694" s="4" t="n">
        <v>693</v>
      </c>
      <c r="C694" s="4" t="n">
        <v>2007</v>
      </c>
      <c r="D694" s="8" t="s">
        <v>8323</v>
      </c>
      <c r="E694" s="8" t="s">
        <v>10022</v>
      </c>
      <c r="F694" s="8" t="s">
        <v>10023</v>
      </c>
      <c r="G694" s="8" t="s">
        <v>10019</v>
      </c>
      <c r="H694" s="8" t="s">
        <v>62</v>
      </c>
      <c r="I694" s="8"/>
    </row>
    <row r="695" customFormat="false" ht="15" hidden="false" customHeight="false" outlineLevel="0" collapsed="false">
      <c r="A695" s="4" t="s">
        <v>10024</v>
      </c>
      <c r="B695" s="4" t="n">
        <v>694</v>
      </c>
      <c r="C695" s="4" t="n">
        <v>2009</v>
      </c>
      <c r="D695" s="8" t="s">
        <v>8378</v>
      </c>
      <c r="E695" s="8" t="s">
        <v>10025</v>
      </c>
      <c r="F695" s="8" t="s">
        <v>10026</v>
      </c>
      <c r="G695" s="8" t="s">
        <v>10019</v>
      </c>
      <c r="H695" s="8" t="s">
        <v>62</v>
      </c>
      <c r="I695" s="8"/>
    </row>
    <row r="696" customFormat="false" ht="15" hidden="false" customHeight="false" outlineLevel="0" collapsed="false">
      <c r="A696" s="4" t="s">
        <v>10027</v>
      </c>
      <c r="B696" s="4" t="n">
        <v>695</v>
      </c>
      <c r="C696" s="4" t="n">
        <v>2011</v>
      </c>
      <c r="D696" s="8" t="s">
        <v>8415</v>
      </c>
      <c r="E696" s="8" t="s">
        <v>10028</v>
      </c>
      <c r="F696" s="8" t="s">
        <v>10029</v>
      </c>
      <c r="G696" s="8" t="s">
        <v>10019</v>
      </c>
      <c r="H696" s="8" t="s">
        <v>62</v>
      </c>
      <c r="I696" s="8"/>
    </row>
    <row r="697" customFormat="false" ht="15" hidden="false" customHeight="false" outlineLevel="0" collapsed="false">
      <c r="A697" s="4" t="s">
        <v>10030</v>
      </c>
      <c r="B697" s="4" t="n">
        <v>696</v>
      </c>
      <c r="C697" s="4" t="n">
        <v>2028</v>
      </c>
      <c r="D697" s="8" t="s">
        <v>8323</v>
      </c>
      <c r="E697" s="8" t="s">
        <v>10031</v>
      </c>
      <c r="F697" s="8" t="s">
        <v>10032</v>
      </c>
      <c r="G697" s="8" t="s">
        <v>10019</v>
      </c>
      <c r="H697" s="8" t="s">
        <v>62</v>
      </c>
      <c r="I697" s="8"/>
    </row>
    <row r="698" customFormat="false" ht="15" hidden="false" customHeight="false" outlineLevel="0" collapsed="false">
      <c r="A698" s="4" t="s">
        <v>10033</v>
      </c>
      <c r="B698" s="4" t="n">
        <v>697</v>
      </c>
      <c r="C698" s="4" t="n">
        <v>2033</v>
      </c>
      <c r="D698" s="8" t="s">
        <v>8415</v>
      </c>
      <c r="E698" s="8" t="s">
        <v>10034</v>
      </c>
      <c r="F698" s="8" t="s">
        <v>10035</v>
      </c>
      <c r="G698" s="8" t="s">
        <v>10019</v>
      </c>
      <c r="H698" s="8" t="s">
        <v>62</v>
      </c>
      <c r="I698" s="8"/>
    </row>
    <row r="699" customFormat="false" ht="15" hidden="false" customHeight="false" outlineLevel="0" collapsed="false">
      <c r="A699" s="4" t="s">
        <v>10036</v>
      </c>
      <c r="B699" s="4" t="n">
        <v>698</v>
      </c>
      <c r="C699" s="4" t="n">
        <v>2034</v>
      </c>
      <c r="D699" s="8" t="s">
        <v>8410</v>
      </c>
      <c r="E699" s="8" t="s">
        <v>10037</v>
      </c>
      <c r="F699" s="8" t="s">
        <v>10038</v>
      </c>
      <c r="G699" s="8" t="s">
        <v>10019</v>
      </c>
      <c r="H699" s="8" t="s">
        <v>62</v>
      </c>
      <c r="I699" s="8"/>
    </row>
    <row r="700" customFormat="false" ht="15" hidden="false" customHeight="false" outlineLevel="0" collapsed="false">
      <c r="A700" s="4" t="s">
        <v>10039</v>
      </c>
      <c r="B700" s="4" t="n">
        <v>699</v>
      </c>
      <c r="C700" s="4" t="n">
        <v>928</v>
      </c>
      <c r="D700" s="8" t="s">
        <v>8410</v>
      </c>
      <c r="E700" s="8" t="s">
        <v>6592</v>
      </c>
      <c r="F700" s="8" t="s">
        <v>313</v>
      </c>
      <c r="G700" s="8" t="s">
        <v>8287</v>
      </c>
      <c r="H700" s="8" t="s">
        <v>62</v>
      </c>
      <c r="I700" s="8"/>
    </row>
    <row r="701" customFormat="false" ht="15" hidden="false" customHeight="false" outlineLevel="0" collapsed="false">
      <c r="A701" s="4" t="s">
        <v>10040</v>
      </c>
      <c r="B701" s="4" t="n">
        <v>700</v>
      </c>
      <c r="C701" s="4" t="n">
        <v>4047</v>
      </c>
      <c r="D701" s="8" t="s">
        <v>8410</v>
      </c>
      <c r="E701" s="8" t="s">
        <v>4449</v>
      </c>
      <c r="F701" s="8" t="s">
        <v>4450</v>
      </c>
      <c r="G701" s="8" t="s">
        <v>10019</v>
      </c>
      <c r="H701" s="8" t="s">
        <v>62</v>
      </c>
      <c r="I701" s="8"/>
    </row>
    <row r="702" customFormat="false" ht="15" hidden="false" customHeight="false" outlineLevel="0" collapsed="false">
      <c r="A702" s="4" t="s">
        <v>10041</v>
      </c>
      <c r="B702" s="4" t="n">
        <v>701</v>
      </c>
      <c r="C702" s="4" t="n">
        <v>2747</v>
      </c>
      <c r="D702" s="8" t="s">
        <v>8415</v>
      </c>
      <c r="E702" s="8" t="s">
        <v>3786</v>
      </c>
      <c r="F702" s="8" t="s">
        <v>3787</v>
      </c>
      <c r="G702" s="8" t="s">
        <v>10019</v>
      </c>
      <c r="H702" s="8" t="s">
        <v>62</v>
      </c>
      <c r="I702" s="8"/>
    </row>
    <row r="703" customFormat="false" ht="15" hidden="false" customHeight="false" outlineLevel="0" collapsed="false">
      <c r="A703" s="4" t="s">
        <v>10042</v>
      </c>
      <c r="B703" s="4" t="n">
        <v>702</v>
      </c>
      <c r="C703" s="4" t="n">
        <v>3677</v>
      </c>
      <c r="D703" s="8" t="s">
        <v>8474</v>
      </c>
      <c r="E703" s="8" t="s">
        <v>10043</v>
      </c>
      <c r="F703" s="8" t="s">
        <v>10044</v>
      </c>
      <c r="G703" s="8" t="s">
        <v>8474</v>
      </c>
      <c r="H703" s="8" t="s">
        <v>62</v>
      </c>
      <c r="I703" s="8"/>
    </row>
    <row r="704" customFormat="false" ht="15" hidden="false" customHeight="false" outlineLevel="0" collapsed="false">
      <c r="A704" s="4" t="s">
        <v>10045</v>
      </c>
      <c r="B704" s="4" t="n">
        <v>703</v>
      </c>
      <c r="C704" s="4" t="n">
        <v>12130</v>
      </c>
      <c r="D704" s="8" t="s">
        <v>8415</v>
      </c>
      <c r="E704" s="8" t="s">
        <v>3767</v>
      </c>
      <c r="F704" s="8" t="s">
        <v>3768</v>
      </c>
      <c r="G704" s="8" t="s">
        <v>10019</v>
      </c>
      <c r="H704" s="8" t="s">
        <v>62</v>
      </c>
      <c r="I704" s="8"/>
    </row>
    <row r="705" customFormat="false" ht="15" hidden="false" customHeight="false" outlineLevel="0" collapsed="false">
      <c r="A705" s="4" t="s">
        <v>10046</v>
      </c>
      <c r="B705" s="4" t="n">
        <v>704</v>
      </c>
      <c r="C705" s="4" t="n">
        <v>17861</v>
      </c>
      <c r="D705" s="8" t="s">
        <v>8415</v>
      </c>
      <c r="E705" s="8" t="s">
        <v>10047</v>
      </c>
      <c r="F705" s="8" t="s">
        <v>10048</v>
      </c>
      <c r="G705" s="8" t="s">
        <v>10019</v>
      </c>
      <c r="H705" s="8" t="s">
        <v>62</v>
      </c>
      <c r="I705" s="8"/>
    </row>
    <row r="706" customFormat="false" ht="15" hidden="false" customHeight="false" outlineLevel="0" collapsed="false">
      <c r="A706" s="4" t="s">
        <v>10049</v>
      </c>
      <c r="B706" s="4" t="n">
        <v>705</v>
      </c>
      <c r="C706" s="4" t="n">
        <v>18156</v>
      </c>
      <c r="D706" s="8" t="s">
        <v>8415</v>
      </c>
      <c r="E706" s="8" t="s">
        <v>3755</v>
      </c>
      <c r="F706" s="8" t="s">
        <v>3756</v>
      </c>
      <c r="G706" s="8" t="s">
        <v>10019</v>
      </c>
      <c r="H706" s="8" t="s">
        <v>62</v>
      </c>
      <c r="I706" s="8"/>
    </row>
    <row r="707" customFormat="false" ht="15" hidden="false" customHeight="false" outlineLevel="0" collapsed="false">
      <c r="A707" s="4" t="s">
        <v>10050</v>
      </c>
      <c r="B707" s="4" t="n">
        <v>706</v>
      </c>
      <c r="C707" s="4" t="n">
        <v>2798</v>
      </c>
      <c r="D707" s="8" t="s">
        <v>8415</v>
      </c>
      <c r="E707" s="8" t="s">
        <v>3746</v>
      </c>
      <c r="F707" s="8" t="s">
        <v>3747</v>
      </c>
      <c r="G707" s="8" t="s">
        <v>10019</v>
      </c>
      <c r="H707" s="8" t="s">
        <v>62</v>
      </c>
      <c r="I707" s="8"/>
    </row>
    <row r="708" customFormat="false" ht="15" hidden="false" customHeight="false" outlineLevel="0" collapsed="false">
      <c r="A708" s="4" t="s">
        <v>10051</v>
      </c>
      <c r="B708" s="4" t="n">
        <v>707</v>
      </c>
      <c r="C708" s="4" t="n">
        <v>3669</v>
      </c>
      <c r="D708" s="8" t="s">
        <v>8410</v>
      </c>
      <c r="E708" s="8" t="s">
        <v>4385</v>
      </c>
      <c r="F708" s="8" t="s">
        <v>4386</v>
      </c>
      <c r="G708" s="8" t="s">
        <v>10019</v>
      </c>
      <c r="H708" s="8" t="s">
        <v>62</v>
      </c>
      <c r="I708" s="8"/>
    </row>
    <row r="709" customFormat="false" ht="15" hidden="false" customHeight="false" outlineLevel="0" collapsed="false">
      <c r="A709" s="4" t="s">
        <v>10052</v>
      </c>
      <c r="B709" s="4" t="n">
        <v>708</v>
      </c>
      <c r="C709" s="4" t="n">
        <v>1100</v>
      </c>
      <c r="D709" s="8" t="s">
        <v>8396</v>
      </c>
      <c r="E709" s="8" t="s">
        <v>10053</v>
      </c>
      <c r="F709" s="8" t="s">
        <v>10054</v>
      </c>
      <c r="G709" s="8" t="s">
        <v>8287</v>
      </c>
      <c r="H709" s="8" t="s">
        <v>62</v>
      </c>
      <c r="I709" s="8"/>
    </row>
    <row r="710" customFormat="false" ht="15" hidden="false" customHeight="false" outlineLevel="0" collapsed="false">
      <c r="A710" s="4" t="s">
        <v>10055</v>
      </c>
      <c r="B710" s="4" t="n">
        <v>709</v>
      </c>
      <c r="C710" s="4" t="n">
        <v>3042</v>
      </c>
      <c r="D710" s="8" t="s">
        <v>8410</v>
      </c>
      <c r="E710" s="8" t="s">
        <v>10056</v>
      </c>
      <c r="F710" s="8" t="s">
        <v>10057</v>
      </c>
      <c r="G710" s="8" t="s">
        <v>10019</v>
      </c>
      <c r="H710" s="8" t="s">
        <v>62</v>
      </c>
      <c r="I710" s="8"/>
    </row>
    <row r="711" customFormat="false" ht="15" hidden="false" customHeight="false" outlineLevel="0" collapsed="false">
      <c r="A711" s="4" t="s">
        <v>10058</v>
      </c>
      <c r="B711" s="4" t="n">
        <v>710</v>
      </c>
      <c r="C711" s="4" t="n">
        <v>3414</v>
      </c>
      <c r="D711" s="8" t="s">
        <v>8415</v>
      </c>
      <c r="E711" s="8" t="s">
        <v>10059</v>
      </c>
      <c r="F711" s="8" t="s">
        <v>10060</v>
      </c>
      <c r="G711" s="8" t="s">
        <v>10019</v>
      </c>
      <c r="H711" s="8" t="s">
        <v>62</v>
      </c>
      <c r="I711" s="8"/>
    </row>
    <row r="712" customFormat="false" ht="15" hidden="false" customHeight="false" outlineLevel="0" collapsed="false">
      <c r="A712" s="4" t="s">
        <v>10061</v>
      </c>
      <c r="B712" s="4" t="n">
        <v>711</v>
      </c>
      <c r="C712" s="4" t="n">
        <v>1785</v>
      </c>
      <c r="D712" s="8" t="s">
        <v>8415</v>
      </c>
      <c r="E712" s="8" t="s">
        <v>9909</v>
      </c>
      <c r="F712" s="8" t="s">
        <v>10062</v>
      </c>
      <c r="G712" s="8" t="s">
        <v>8287</v>
      </c>
      <c r="H712" s="8" t="s">
        <v>62</v>
      </c>
      <c r="I712" s="8"/>
    </row>
    <row r="713" customFormat="false" ht="15" hidden="false" customHeight="false" outlineLevel="0" collapsed="false">
      <c r="A713" s="4" t="s">
        <v>10063</v>
      </c>
      <c r="B713" s="4" t="n">
        <v>712</v>
      </c>
      <c r="C713" s="4" t="s">
        <v>10064</v>
      </c>
      <c r="D713" s="8" t="s">
        <v>10065</v>
      </c>
      <c r="E713" s="8" t="s">
        <v>10066</v>
      </c>
      <c r="F713" s="8" t="s">
        <v>10067</v>
      </c>
      <c r="G713" s="8" t="s">
        <v>10068</v>
      </c>
      <c r="H713" s="8" t="s">
        <v>62</v>
      </c>
      <c r="I713" s="8"/>
    </row>
    <row r="714" customFormat="false" ht="15" hidden="false" customHeight="false" outlineLevel="0" collapsed="false">
      <c r="A714" s="4" t="s">
        <v>10069</v>
      </c>
      <c r="B714" s="4" t="n">
        <v>713</v>
      </c>
      <c r="C714" s="4" t="s">
        <v>10064</v>
      </c>
      <c r="D714" s="8" t="s">
        <v>10065</v>
      </c>
      <c r="E714" s="8" t="s">
        <v>10066</v>
      </c>
      <c r="F714" s="8" t="s">
        <v>10070</v>
      </c>
      <c r="G714" s="8" t="s">
        <v>10068</v>
      </c>
      <c r="H714" s="8" t="s">
        <v>62</v>
      </c>
      <c r="I714" s="8"/>
    </row>
    <row r="715" customFormat="false" ht="15" hidden="false" customHeight="false" outlineLevel="0" collapsed="false">
      <c r="A715" s="4" t="s">
        <v>10071</v>
      </c>
      <c r="B715" s="4" t="n">
        <v>714</v>
      </c>
      <c r="C715" s="4" t="s">
        <v>10064</v>
      </c>
      <c r="D715" s="8" t="s">
        <v>10065</v>
      </c>
      <c r="E715" s="8" t="s">
        <v>10072</v>
      </c>
      <c r="F715" s="8" t="s">
        <v>10073</v>
      </c>
      <c r="G715" s="8" t="s">
        <v>10068</v>
      </c>
      <c r="H715" s="8" t="s">
        <v>62</v>
      </c>
      <c r="I715" s="8"/>
    </row>
    <row r="716" customFormat="false" ht="15" hidden="false" customHeight="false" outlineLevel="0" collapsed="false">
      <c r="A716" s="4" t="s">
        <v>10074</v>
      </c>
      <c r="B716" s="4" t="n">
        <v>715</v>
      </c>
      <c r="C716" s="4" t="n">
        <v>3043</v>
      </c>
      <c r="D716" s="8" t="s">
        <v>8396</v>
      </c>
      <c r="E716" s="8" t="s">
        <v>3390</v>
      </c>
      <c r="F716" s="8" t="s">
        <v>3391</v>
      </c>
      <c r="G716" s="8" t="s">
        <v>10019</v>
      </c>
      <c r="H716" s="8" t="s">
        <v>62</v>
      </c>
      <c r="I716" s="8"/>
    </row>
    <row r="717" customFormat="false" ht="15" hidden="false" customHeight="false" outlineLevel="0" collapsed="false">
      <c r="A717" s="4" t="s">
        <v>10075</v>
      </c>
      <c r="B717" s="4" t="n">
        <v>716</v>
      </c>
      <c r="C717" s="4" t="n">
        <v>2677</v>
      </c>
      <c r="D717" s="8" t="s">
        <v>8396</v>
      </c>
      <c r="E717" s="8" t="s">
        <v>3393</v>
      </c>
      <c r="F717" s="8" t="s">
        <v>3394</v>
      </c>
      <c r="G717" s="8" t="s">
        <v>10019</v>
      </c>
      <c r="H717" s="8" t="s">
        <v>62</v>
      </c>
      <c r="I717" s="8"/>
    </row>
    <row r="718" customFormat="false" ht="15" hidden="false" customHeight="false" outlineLevel="0" collapsed="false">
      <c r="A718" s="4" t="s">
        <v>10076</v>
      </c>
      <c r="B718" s="4" t="n">
        <v>717</v>
      </c>
      <c r="C718" s="4" t="n">
        <v>8146</v>
      </c>
      <c r="D718" s="8" t="s">
        <v>8396</v>
      </c>
      <c r="E718" s="8" t="s">
        <v>10077</v>
      </c>
      <c r="F718" s="8" t="s">
        <v>10078</v>
      </c>
      <c r="G718" s="8" t="s">
        <v>10019</v>
      </c>
      <c r="H718" s="8" t="s">
        <v>62</v>
      </c>
      <c r="I718" s="8"/>
    </row>
    <row r="719" customFormat="false" ht="15" hidden="false" customHeight="false" outlineLevel="0" collapsed="false">
      <c r="A719" s="4" t="s">
        <v>10079</v>
      </c>
      <c r="B719" s="4" t="n">
        <v>718</v>
      </c>
      <c r="C719" s="4" t="n">
        <v>154</v>
      </c>
      <c r="D719" s="8" t="s">
        <v>8336</v>
      </c>
      <c r="E719" s="8" t="s">
        <v>9499</v>
      </c>
      <c r="F719" s="8" t="s">
        <v>10080</v>
      </c>
      <c r="G719" s="8" t="s">
        <v>8287</v>
      </c>
      <c r="H719" s="8" t="s">
        <v>62</v>
      </c>
      <c r="I719" s="8"/>
    </row>
    <row r="720" customFormat="false" ht="15" hidden="false" customHeight="false" outlineLevel="0" collapsed="false">
      <c r="A720" s="4" t="s">
        <v>10081</v>
      </c>
      <c r="B720" s="4" t="n">
        <v>719</v>
      </c>
      <c r="C720" s="4" t="n">
        <v>371</v>
      </c>
      <c r="D720" s="8" t="s">
        <v>8336</v>
      </c>
      <c r="E720" s="8" t="s">
        <v>10082</v>
      </c>
      <c r="F720" s="8" t="s">
        <v>10083</v>
      </c>
      <c r="G720" s="8" t="s">
        <v>8287</v>
      </c>
      <c r="H720" s="8" t="s">
        <v>62</v>
      </c>
      <c r="I720" s="8"/>
    </row>
    <row r="721" customFormat="false" ht="15" hidden="false" customHeight="false" outlineLevel="0" collapsed="false">
      <c r="A721" s="4" t="s">
        <v>10084</v>
      </c>
      <c r="B721" s="4" t="n">
        <v>720</v>
      </c>
      <c r="C721" s="4" t="n">
        <v>290</v>
      </c>
      <c r="D721" s="8" t="s">
        <v>8336</v>
      </c>
      <c r="E721" s="8" t="s">
        <v>8778</v>
      </c>
      <c r="F721" s="8" t="s">
        <v>10085</v>
      </c>
      <c r="G721" s="8" t="s">
        <v>8287</v>
      </c>
      <c r="H721" s="8" t="s">
        <v>62</v>
      </c>
      <c r="I721" s="8"/>
    </row>
    <row r="722" customFormat="false" ht="15" hidden="false" customHeight="false" outlineLevel="0" collapsed="false">
      <c r="A722" s="4" t="s">
        <v>10086</v>
      </c>
      <c r="B722" s="4" t="n">
        <v>721</v>
      </c>
      <c r="C722" s="4" t="n">
        <v>197</v>
      </c>
      <c r="D722" s="8" t="s">
        <v>8336</v>
      </c>
      <c r="E722" s="8" t="s">
        <v>10087</v>
      </c>
      <c r="F722" s="8" t="s">
        <v>10088</v>
      </c>
      <c r="G722" s="8" t="s">
        <v>8287</v>
      </c>
      <c r="H722" s="8" t="s">
        <v>62</v>
      </c>
      <c r="I722" s="8"/>
    </row>
    <row r="723" customFormat="false" ht="15" hidden="false" customHeight="false" outlineLevel="0" collapsed="false">
      <c r="A723" s="4" t="s">
        <v>10089</v>
      </c>
      <c r="B723" s="4" t="n">
        <v>722</v>
      </c>
      <c r="C723" s="4" t="n">
        <v>2158</v>
      </c>
      <c r="D723" s="8" t="s">
        <v>8336</v>
      </c>
      <c r="E723" s="8" t="s">
        <v>10090</v>
      </c>
      <c r="F723" s="8" t="s">
        <v>10091</v>
      </c>
      <c r="G723" s="8" t="s">
        <v>10019</v>
      </c>
      <c r="H723" s="8" t="s">
        <v>62</v>
      </c>
      <c r="I723" s="8"/>
    </row>
    <row r="724" customFormat="false" ht="15" hidden="false" customHeight="false" outlineLevel="0" collapsed="false">
      <c r="A724" s="4" t="s">
        <v>10092</v>
      </c>
      <c r="B724" s="4" t="n">
        <v>723</v>
      </c>
      <c r="C724" s="4" t="n">
        <v>2947</v>
      </c>
      <c r="D724" s="8" t="s">
        <v>8323</v>
      </c>
      <c r="E724" s="8" t="s">
        <v>10093</v>
      </c>
      <c r="F724" s="8" t="s">
        <v>10094</v>
      </c>
      <c r="G724" s="8" t="s">
        <v>10019</v>
      </c>
      <c r="H724" s="8" t="s">
        <v>62</v>
      </c>
      <c r="I724" s="8"/>
    </row>
    <row r="725" customFormat="false" ht="26.85" hidden="false" customHeight="false" outlineLevel="0" collapsed="false">
      <c r="A725" s="4" t="s">
        <v>10095</v>
      </c>
      <c r="B725" s="4" t="n">
        <v>724</v>
      </c>
      <c r="C725" s="4" t="n">
        <v>3217</v>
      </c>
      <c r="D725" s="8" t="s">
        <v>8323</v>
      </c>
      <c r="E725" s="8" t="s">
        <v>10096</v>
      </c>
      <c r="F725" s="8" t="s">
        <v>10097</v>
      </c>
      <c r="G725" s="8" t="s">
        <v>10019</v>
      </c>
      <c r="H725" s="8" t="s">
        <v>62</v>
      </c>
      <c r="I725" s="8"/>
    </row>
    <row r="726" customFormat="false" ht="15" hidden="false" customHeight="false" outlineLevel="0" collapsed="false">
      <c r="A726" s="4" t="s">
        <v>10098</v>
      </c>
      <c r="B726" s="4" t="n">
        <v>725</v>
      </c>
      <c r="C726" s="4" t="n">
        <v>2434</v>
      </c>
      <c r="D726" s="8" t="s">
        <v>8323</v>
      </c>
      <c r="E726" s="8" t="s">
        <v>10099</v>
      </c>
      <c r="F726" s="8" t="s">
        <v>10100</v>
      </c>
      <c r="G726" s="8" t="s">
        <v>10019</v>
      </c>
      <c r="H726" s="8" t="s">
        <v>62</v>
      </c>
      <c r="I726" s="8"/>
    </row>
    <row r="727" customFormat="false" ht="15" hidden="false" customHeight="false" outlineLevel="0" collapsed="false">
      <c r="A727" s="4" t="s">
        <v>10101</v>
      </c>
      <c r="B727" s="4" t="n">
        <v>726</v>
      </c>
      <c r="C727" s="4" t="n">
        <v>7527</v>
      </c>
      <c r="D727" s="8" t="s">
        <v>8323</v>
      </c>
      <c r="E727" s="8" t="s">
        <v>10102</v>
      </c>
      <c r="F727" s="8" t="s">
        <v>10103</v>
      </c>
      <c r="G727" s="8" t="s">
        <v>10019</v>
      </c>
      <c r="H727" s="8" t="s">
        <v>62</v>
      </c>
      <c r="I727" s="8"/>
    </row>
    <row r="728" customFormat="false" ht="15" hidden="false" customHeight="false" outlineLevel="0" collapsed="false">
      <c r="A728" s="4" t="s">
        <v>10104</v>
      </c>
      <c r="B728" s="4" t="n">
        <v>727</v>
      </c>
      <c r="C728" s="4" t="n">
        <v>1465</v>
      </c>
      <c r="D728" s="8" t="s">
        <v>8323</v>
      </c>
      <c r="E728" s="8" t="s">
        <v>2089</v>
      </c>
      <c r="F728" s="8" t="s">
        <v>10105</v>
      </c>
      <c r="G728" s="8" t="s">
        <v>8287</v>
      </c>
      <c r="H728" s="8" t="s">
        <v>62</v>
      </c>
      <c r="I728" s="8"/>
    </row>
    <row r="729" customFormat="false" ht="15" hidden="false" customHeight="false" outlineLevel="0" collapsed="false">
      <c r="A729" s="4" t="s">
        <v>10106</v>
      </c>
      <c r="B729" s="4" t="n">
        <v>728</v>
      </c>
      <c r="C729" s="4" t="n">
        <v>3512</v>
      </c>
      <c r="D729" s="8" t="s">
        <v>8323</v>
      </c>
      <c r="E729" s="8" t="s">
        <v>5653</v>
      </c>
      <c r="F729" s="8" t="s">
        <v>10107</v>
      </c>
      <c r="G729" s="8" t="s">
        <v>10019</v>
      </c>
      <c r="H729" s="8" t="s">
        <v>62</v>
      </c>
      <c r="I729" s="8"/>
    </row>
    <row r="730" customFormat="false" ht="15" hidden="false" customHeight="false" outlineLevel="0" collapsed="false">
      <c r="A730" s="4" t="s">
        <v>10108</v>
      </c>
      <c r="B730" s="4" t="n">
        <v>729</v>
      </c>
      <c r="C730" s="4" t="n">
        <v>1826</v>
      </c>
      <c r="D730" s="8" t="s">
        <v>8410</v>
      </c>
      <c r="E730" s="8" t="s">
        <v>9932</v>
      </c>
      <c r="F730" s="8" t="s">
        <v>9933</v>
      </c>
      <c r="G730" s="8" t="s">
        <v>8287</v>
      </c>
      <c r="H730" s="8" t="s">
        <v>62</v>
      </c>
      <c r="I730" s="8"/>
    </row>
    <row r="731" customFormat="false" ht="15" hidden="false" customHeight="false" outlineLevel="0" collapsed="false">
      <c r="A731" s="4" t="s">
        <v>10109</v>
      </c>
      <c r="B731" s="4" t="n">
        <v>730</v>
      </c>
      <c r="C731" s="4" t="n">
        <v>3087</v>
      </c>
      <c r="D731" s="8" t="s">
        <v>8410</v>
      </c>
      <c r="E731" s="8" t="s">
        <v>10110</v>
      </c>
      <c r="F731" s="8" t="s">
        <v>10111</v>
      </c>
      <c r="G731" s="8" t="s">
        <v>10019</v>
      </c>
      <c r="H731" s="8" t="s">
        <v>62</v>
      </c>
      <c r="I731" s="8"/>
    </row>
    <row r="732" customFormat="false" ht="15" hidden="false" customHeight="false" outlineLevel="0" collapsed="false">
      <c r="A732" s="4" t="s">
        <v>10112</v>
      </c>
      <c r="B732" s="4" t="n">
        <v>731</v>
      </c>
      <c r="C732" s="4" t="n">
        <v>4093</v>
      </c>
      <c r="D732" s="8" t="s">
        <v>8410</v>
      </c>
      <c r="E732" s="8" t="s">
        <v>10113</v>
      </c>
      <c r="F732" s="8" t="s">
        <v>10114</v>
      </c>
      <c r="G732" s="8" t="s">
        <v>10019</v>
      </c>
      <c r="H732" s="8" t="s">
        <v>62</v>
      </c>
      <c r="I732" s="8"/>
    </row>
    <row r="733" customFormat="false" ht="15" hidden="false" customHeight="false" outlineLevel="0" collapsed="false">
      <c r="A733" s="4" t="s">
        <v>10115</v>
      </c>
      <c r="B733" s="4" t="n">
        <v>732</v>
      </c>
      <c r="C733" s="4" t="n">
        <v>4686</v>
      </c>
      <c r="D733" s="8" t="s">
        <v>8410</v>
      </c>
      <c r="E733" s="8" t="s">
        <v>10116</v>
      </c>
      <c r="F733" s="8" t="s">
        <v>10117</v>
      </c>
      <c r="G733" s="8" t="s">
        <v>10019</v>
      </c>
      <c r="H733" s="8" t="s">
        <v>62</v>
      </c>
      <c r="I733" s="8"/>
    </row>
    <row r="734" customFormat="false" ht="15" hidden="false" customHeight="false" outlineLevel="0" collapsed="false">
      <c r="A734" s="4" t="s">
        <v>10118</v>
      </c>
      <c r="B734" s="4" t="n">
        <v>733</v>
      </c>
      <c r="C734" s="4" t="n">
        <v>5397</v>
      </c>
      <c r="D734" s="8" t="s">
        <v>8410</v>
      </c>
      <c r="E734" s="8" t="s">
        <v>10119</v>
      </c>
      <c r="F734" s="8" t="s">
        <v>10120</v>
      </c>
      <c r="G734" s="8" t="s">
        <v>10019</v>
      </c>
      <c r="H734" s="8" t="s">
        <v>62</v>
      </c>
      <c r="I734" s="8"/>
    </row>
    <row r="735" customFormat="false" ht="15" hidden="false" customHeight="false" outlineLevel="0" collapsed="false">
      <c r="A735" s="4" t="s">
        <v>10121</v>
      </c>
      <c r="B735" s="4" t="n">
        <v>734</v>
      </c>
      <c r="C735" s="4" t="n">
        <v>8578</v>
      </c>
      <c r="D735" s="8" t="s">
        <v>8389</v>
      </c>
      <c r="E735" s="8" t="s">
        <v>10122</v>
      </c>
      <c r="F735" s="8" t="s">
        <v>10123</v>
      </c>
      <c r="G735" s="8" t="s">
        <v>10019</v>
      </c>
      <c r="H735" s="8" t="s">
        <v>62</v>
      </c>
      <c r="I735" s="8"/>
    </row>
    <row r="736" customFormat="false" ht="15" hidden="false" customHeight="false" outlineLevel="0" collapsed="false">
      <c r="A736" s="4" t="s">
        <v>10124</v>
      </c>
      <c r="B736" s="4" t="n">
        <v>735</v>
      </c>
      <c r="C736" s="4" t="n">
        <v>3838</v>
      </c>
      <c r="D736" s="8" t="s">
        <v>8410</v>
      </c>
      <c r="E736" s="8" t="s">
        <v>10125</v>
      </c>
      <c r="F736" s="8" t="s">
        <v>10126</v>
      </c>
      <c r="G736" s="8" t="s">
        <v>10019</v>
      </c>
      <c r="H736" s="8" t="s">
        <v>62</v>
      </c>
      <c r="I736" s="8"/>
    </row>
    <row r="737" customFormat="false" ht="15" hidden="false" customHeight="false" outlineLevel="0" collapsed="false">
      <c r="A737" s="4" t="s">
        <v>10127</v>
      </c>
      <c r="B737" s="4" t="n">
        <v>736</v>
      </c>
      <c r="C737" s="4" t="n">
        <v>6216</v>
      </c>
      <c r="D737" s="8" t="s">
        <v>8410</v>
      </c>
      <c r="E737" s="8" t="s">
        <v>4302</v>
      </c>
      <c r="F737" s="8" t="s">
        <v>4303</v>
      </c>
      <c r="G737" s="8" t="s">
        <v>10019</v>
      </c>
      <c r="H737" s="8" t="s">
        <v>62</v>
      </c>
      <c r="I737" s="8"/>
    </row>
    <row r="738" customFormat="false" ht="15" hidden="false" customHeight="false" outlineLevel="0" collapsed="false">
      <c r="A738" s="4" t="s">
        <v>10128</v>
      </c>
      <c r="B738" s="4" t="n">
        <v>737</v>
      </c>
      <c r="C738" s="4" t="n">
        <v>13211</v>
      </c>
      <c r="D738" s="8" t="s">
        <v>8410</v>
      </c>
      <c r="E738" s="8" t="s">
        <v>10129</v>
      </c>
      <c r="F738" s="8" t="s">
        <v>210</v>
      </c>
      <c r="G738" s="8" t="s">
        <v>10019</v>
      </c>
      <c r="H738" s="8" t="s">
        <v>62</v>
      </c>
      <c r="I738" s="8"/>
    </row>
    <row r="739" customFormat="false" ht="15" hidden="false" customHeight="false" outlineLevel="0" collapsed="false">
      <c r="A739" s="4" t="s">
        <v>10130</v>
      </c>
      <c r="B739" s="4" t="n">
        <v>738</v>
      </c>
      <c r="C739" s="4" t="n">
        <v>6302</v>
      </c>
      <c r="D739" s="8" t="s">
        <v>8410</v>
      </c>
      <c r="E739" s="8" t="s">
        <v>1328</v>
      </c>
      <c r="F739" s="8" t="s">
        <v>1329</v>
      </c>
      <c r="G739" s="8" t="s">
        <v>10019</v>
      </c>
      <c r="H739" s="8" t="s">
        <v>62</v>
      </c>
      <c r="I739" s="8"/>
    </row>
    <row r="740" customFormat="false" ht="15" hidden="false" customHeight="false" outlineLevel="0" collapsed="false">
      <c r="A740" s="4" t="s">
        <v>10131</v>
      </c>
      <c r="B740" s="4" t="n">
        <v>739</v>
      </c>
      <c r="C740" s="4" t="n">
        <v>10803</v>
      </c>
      <c r="D740" s="8" t="s">
        <v>8410</v>
      </c>
      <c r="E740" s="8" t="s">
        <v>10132</v>
      </c>
      <c r="F740" s="8" t="s">
        <v>2076</v>
      </c>
      <c r="G740" s="8" t="s">
        <v>10019</v>
      </c>
      <c r="H740" s="8" t="s">
        <v>62</v>
      </c>
      <c r="I740" s="8"/>
    </row>
    <row r="741" customFormat="false" ht="15" hidden="false" customHeight="false" outlineLevel="0" collapsed="false">
      <c r="A741" s="4" t="s">
        <v>10133</v>
      </c>
      <c r="B741" s="4" t="n">
        <v>740</v>
      </c>
      <c r="C741" s="4" t="n">
        <v>4176</v>
      </c>
      <c r="D741" s="8" t="s">
        <v>8389</v>
      </c>
      <c r="E741" s="8" t="s">
        <v>10134</v>
      </c>
      <c r="F741" s="8" t="s">
        <v>10135</v>
      </c>
      <c r="G741" s="8" t="s">
        <v>10019</v>
      </c>
      <c r="H741" s="8" t="s">
        <v>62</v>
      </c>
      <c r="I741" s="8"/>
    </row>
    <row r="742" customFormat="false" ht="15" hidden="false" customHeight="false" outlineLevel="0" collapsed="false">
      <c r="A742" s="4" t="s">
        <v>10136</v>
      </c>
      <c r="B742" s="4" t="n">
        <v>741</v>
      </c>
      <c r="C742" s="4" t="n">
        <v>5352</v>
      </c>
      <c r="D742" s="8" t="s">
        <v>8410</v>
      </c>
      <c r="E742" s="8" t="s">
        <v>1927</v>
      </c>
      <c r="F742" s="8" t="s">
        <v>10137</v>
      </c>
      <c r="G742" s="8" t="s">
        <v>10019</v>
      </c>
      <c r="H742" s="8" t="s">
        <v>62</v>
      </c>
      <c r="I742" s="8"/>
    </row>
    <row r="743" customFormat="false" ht="15" hidden="false" customHeight="false" outlineLevel="0" collapsed="false">
      <c r="A743" s="4" t="s">
        <v>10138</v>
      </c>
      <c r="B743" s="4" t="n">
        <v>742</v>
      </c>
      <c r="C743" s="4" t="n">
        <v>2805</v>
      </c>
      <c r="D743" s="8" t="s">
        <v>8410</v>
      </c>
      <c r="E743" s="8" t="s">
        <v>10139</v>
      </c>
      <c r="F743" s="8" t="s">
        <v>10140</v>
      </c>
      <c r="G743" s="8" t="s">
        <v>10019</v>
      </c>
      <c r="H743" s="8" t="s">
        <v>62</v>
      </c>
      <c r="I743" s="8"/>
    </row>
    <row r="744" customFormat="false" ht="15" hidden="false" customHeight="false" outlineLevel="0" collapsed="false">
      <c r="A744" s="4" t="s">
        <v>10141</v>
      </c>
      <c r="B744" s="4" t="n">
        <v>743</v>
      </c>
      <c r="C744" s="4" t="n">
        <v>2120</v>
      </c>
      <c r="D744" s="8" t="s">
        <v>8410</v>
      </c>
      <c r="E744" s="8" t="s">
        <v>10142</v>
      </c>
      <c r="F744" s="8" t="s">
        <v>10143</v>
      </c>
      <c r="G744" s="8" t="s">
        <v>10019</v>
      </c>
      <c r="H744" s="8" t="s">
        <v>62</v>
      </c>
      <c r="I744" s="8"/>
    </row>
    <row r="745" customFormat="false" ht="15" hidden="false" customHeight="false" outlineLevel="0" collapsed="false">
      <c r="A745" s="4" t="s">
        <v>10144</v>
      </c>
      <c r="B745" s="4" t="n">
        <v>744</v>
      </c>
      <c r="C745" s="4" t="n">
        <v>3663</v>
      </c>
      <c r="D745" s="8" t="s">
        <v>8410</v>
      </c>
      <c r="E745" s="8" t="s">
        <v>10145</v>
      </c>
      <c r="F745" s="8" t="s">
        <v>10146</v>
      </c>
      <c r="G745" s="8" t="s">
        <v>10019</v>
      </c>
      <c r="H745" s="8" t="s">
        <v>62</v>
      </c>
      <c r="I745" s="8"/>
    </row>
    <row r="746" customFormat="false" ht="15" hidden="false" customHeight="false" outlineLevel="0" collapsed="false">
      <c r="A746" s="4" t="s">
        <v>10147</v>
      </c>
      <c r="B746" s="4" t="n">
        <v>745</v>
      </c>
      <c r="C746" s="4" t="n">
        <v>13587</v>
      </c>
      <c r="D746" s="8" t="s">
        <v>8410</v>
      </c>
      <c r="E746" s="8" t="s">
        <v>10148</v>
      </c>
      <c r="F746" s="8" t="s">
        <v>10149</v>
      </c>
      <c r="G746" s="8" t="s">
        <v>10019</v>
      </c>
      <c r="H746" s="8" t="s">
        <v>62</v>
      </c>
      <c r="I746" s="8"/>
    </row>
    <row r="747" customFormat="false" ht="15" hidden="false" customHeight="false" outlineLevel="0" collapsed="false">
      <c r="A747" s="4" t="s">
        <v>10150</v>
      </c>
      <c r="B747" s="4" t="n">
        <v>746</v>
      </c>
      <c r="C747" s="4" t="n">
        <v>3399</v>
      </c>
      <c r="D747" s="8" t="s">
        <v>10151</v>
      </c>
      <c r="E747" s="8" t="s">
        <v>10152</v>
      </c>
      <c r="F747" s="8" t="s">
        <v>10153</v>
      </c>
      <c r="G747" s="8" t="s">
        <v>10019</v>
      </c>
      <c r="H747" s="8" t="s">
        <v>62</v>
      </c>
      <c r="I747" s="8"/>
    </row>
    <row r="748" customFormat="false" ht="15" hidden="false" customHeight="false" outlineLevel="0" collapsed="false">
      <c r="A748" s="4" t="s">
        <v>10154</v>
      </c>
      <c r="B748" s="4" t="n">
        <v>747</v>
      </c>
      <c r="C748" s="4" t="n">
        <v>18709</v>
      </c>
      <c r="D748" s="8" t="s">
        <v>8410</v>
      </c>
      <c r="E748" s="8" t="s">
        <v>10155</v>
      </c>
      <c r="F748" s="8" t="s">
        <v>2556</v>
      </c>
      <c r="G748" s="8" t="s">
        <v>10019</v>
      </c>
      <c r="H748" s="8" t="s">
        <v>62</v>
      </c>
      <c r="I748" s="8"/>
    </row>
    <row r="749" customFormat="false" ht="15" hidden="false" customHeight="false" outlineLevel="0" collapsed="false">
      <c r="A749" s="4" t="s">
        <v>10156</v>
      </c>
      <c r="B749" s="4" t="n">
        <v>748</v>
      </c>
      <c r="C749" s="4" t="n">
        <v>23060</v>
      </c>
      <c r="D749" s="8" t="s">
        <v>8389</v>
      </c>
      <c r="E749" s="8" t="s">
        <v>10157</v>
      </c>
      <c r="F749" s="8" t="s">
        <v>10158</v>
      </c>
      <c r="G749" s="8" t="s">
        <v>10019</v>
      </c>
      <c r="H749" s="8" t="s">
        <v>62</v>
      </c>
      <c r="I749" s="8"/>
    </row>
    <row r="750" customFormat="false" ht="15" hidden="false" customHeight="false" outlineLevel="0" collapsed="false">
      <c r="A750" s="4" t="s">
        <v>10159</v>
      </c>
      <c r="B750" s="4" t="n">
        <v>749</v>
      </c>
      <c r="C750" s="4" t="n">
        <v>7341</v>
      </c>
      <c r="D750" s="8" t="s">
        <v>8410</v>
      </c>
      <c r="E750" s="8" t="s">
        <v>10160</v>
      </c>
      <c r="F750" s="8" t="s">
        <v>10161</v>
      </c>
      <c r="G750" s="8" t="s">
        <v>10019</v>
      </c>
      <c r="H750" s="8" t="s">
        <v>62</v>
      </c>
      <c r="I750" s="8"/>
    </row>
    <row r="751" customFormat="false" ht="15" hidden="false" customHeight="false" outlineLevel="0" collapsed="false">
      <c r="A751" s="4" t="s">
        <v>10162</v>
      </c>
      <c r="B751" s="4" t="n">
        <v>750</v>
      </c>
      <c r="C751" s="4" t="n">
        <v>2728</v>
      </c>
      <c r="D751" s="8" t="s">
        <v>8410</v>
      </c>
      <c r="E751" s="8" t="s">
        <v>10163</v>
      </c>
      <c r="F751" s="8" t="s">
        <v>10164</v>
      </c>
      <c r="G751" s="8" t="s">
        <v>10019</v>
      </c>
      <c r="H751" s="8" t="s">
        <v>62</v>
      </c>
      <c r="I751" s="8"/>
    </row>
    <row r="752" customFormat="false" ht="15" hidden="false" customHeight="false" outlineLevel="0" collapsed="false">
      <c r="A752" s="4" t="s">
        <v>10165</v>
      </c>
      <c r="B752" s="4" t="n">
        <v>751</v>
      </c>
      <c r="C752" s="4" t="n">
        <v>2471</v>
      </c>
      <c r="D752" s="8" t="s">
        <v>8410</v>
      </c>
      <c r="E752" s="8" t="s">
        <v>10166</v>
      </c>
      <c r="F752" s="8" t="s">
        <v>10167</v>
      </c>
      <c r="G752" s="8" t="s">
        <v>10019</v>
      </c>
      <c r="H752" s="8" t="s">
        <v>62</v>
      </c>
      <c r="I752" s="8"/>
    </row>
    <row r="753" customFormat="false" ht="15" hidden="false" customHeight="false" outlineLevel="0" collapsed="false">
      <c r="A753" s="4" t="s">
        <v>10168</v>
      </c>
      <c r="B753" s="4" t="n">
        <v>752</v>
      </c>
      <c r="C753" s="4" t="n">
        <v>3282</v>
      </c>
      <c r="D753" s="8" t="s">
        <v>8410</v>
      </c>
      <c r="E753" s="8" t="s">
        <v>10169</v>
      </c>
      <c r="F753" s="8" t="s">
        <v>10170</v>
      </c>
      <c r="G753" s="8" t="s">
        <v>10019</v>
      </c>
      <c r="H753" s="8" t="s">
        <v>62</v>
      </c>
      <c r="I753" s="8"/>
    </row>
    <row r="754" customFormat="false" ht="15" hidden="false" customHeight="false" outlineLevel="0" collapsed="false">
      <c r="A754" s="4" t="s">
        <v>10171</v>
      </c>
      <c r="B754" s="4" t="n">
        <v>753</v>
      </c>
      <c r="C754" s="4" t="n">
        <v>4048</v>
      </c>
      <c r="D754" s="8" t="s">
        <v>8389</v>
      </c>
      <c r="E754" s="8" t="s">
        <v>10172</v>
      </c>
      <c r="F754" s="8" t="s">
        <v>10173</v>
      </c>
      <c r="G754" s="8" t="s">
        <v>10019</v>
      </c>
      <c r="H754" s="8" t="s">
        <v>62</v>
      </c>
      <c r="I754" s="8"/>
    </row>
    <row r="755" customFormat="false" ht="15" hidden="false" customHeight="false" outlineLevel="0" collapsed="false">
      <c r="A755" s="4" t="s">
        <v>10174</v>
      </c>
      <c r="B755" s="4" t="n">
        <v>754</v>
      </c>
      <c r="C755" s="4" t="n">
        <v>2419</v>
      </c>
      <c r="D755" s="8" t="s">
        <v>8435</v>
      </c>
      <c r="E755" s="8" t="s">
        <v>1968</v>
      </c>
      <c r="F755" s="8" t="s">
        <v>1969</v>
      </c>
      <c r="G755" s="8" t="s">
        <v>10019</v>
      </c>
      <c r="H755" s="8" t="s">
        <v>62</v>
      </c>
      <c r="I755" s="8"/>
    </row>
    <row r="756" customFormat="false" ht="15" hidden="false" customHeight="false" outlineLevel="0" collapsed="false">
      <c r="A756" s="4" t="s">
        <v>10175</v>
      </c>
      <c r="B756" s="4" t="n">
        <v>755</v>
      </c>
      <c r="C756" s="4" t="n">
        <v>2424</v>
      </c>
      <c r="D756" s="8" t="s">
        <v>8389</v>
      </c>
      <c r="E756" s="8" t="s">
        <v>10176</v>
      </c>
      <c r="F756" s="8" t="s">
        <v>2763</v>
      </c>
      <c r="G756" s="8" t="s">
        <v>10019</v>
      </c>
      <c r="H756" s="8" t="s">
        <v>62</v>
      </c>
      <c r="I756" s="8"/>
    </row>
    <row r="757" customFormat="false" ht="15" hidden="false" customHeight="false" outlineLevel="0" collapsed="false">
      <c r="A757" s="4" t="s">
        <v>10177</v>
      </c>
      <c r="B757" s="4" t="n">
        <v>756</v>
      </c>
      <c r="C757" s="4" t="n">
        <v>3505</v>
      </c>
      <c r="D757" s="8" t="s">
        <v>8389</v>
      </c>
      <c r="E757" s="8" t="s">
        <v>10178</v>
      </c>
      <c r="F757" s="8" t="s">
        <v>10179</v>
      </c>
      <c r="G757" s="8" t="s">
        <v>10019</v>
      </c>
      <c r="H757" s="8" t="s">
        <v>62</v>
      </c>
      <c r="I757" s="8"/>
    </row>
    <row r="758" customFormat="false" ht="15" hidden="false" customHeight="false" outlineLevel="0" collapsed="false">
      <c r="A758" s="4" t="s">
        <v>10180</v>
      </c>
      <c r="B758" s="4" t="n">
        <v>757</v>
      </c>
      <c r="C758" s="4" t="n">
        <v>3219</v>
      </c>
      <c r="D758" s="8" t="s">
        <v>8435</v>
      </c>
      <c r="E758" s="8" t="s">
        <v>10181</v>
      </c>
      <c r="F758" s="8" t="s">
        <v>10182</v>
      </c>
      <c r="G758" s="8" t="s">
        <v>10019</v>
      </c>
      <c r="H758" s="8" t="s">
        <v>62</v>
      </c>
      <c r="I758" s="8"/>
    </row>
    <row r="759" customFormat="false" ht="15" hidden="false" customHeight="false" outlineLevel="0" collapsed="false">
      <c r="A759" s="4" t="s">
        <v>10183</v>
      </c>
      <c r="B759" s="4" t="n">
        <v>758</v>
      </c>
      <c r="C759" s="4" t="n">
        <v>3457</v>
      </c>
      <c r="D759" s="8" t="s">
        <v>8389</v>
      </c>
      <c r="E759" s="8" t="s">
        <v>559</v>
      </c>
      <c r="F759" s="8" t="s">
        <v>560</v>
      </c>
      <c r="G759" s="8" t="s">
        <v>10019</v>
      </c>
      <c r="H759" s="8" t="s">
        <v>62</v>
      </c>
      <c r="I759" s="8"/>
    </row>
    <row r="760" customFormat="false" ht="15" hidden="false" customHeight="false" outlineLevel="0" collapsed="false">
      <c r="A760" s="4" t="s">
        <v>10184</v>
      </c>
      <c r="B760" s="4" t="n">
        <v>759</v>
      </c>
      <c r="C760" s="4" t="n">
        <v>3806</v>
      </c>
      <c r="D760" s="8" t="s">
        <v>8410</v>
      </c>
      <c r="E760" s="8" t="s">
        <v>10185</v>
      </c>
      <c r="F760" s="8" t="s">
        <v>10186</v>
      </c>
      <c r="G760" s="8" t="s">
        <v>10019</v>
      </c>
      <c r="H760" s="8" t="s">
        <v>62</v>
      </c>
      <c r="I760" s="8"/>
    </row>
    <row r="761" customFormat="false" ht="15" hidden="false" customHeight="false" outlineLevel="0" collapsed="false">
      <c r="A761" s="4" t="s">
        <v>10187</v>
      </c>
      <c r="B761" s="4" t="n">
        <v>760</v>
      </c>
      <c r="C761" s="4" t="n">
        <v>2622</v>
      </c>
      <c r="D761" s="8" t="s">
        <v>8410</v>
      </c>
      <c r="E761" s="8" t="s">
        <v>10188</v>
      </c>
      <c r="F761" s="8" t="s">
        <v>10189</v>
      </c>
      <c r="G761" s="8" t="s">
        <v>10019</v>
      </c>
      <c r="H761" s="8" t="s">
        <v>62</v>
      </c>
      <c r="I761" s="8"/>
    </row>
    <row r="762" customFormat="false" ht="15" hidden="false" customHeight="false" outlineLevel="0" collapsed="false">
      <c r="A762" s="4" t="s">
        <v>10190</v>
      </c>
      <c r="B762" s="4" t="n">
        <v>761</v>
      </c>
      <c r="C762" s="4" t="n">
        <v>6160</v>
      </c>
      <c r="D762" s="8" t="s">
        <v>8389</v>
      </c>
      <c r="E762" s="8" t="s">
        <v>10191</v>
      </c>
      <c r="F762" s="8" t="s">
        <v>10192</v>
      </c>
      <c r="G762" s="8" t="s">
        <v>10019</v>
      </c>
      <c r="H762" s="8" t="s">
        <v>62</v>
      </c>
      <c r="I762" s="8"/>
    </row>
    <row r="763" customFormat="false" ht="15" hidden="false" customHeight="false" outlineLevel="0" collapsed="false">
      <c r="A763" s="4" t="s">
        <v>10193</v>
      </c>
      <c r="B763" s="4" t="n">
        <v>762</v>
      </c>
      <c r="C763" s="4" t="n">
        <v>2882</v>
      </c>
      <c r="D763" s="8" t="s">
        <v>8410</v>
      </c>
      <c r="E763" s="8" t="s">
        <v>10194</v>
      </c>
      <c r="F763" s="8" t="s">
        <v>10195</v>
      </c>
      <c r="G763" s="8" t="s">
        <v>10019</v>
      </c>
      <c r="H763" s="8" t="s">
        <v>62</v>
      </c>
      <c r="I763" s="8"/>
    </row>
    <row r="764" customFormat="false" ht="15" hidden="false" customHeight="false" outlineLevel="0" collapsed="false">
      <c r="A764" s="4" t="s">
        <v>10196</v>
      </c>
      <c r="B764" s="4" t="n">
        <v>763</v>
      </c>
      <c r="C764" s="4" t="n">
        <v>2749</v>
      </c>
      <c r="D764" s="8" t="s">
        <v>8389</v>
      </c>
      <c r="E764" s="8" t="s">
        <v>10197</v>
      </c>
      <c r="F764" s="8" t="s">
        <v>10198</v>
      </c>
      <c r="G764" s="8" t="s">
        <v>10019</v>
      </c>
      <c r="H764" s="8" t="s">
        <v>62</v>
      </c>
      <c r="I764" s="8"/>
    </row>
    <row r="765" customFormat="false" ht="15" hidden="false" customHeight="false" outlineLevel="0" collapsed="false">
      <c r="A765" s="4" t="s">
        <v>10199</v>
      </c>
      <c r="B765" s="4" t="n">
        <v>764</v>
      </c>
      <c r="C765" s="4" t="n">
        <v>5344</v>
      </c>
      <c r="D765" s="8" t="s">
        <v>8410</v>
      </c>
      <c r="E765" s="8" t="s">
        <v>10200</v>
      </c>
      <c r="F765" s="8" t="s">
        <v>10201</v>
      </c>
      <c r="G765" s="8" t="s">
        <v>10019</v>
      </c>
      <c r="H765" s="8" t="s">
        <v>62</v>
      </c>
      <c r="I765" s="8"/>
    </row>
    <row r="766" customFormat="false" ht="15" hidden="false" customHeight="false" outlineLevel="0" collapsed="false">
      <c r="A766" s="4" t="s">
        <v>10202</v>
      </c>
      <c r="B766" s="4" t="n">
        <v>765</v>
      </c>
      <c r="C766" s="4" t="n">
        <v>14852</v>
      </c>
      <c r="D766" s="8" t="s">
        <v>8410</v>
      </c>
      <c r="E766" s="8" t="s">
        <v>10203</v>
      </c>
      <c r="F766" s="8" t="s">
        <v>10204</v>
      </c>
      <c r="G766" s="8" t="s">
        <v>10019</v>
      </c>
      <c r="H766" s="8" t="s">
        <v>62</v>
      </c>
      <c r="I766" s="8"/>
    </row>
    <row r="767" customFormat="false" ht="15" hidden="false" customHeight="false" outlineLevel="0" collapsed="false">
      <c r="A767" s="4" t="s">
        <v>10205</v>
      </c>
      <c r="B767" s="4" t="n">
        <v>766</v>
      </c>
      <c r="C767" s="4" t="n">
        <v>2299</v>
      </c>
      <c r="D767" s="8" t="s">
        <v>8410</v>
      </c>
      <c r="E767" s="8" t="s">
        <v>10206</v>
      </c>
      <c r="F767" s="8" t="s">
        <v>10207</v>
      </c>
      <c r="G767" s="8" t="s">
        <v>10019</v>
      </c>
      <c r="H767" s="8" t="s">
        <v>62</v>
      </c>
      <c r="I767" s="8"/>
    </row>
    <row r="768" customFormat="false" ht="15" hidden="false" customHeight="false" outlineLevel="0" collapsed="false">
      <c r="A768" s="4" t="s">
        <v>10208</v>
      </c>
      <c r="B768" s="4" t="n">
        <v>767</v>
      </c>
      <c r="C768" s="4" t="n">
        <v>4115</v>
      </c>
      <c r="D768" s="8" t="s">
        <v>8410</v>
      </c>
      <c r="E768" s="8" t="s">
        <v>10209</v>
      </c>
      <c r="F768" s="8" t="s">
        <v>10210</v>
      </c>
      <c r="G768" s="8" t="s">
        <v>10019</v>
      </c>
      <c r="H768" s="8" t="s">
        <v>62</v>
      </c>
      <c r="I768" s="8"/>
    </row>
    <row r="769" customFormat="false" ht="15" hidden="false" customHeight="false" outlineLevel="0" collapsed="false">
      <c r="A769" s="4" t="s">
        <v>10211</v>
      </c>
      <c r="B769" s="4" t="n">
        <v>768</v>
      </c>
      <c r="C769" s="4" t="n">
        <v>13564</v>
      </c>
      <c r="D769" s="8" t="s">
        <v>8410</v>
      </c>
      <c r="E769" s="8" t="s">
        <v>10212</v>
      </c>
      <c r="F769" s="8" t="s">
        <v>477</v>
      </c>
      <c r="G769" s="8" t="s">
        <v>10019</v>
      </c>
      <c r="H769" s="8" t="s">
        <v>62</v>
      </c>
      <c r="I769" s="8"/>
    </row>
    <row r="770" customFormat="false" ht="15" hidden="false" customHeight="false" outlineLevel="0" collapsed="false">
      <c r="A770" s="4" t="s">
        <v>10213</v>
      </c>
      <c r="B770" s="4" t="n">
        <v>769</v>
      </c>
      <c r="C770" s="4" t="n">
        <v>15496</v>
      </c>
      <c r="D770" s="8" t="s">
        <v>8389</v>
      </c>
      <c r="E770" s="8" t="s">
        <v>10214</v>
      </c>
      <c r="F770" s="8" t="s">
        <v>481</v>
      </c>
      <c r="G770" s="8" t="s">
        <v>10019</v>
      </c>
      <c r="H770" s="8" t="s">
        <v>62</v>
      </c>
      <c r="I770" s="8"/>
    </row>
    <row r="771" customFormat="false" ht="15" hidden="false" customHeight="false" outlineLevel="0" collapsed="false">
      <c r="A771" s="4" t="s">
        <v>10215</v>
      </c>
      <c r="B771" s="4" t="n">
        <v>770</v>
      </c>
      <c r="C771" s="4" t="n">
        <v>1261</v>
      </c>
      <c r="D771" s="8" t="s">
        <v>8410</v>
      </c>
      <c r="E771" s="8" t="s">
        <v>9653</v>
      </c>
      <c r="F771" s="8" t="s">
        <v>10216</v>
      </c>
      <c r="G771" s="8" t="s">
        <v>8287</v>
      </c>
      <c r="H771" s="8" t="s">
        <v>62</v>
      </c>
      <c r="I771" s="8"/>
    </row>
    <row r="772" customFormat="false" ht="15" hidden="false" customHeight="false" outlineLevel="0" collapsed="false">
      <c r="A772" s="4" t="s">
        <v>10217</v>
      </c>
      <c r="B772" s="4" t="n">
        <v>771</v>
      </c>
      <c r="C772" s="4" t="n">
        <v>5884</v>
      </c>
      <c r="D772" s="8" t="s">
        <v>8389</v>
      </c>
      <c r="E772" s="8" t="s">
        <v>10218</v>
      </c>
      <c r="F772" s="8" t="s">
        <v>10219</v>
      </c>
      <c r="G772" s="8" t="s">
        <v>10019</v>
      </c>
      <c r="H772" s="8" t="s">
        <v>62</v>
      </c>
      <c r="I772" s="8"/>
    </row>
    <row r="773" customFormat="false" ht="15" hidden="false" customHeight="false" outlineLevel="0" collapsed="false">
      <c r="A773" s="4" t="s">
        <v>10220</v>
      </c>
      <c r="B773" s="4" t="n">
        <v>772</v>
      </c>
      <c r="C773" s="4" t="n">
        <v>5411</v>
      </c>
      <c r="D773" s="8" t="s">
        <v>8410</v>
      </c>
      <c r="E773" s="8" t="s">
        <v>10221</v>
      </c>
      <c r="F773" s="8" t="s">
        <v>10222</v>
      </c>
      <c r="G773" s="8" t="s">
        <v>10019</v>
      </c>
      <c r="H773" s="8" t="s">
        <v>62</v>
      </c>
      <c r="I773" s="8"/>
    </row>
    <row r="774" customFormat="false" ht="15" hidden="false" customHeight="false" outlineLevel="0" collapsed="false">
      <c r="A774" s="4" t="s">
        <v>10223</v>
      </c>
      <c r="B774" s="4" t="n">
        <v>773</v>
      </c>
      <c r="C774" s="4" t="n">
        <v>79410</v>
      </c>
      <c r="D774" s="8" t="s">
        <v>8389</v>
      </c>
      <c r="E774" s="8" t="s">
        <v>10224</v>
      </c>
      <c r="F774" s="8" t="s">
        <v>1737</v>
      </c>
      <c r="G774" s="8" t="s">
        <v>10019</v>
      </c>
      <c r="H774" s="8" t="s">
        <v>62</v>
      </c>
      <c r="I774" s="8"/>
    </row>
    <row r="775" customFormat="false" ht="15" hidden="false" customHeight="false" outlineLevel="0" collapsed="false">
      <c r="A775" s="4" t="s">
        <v>10225</v>
      </c>
      <c r="B775" s="4" t="n">
        <v>774</v>
      </c>
      <c r="C775" s="4" t="n">
        <v>2193</v>
      </c>
      <c r="D775" s="8" t="s">
        <v>8410</v>
      </c>
      <c r="E775" s="8" t="s">
        <v>10226</v>
      </c>
      <c r="F775" s="8" t="s">
        <v>10227</v>
      </c>
      <c r="G775" s="8" t="s">
        <v>10019</v>
      </c>
      <c r="H775" s="8" t="s">
        <v>62</v>
      </c>
      <c r="I775" s="8"/>
    </row>
    <row r="776" customFormat="false" ht="15" hidden="false" customHeight="false" outlineLevel="0" collapsed="false">
      <c r="A776" s="4" t="s">
        <v>10228</v>
      </c>
      <c r="B776" s="4" t="n">
        <v>775</v>
      </c>
      <c r="C776" s="4" t="n">
        <v>6506</v>
      </c>
      <c r="D776" s="8" t="s">
        <v>8410</v>
      </c>
      <c r="E776" s="8" t="s">
        <v>1759</v>
      </c>
      <c r="F776" s="8" t="s">
        <v>1760</v>
      </c>
      <c r="G776" s="8" t="s">
        <v>10019</v>
      </c>
      <c r="H776" s="8" t="s">
        <v>62</v>
      </c>
      <c r="I776" s="8"/>
    </row>
    <row r="777" customFormat="false" ht="15" hidden="false" customHeight="false" outlineLevel="0" collapsed="false">
      <c r="A777" s="4" t="s">
        <v>10229</v>
      </c>
      <c r="B777" s="4" t="n">
        <v>776</v>
      </c>
      <c r="C777" s="4" t="n">
        <v>9647</v>
      </c>
      <c r="D777" s="8" t="s">
        <v>8389</v>
      </c>
      <c r="E777" s="8" t="s">
        <v>5243</v>
      </c>
      <c r="F777" s="8" t="s">
        <v>5244</v>
      </c>
      <c r="G777" s="8" t="s">
        <v>10019</v>
      </c>
      <c r="H777" s="8" t="s">
        <v>62</v>
      </c>
      <c r="I777" s="8"/>
    </row>
    <row r="778" customFormat="false" ht="15" hidden="false" customHeight="false" outlineLevel="0" collapsed="false">
      <c r="A778" s="4" t="s">
        <v>10230</v>
      </c>
      <c r="B778" s="4" t="n">
        <v>777</v>
      </c>
      <c r="C778" s="4" t="n">
        <v>16934</v>
      </c>
      <c r="D778" s="8" t="s">
        <v>8389</v>
      </c>
      <c r="E778" s="8" t="s">
        <v>10231</v>
      </c>
      <c r="F778" s="8" t="s">
        <v>10232</v>
      </c>
      <c r="G778" s="8" t="s">
        <v>10019</v>
      </c>
      <c r="H778" s="8" t="s">
        <v>62</v>
      </c>
      <c r="I778" s="8"/>
    </row>
    <row r="779" customFormat="false" ht="15" hidden="false" customHeight="false" outlineLevel="0" collapsed="false">
      <c r="A779" s="4" t="s">
        <v>10233</v>
      </c>
      <c r="B779" s="4" t="n">
        <v>778</v>
      </c>
      <c r="C779" s="4" t="n">
        <v>2045</v>
      </c>
      <c r="D779" s="8" t="s">
        <v>8389</v>
      </c>
      <c r="E779" s="8" t="s">
        <v>3374</v>
      </c>
      <c r="F779" s="8" t="s">
        <v>3375</v>
      </c>
      <c r="G779" s="8" t="s">
        <v>10019</v>
      </c>
      <c r="H779" s="8" t="s">
        <v>62</v>
      </c>
      <c r="I779" s="8"/>
    </row>
    <row r="780" customFormat="false" ht="15" hidden="false" customHeight="false" outlineLevel="0" collapsed="false">
      <c r="A780" s="4" t="s">
        <v>10234</v>
      </c>
      <c r="B780" s="4" t="n">
        <v>779</v>
      </c>
      <c r="C780" s="4" t="n">
        <v>3765</v>
      </c>
      <c r="D780" s="8" t="s">
        <v>8389</v>
      </c>
      <c r="E780" s="8" t="s">
        <v>10235</v>
      </c>
      <c r="F780" s="8" t="s">
        <v>10236</v>
      </c>
      <c r="G780" s="8" t="s">
        <v>10019</v>
      </c>
      <c r="H780" s="8" t="s">
        <v>62</v>
      </c>
      <c r="I780" s="8"/>
    </row>
    <row r="781" customFormat="false" ht="15" hidden="false" customHeight="false" outlineLevel="0" collapsed="false">
      <c r="A781" s="4" t="s">
        <v>10237</v>
      </c>
      <c r="B781" s="4" t="n">
        <v>780</v>
      </c>
      <c r="C781" s="4" t="n">
        <v>995</v>
      </c>
      <c r="D781" s="8" t="s">
        <v>8410</v>
      </c>
      <c r="E781" s="8" t="s">
        <v>10238</v>
      </c>
      <c r="F781" s="8" t="s">
        <v>10239</v>
      </c>
      <c r="G781" s="8" t="s">
        <v>8287</v>
      </c>
      <c r="H781" s="8" t="s">
        <v>62</v>
      </c>
      <c r="I781" s="8"/>
    </row>
    <row r="782" customFormat="false" ht="15" hidden="false" customHeight="false" outlineLevel="0" collapsed="false">
      <c r="A782" s="4" t="s">
        <v>10240</v>
      </c>
      <c r="B782" s="4" t="n">
        <v>781</v>
      </c>
      <c r="C782" s="4" t="n">
        <v>4546</v>
      </c>
      <c r="D782" s="8" t="s">
        <v>8410</v>
      </c>
      <c r="E782" s="8" t="s">
        <v>10241</v>
      </c>
      <c r="F782" s="8" t="s">
        <v>10242</v>
      </c>
      <c r="G782" s="8" t="s">
        <v>10019</v>
      </c>
      <c r="H782" s="8" t="s">
        <v>62</v>
      </c>
      <c r="I782" s="8"/>
    </row>
    <row r="783" customFormat="false" ht="15" hidden="false" customHeight="false" outlineLevel="0" collapsed="false">
      <c r="A783" s="4" t="s">
        <v>10243</v>
      </c>
      <c r="B783" s="4" t="n">
        <v>782</v>
      </c>
      <c r="C783" s="4" t="n">
        <v>7001</v>
      </c>
      <c r="D783" s="8" t="s">
        <v>8410</v>
      </c>
      <c r="E783" s="8" t="s">
        <v>10244</v>
      </c>
      <c r="F783" s="8" t="s">
        <v>10245</v>
      </c>
      <c r="G783" s="8" t="s">
        <v>10019</v>
      </c>
      <c r="H783" s="8" t="s">
        <v>62</v>
      </c>
      <c r="I783" s="8"/>
    </row>
    <row r="784" customFormat="false" ht="15" hidden="false" customHeight="false" outlineLevel="0" collapsed="false">
      <c r="A784" s="4" t="s">
        <v>10246</v>
      </c>
      <c r="B784" s="4" t="n">
        <v>783</v>
      </c>
      <c r="C784" s="4" t="n">
        <v>4103</v>
      </c>
      <c r="D784" s="8" t="s">
        <v>8410</v>
      </c>
      <c r="E784" s="8" t="s">
        <v>10247</v>
      </c>
      <c r="F784" s="8" t="s">
        <v>10248</v>
      </c>
      <c r="G784" s="8" t="s">
        <v>10019</v>
      </c>
      <c r="H784" s="8" t="s">
        <v>62</v>
      </c>
      <c r="I784" s="8"/>
    </row>
    <row r="785" customFormat="false" ht="15" hidden="false" customHeight="false" outlineLevel="0" collapsed="false">
      <c r="A785" s="4" t="s">
        <v>10249</v>
      </c>
      <c r="B785" s="4" t="n">
        <v>784</v>
      </c>
      <c r="C785" s="4" t="n">
        <v>6828</v>
      </c>
      <c r="D785" s="8" t="s">
        <v>8410</v>
      </c>
      <c r="E785" s="8" t="s">
        <v>346</v>
      </c>
      <c r="F785" s="8" t="s">
        <v>10250</v>
      </c>
      <c r="G785" s="8" t="s">
        <v>10019</v>
      </c>
      <c r="H785" s="8" t="s">
        <v>62</v>
      </c>
      <c r="I785" s="8"/>
    </row>
    <row r="786" customFormat="false" ht="15" hidden="false" customHeight="false" outlineLevel="0" collapsed="false">
      <c r="A786" s="4" t="s">
        <v>10251</v>
      </c>
      <c r="B786" s="4" t="n">
        <v>785</v>
      </c>
      <c r="C786" s="4" t="n">
        <v>7058</v>
      </c>
      <c r="D786" s="8" t="s">
        <v>8410</v>
      </c>
      <c r="E786" s="8" t="s">
        <v>10252</v>
      </c>
      <c r="F786" s="8" t="s">
        <v>10253</v>
      </c>
      <c r="G786" s="8" t="s">
        <v>10019</v>
      </c>
      <c r="H786" s="8" t="s">
        <v>62</v>
      </c>
      <c r="I786" s="8"/>
    </row>
    <row r="787" customFormat="false" ht="15" hidden="false" customHeight="false" outlineLevel="0" collapsed="false">
      <c r="A787" s="4" t="s">
        <v>10254</v>
      </c>
      <c r="B787" s="4" t="n">
        <v>786</v>
      </c>
      <c r="C787" s="4" t="n">
        <v>7988</v>
      </c>
      <c r="D787" s="8" t="s">
        <v>8410</v>
      </c>
      <c r="E787" s="8" t="s">
        <v>391</v>
      </c>
      <c r="F787" s="8" t="s">
        <v>10255</v>
      </c>
      <c r="G787" s="8" t="s">
        <v>10019</v>
      </c>
      <c r="H787" s="8" t="s">
        <v>62</v>
      </c>
      <c r="I787" s="8"/>
    </row>
    <row r="788" customFormat="false" ht="15" hidden="false" customHeight="false" outlineLevel="0" collapsed="false">
      <c r="A788" s="4" t="s">
        <v>10256</v>
      </c>
      <c r="B788" s="4" t="n">
        <v>787</v>
      </c>
      <c r="C788" s="4" t="n">
        <v>14680</v>
      </c>
      <c r="D788" s="8" t="s">
        <v>8389</v>
      </c>
      <c r="E788" s="8" t="s">
        <v>1348</v>
      </c>
      <c r="F788" s="8" t="s">
        <v>1349</v>
      </c>
      <c r="G788" s="8" t="s">
        <v>10019</v>
      </c>
      <c r="H788" s="8" t="s">
        <v>62</v>
      </c>
      <c r="I788" s="8"/>
    </row>
    <row r="789" customFormat="false" ht="15" hidden="false" customHeight="false" outlineLevel="0" collapsed="false">
      <c r="A789" s="4" t="s">
        <v>10257</v>
      </c>
      <c r="B789" s="4" t="n">
        <v>788</v>
      </c>
      <c r="C789" s="4" t="n">
        <v>8161</v>
      </c>
      <c r="D789" s="8" t="s">
        <v>8389</v>
      </c>
      <c r="E789" s="8" t="s">
        <v>4201</v>
      </c>
      <c r="F789" s="8" t="s">
        <v>1566</v>
      </c>
      <c r="G789" s="8" t="s">
        <v>10019</v>
      </c>
      <c r="H789" s="8" t="s">
        <v>62</v>
      </c>
      <c r="I789" s="8"/>
    </row>
    <row r="790" customFormat="false" ht="15" hidden="false" customHeight="false" outlineLevel="0" collapsed="false">
      <c r="A790" s="4" t="s">
        <v>10258</v>
      </c>
      <c r="B790" s="4" t="n">
        <v>789</v>
      </c>
      <c r="C790" s="4" t="n">
        <v>14611</v>
      </c>
      <c r="D790" s="8" t="s">
        <v>8389</v>
      </c>
      <c r="E790" s="8" t="s">
        <v>10259</v>
      </c>
      <c r="F790" s="8" t="s">
        <v>10260</v>
      </c>
      <c r="G790" s="8" t="s">
        <v>10019</v>
      </c>
      <c r="H790" s="8" t="s">
        <v>62</v>
      </c>
      <c r="I790" s="8"/>
    </row>
    <row r="791" customFormat="false" ht="15" hidden="false" customHeight="false" outlineLevel="0" collapsed="false">
      <c r="A791" s="4" t="s">
        <v>10261</v>
      </c>
      <c r="B791" s="4" t="n">
        <v>790</v>
      </c>
      <c r="C791" s="4" t="n">
        <v>6205</v>
      </c>
      <c r="D791" s="8" t="s">
        <v>8410</v>
      </c>
      <c r="E791" s="8" t="s">
        <v>10262</v>
      </c>
      <c r="F791" s="8" t="s">
        <v>10263</v>
      </c>
      <c r="G791" s="8" t="s">
        <v>10019</v>
      </c>
      <c r="H791" s="8" t="s">
        <v>62</v>
      </c>
      <c r="I791" s="8"/>
    </row>
    <row r="792" customFormat="false" ht="15" hidden="false" customHeight="false" outlineLevel="0" collapsed="false">
      <c r="A792" s="4" t="s">
        <v>10264</v>
      </c>
      <c r="B792" s="4" t="n">
        <v>791</v>
      </c>
      <c r="C792" s="4" t="n">
        <v>3880</v>
      </c>
      <c r="D792" s="8" t="s">
        <v>8410</v>
      </c>
      <c r="E792" s="8" t="s">
        <v>4515</v>
      </c>
      <c r="F792" s="8" t="s">
        <v>10265</v>
      </c>
      <c r="G792" s="8" t="s">
        <v>10019</v>
      </c>
      <c r="H792" s="8" t="s">
        <v>62</v>
      </c>
      <c r="I792" s="8"/>
    </row>
    <row r="793" customFormat="false" ht="15" hidden="false" customHeight="false" outlineLevel="0" collapsed="false">
      <c r="A793" s="4" t="s">
        <v>10266</v>
      </c>
      <c r="B793" s="4" t="n">
        <v>792</v>
      </c>
      <c r="C793" s="4" t="n">
        <v>6723</v>
      </c>
      <c r="D793" s="8" t="s">
        <v>8410</v>
      </c>
      <c r="E793" s="8" t="s">
        <v>10267</v>
      </c>
      <c r="F793" s="8" t="s">
        <v>5218</v>
      </c>
      <c r="G793" s="8" t="s">
        <v>10019</v>
      </c>
      <c r="H793" s="8" t="s">
        <v>62</v>
      </c>
      <c r="I793" s="8"/>
    </row>
    <row r="794" customFormat="false" ht="15" hidden="false" customHeight="false" outlineLevel="0" collapsed="false">
      <c r="A794" s="4" t="s">
        <v>10268</v>
      </c>
      <c r="B794" s="4" t="n">
        <v>793</v>
      </c>
      <c r="C794" s="4" t="n">
        <v>4081</v>
      </c>
      <c r="D794" s="8" t="s">
        <v>8410</v>
      </c>
      <c r="E794" s="8" t="s">
        <v>609</v>
      </c>
      <c r="F794" s="8" t="s">
        <v>610</v>
      </c>
      <c r="G794" s="8" t="s">
        <v>10019</v>
      </c>
      <c r="H794" s="8" t="s">
        <v>62</v>
      </c>
      <c r="I794" s="8"/>
    </row>
    <row r="795" customFormat="false" ht="15" hidden="false" customHeight="false" outlineLevel="0" collapsed="false">
      <c r="A795" s="4" t="s">
        <v>10269</v>
      </c>
      <c r="B795" s="4" t="n">
        <v>794</v>
      </c>
      <c r="C795" s="4" t="n">
        <v>12194</v>
      </c>
      <c r="D795" s="8" t="s">
        <v>8410</v>
      </c>
      <c r="E795" s="8" t="s">
        <v>10270</v>
      </c>
      <c r="F795" s="8" t="s">
        <v>10271</v>
      </c>
      <c r="G795" s="8" t="s">
        <v>10019</v>
      </c>
      <c r="H795" s="8" t="s">
        <v>62</v>
      </c>
      <c r="I795" s="8"/>
    </row>
    <row r="796" customFormat="false" ht="15" hidden="false" customHeight="false" outlineLevel="0" collapsed="false">
      <c r="A796" s="4" t="s">
        <v>10272</v>
      </c>
      <c r="B796" s="4" t="n">
        <v>795</v>
      </c>
      <c r="C796" s="4" t="n">
        <v>19266</v>
      </c>
      <c r="D796" s="8" t="s">
        <v>8389</v>
      </c>
      <c r="E796" s="8" t="s">
        <v>10273</v>
      </c>
      <c r="F796" s="8" t="s">
        <v>10274</v>
      </c>
      <c r="G796" s="8" t="s">
        <v>10019</v>
      </c>
      <c r="H796" s="8" t="s">
        <v>62</v>
      </c>
      <c r="I796" s="8"/>
    </row>
    <row r="797" customFormat="false" ht="15" hidden="false" customHeight="false" outlineLevel="0" collapsed="false">
      <c r="A797" s="4" t="s">
        <v>10275</v>
      </c>
      <c r="B797" s="4" t="n">
        <v>796</v>
      </c>
      <c r="C797" s="4" t="n">
        <v>11867</v>
      </c>
      <c r="D797" s="8" t="s">
        <v>8410</v>
      </c>
      <c r="E797" s="8" t="s">
        <v>10276</v>
      </c>
      <c r="F797" s="8" t="s">
        <v>2035</v>
      </c>
      <c r="G797" s="8" t="s">
        <v>10019</v>
      </c>
      <c r="H797" s="8" t="s">
        <v>62</v>
      </c>
      <c r="I797" s="8"/>
    </row>
    <row r="798" customFormat="false" ht="15" hidden="false" customHeight="false" outlineLevel="0" collapsed="false">
      <c r="A798" s="4" t="s">
        <v>10277</v>
      </c>
      <c r="B798" s="4" t="n">
        <v>797</v>
      </c>
      <c r="C798" s="4" t="n">
        <v>4718</v>
      </c>
      <c r="D798" s="8" t="s">
        <v>8410</v>
      </c>
      <c r="E798" s="8" t="s">
        <v>10278</v>
      </c>
      <c r="F798" s="8" t="s">
        <v>3339</v>
      </c>
      <c r="G798" s="8" t="s">
        <v>10019</v>
      </c>
      <c r="H798" s="8" t="s">
        <v>62</v>
      </c>
      <c r="I798" s="8"/>
    </row>
    <row r="799" customFormat="false" ht="15" hidden="false" customHeight="false" outlineLevel="0" collapsed="false">
      <c r="A799" s="4" t="s">
        <v>10279</v>
      </c>
      <c r="B799" s="4" t="n">
        <v>798</v>
      </c>
      <c r="C799" s="4" t="n">
        <v>45321</v>
      </c>
      <c r="D799" s="8" t="s">
        <v>8410</v>
      </c>
      <c r="E799" s="8" t="s">
        <v>10280</v>
      </c>
      <c r="F799" s="8" t="s">
        <v>10281</v>
      </c>
      <c r="G799" s="8" t="s">
        <v>10019</v>
      </c>
      <c r="H799" s="8" t="s">
        <v>62</v>
      </c>
      <c r="I799" s="8"/>
    </row>
    <row r="800" customFormat="false" ht="15" hidden="false" customHeight="false" outlineLevel="0" collapsed="false">
      <c r="A800" s="4" t="s">
        <v>10282</v>
      </c>
      <c r="B800" s="4" t="n">
        <v>799</v>
      </c>
      <c r="C800" s="4" t="n">
        <v>4330</v>
      </c>
      <c r="D800" s="8" t="s">
        <v>8410</v>
      </c>
      <c r="E800" s="8" t="s">
        <v>10283</v>
      </c>
      <c r="F800" s="8" t="s">
        <v>10284</v>
      </c>
      <c r="G800" s="8" t="s">
        <v>10019</v>
      </c>
      <c r="H800" s="8" t="s">
        <v>62</v>
      </c>
      <c r="I800" s="8"/>
    </row>
    <row r="801" customFormat="false" ht="15" hidden="false" customHeight="false" outlineLevel="0" collapsed="false">
      <c r="A801" s="4" t="s">
        <v>10285</v>
      </c>
      <c r="B801" s="4" t="n">
        <v>800</v>
      </c>
      <c r="C801" s="4" t="n">
        <v>6824</v>
      </c>
      <c r="D801" s="8" t="s">
        <v>8389</v>
      </c>
      <c r="E801" s="8" t="s">
        <v>677</v>
      </c>
      <c r="F801" s="8" t="s">
        <v>678</v>
      </c>
      <c r="G801" s="8" t="s">
        <v>10019</v>
      </c>
      <c r="H801" s="8" t="s">
        <v>62</v>
      </c>
      <c r="I801" s="8"/>
    </row>
    <row r="802" customFormat="false" ht="15" hidden="false" customHeight="false" outlineLevel="0" collapsed="false">
      <c r="A802" s="4" t="s">
        <v>10286</v>
      </c>
      <c r="B802" s="4"/>
      <c r="C802" s="4"/>
      <c r="D802" s="8"/>
      <c r="E802" s="8" t="s">
        <v>10287</v>
      </c>
      <c r="F802" s="8" t="n">
        <v>800</v>
      </c>
      <c r="G802" s="8"/>
      <c r="H802" s="8" t="s">
        <v>62</v>
      </c>
      <c r="I802" s="8"/>
    </row>
    <row r="803" customFormat="false" ht="15" hidden="false" customHeight="false" outlineLevel="0" collapsed="false">
      <c r="A803" s="4" t="s">
        <v>10288</v>
      </c>
      <c r="B803" s="4"/>
      <c r="C803" s="4"/>
      <c r="D803" s="8"/>
      <c r="E803" s="8" t="s">
        <v>10289</v>
      </c>
      <c r="F803" s="8" t="n">
        <v>95</v>
      </c>
      <c r="G803" s="8"/>
      <c r="H803" s="8" t="s">
        <v>62</v>
      </c>
      <c r="I803" s="8"/>
    </row>
    <row r="804" customFormat="false" ht="15" hidden="false" customHeight="false" outlineLevel="0" collapsed="false">
      <c r="A804" s="4" t="s">
        <v>10290</v>
      </c>
      <c r="B804" s="4"/>
      <c r="C804" s="4"/>
      <c r="D804" s="8"/>
      <c r="E804" s="8" t="s">
        <v>10291</v>
      </c>
      <c r="F804" s="8" t="n">
        <v>17</v>
      </c>
      <c r="G804" s="8"/>
      <c r="H804" s="8" t="s">
        <v>62</v>
      </c>
      <c r="I804" s="8"/>
    </row>
    <row r="805" customFormat="false" ht="15" hidden="false" customHeight="false" outlineLevel="0" collapsed="false">
      <c r="A805" s="4" t="s">
        <v>10292</v>
      </c>
      <c r="B805" s="4"/>
      <c r="C805" s="4"/>
      <c r="D805" s="8"/>
      <c r="E805" s="8" t="s">
        <v>10293</v>
      </c>
      <c r="F805" s="8" t="n">
        <v>0.14</v>
      </c>
      <c r="G805" s="8"/>
      <c r="H805" s="8" t="s">
        <v>62</v>
      </c>
      <c r="I805" s="8"/>
    </row>
    <row r="806" customFormat="false" ht="15" hidden="false" customHeight="false" outlineLevel="0" collapsed="false">
      <c r="A806" s="4" t="s">
        <v>10294</v>
      </c>
      <c r="B806" s="4"/>
      <c r="C806" s="4"/>
      <c r="D806" s="8"/>
      <c r="E806" s="8" t="s">
        <v>10295</v>
      </c>
      <c r="F806" s="8" t="n">
        <v>362</v>
      </c>
      <c r="G806" s="8"/>
      <c r="H806" s="8" t="s">
        <v>62</v>
      </c>
      <c r="I806" s="8"/>
    </row>
    <row r="807" customFormat="false" ht="15" hidden="false" customHeight="false" outlineLevel="0" collapsed="false">
      <c r="A807" s="4" t="s">
        <v>10296</v>
      </c>
      <c r="B807" s="4"/>
      <c r="C807" s="4"/>
      <c r="D807" s="8"/>
      <c r="E807" s="8" t="s">
        <v>10297</v>
      </c>
      <c r="F807" s="8" t="n">
        <v>136</v>
      </c>
      <c r="G807" s="8"/>
      <c r="H807" s="8" t="s">
        <v>62</v>
      </c>
      <c r="I807" s="8"/>
    </row>
    <row r="808" customFormat="false" ht="15" hidden="false" customHeight="false" outlineLevel="0" collapsed="false">
      <c r="A808" s="4" t="s">
        <v>10298</v>
      </c>
      <c r="B808" s="4"/>
      <c r="C808" s="4"/>
      <c r="D808" s="8"/>
      <c r="E808" s="8" t="s">
        <v>10299</v>
      </c>
      <c r="F808" s="8" t="n">
        <v>79</v>
      </c>
      <c r="G808" s="8"/>
      <c r="H808" s="8" t="s">
        <v>62</v>
      </c>
      <c r="I808" s="8"/>
    </row>
    <row r="809" customFormat="false" ht="15" hidden="false" customHeight="false" outlineLevel="0" collapsed="false">
      <c r="A809" s="4" t="s">
        <v>10300</v>
      </c>
      <c r="B809" s="4"/>
      <c r="C809" s="4"/>
      <c r="D809" s="8"/>
      <c r="E809" s="8" t="s">
        <v>10301</v>
      </c>
      <c r="F809" s="8" t="n">
        <v>72</v>
      </c>
      <c r="G809" s="8"/>
      <c r="H809" s="8" t="s">
        <v>62</v>
      </c>
      <c r="I809" s="8"/>
    </row>
    <row r="810" customFormat="false" ht="15" hidden="false" customHeight="false" outlineLevel="0" collapsed="false">
      <c r="A810" s="4" t="s">
        <v>10302</v>
      </c>
      <c r="B810" s="4"/>
      <c r="C810" s="4"/>
      <c r="D810" s="8"/>
      <c r="E810" s="8" t="s">
        <v>10303</v>
      </c>
      <c r="F810" s="8" t="n">
        <v>4</v>
      </c>
      <c r="G810" s="8"/>
      <c r="H810" s="8" t="s">
        <v>62</v>
      </c>
      <c r="I810" s="8"/>
    </row>
    <row r="811" customFormat="false" ht="15" hidden="false" customHeight="false" outlineLevel="0" collapsed="false">
      <c r="A811" s="4" t="s">
        <v>10304</v>
      </c>
      <c r="B811" s="4"/>
      <c r="C811" s="4"/>
      <c r="D811" s="8"/>
      <c r="E811" s="8" t="s">
        <v>10305</v>
      </c>
      <c r="F811" s="8" t="n">
        <v>7</v>
      </c>
      <c r="G811" s="8"/>
      <c r="H811" s="8" t="s">
        <v>62</v>
      </c>
      <c r="I811" s="8"/>
    </row>
    <row r="812" customFormat="false" ht="15" hidden="false" customHeight="false" outlineLevel="0" collapsed="false">
      <c r="A812" s="4" t="s">
        <v>10306</v>
      </c>
      <c r="B812" s="4"/>
      <c r="C812" s="4"/>
      <c r="D812" s="8"/>
      <c r="E812" s="8" t="s">
        <v>10307</v>
      </c>
      <c r="F812" s="8" t="n">
        <v>14</v>
      </c>
      <c r="G812" s="8"/>
      <c r="H812" s="8" t="s">
        <v>62</v>
      </c>
      <c r="I812" s="8"/>
    </row>
    <row r="813" customFormat="false" ht="15" hidden="false" customHeight="false" outlineLevel="0" collapsed="false">
      <c r="A813" s="4" t="s">
        <v>10308</v>
      </c>
      <c r="B813" s="4"/>
      <c r="C813" s="4"/>
      <c r="D813" s="8"/>
      <c r="E813" s="8" t="s">
        <v>10309</v>
      </c>
      <c r="F813" s="8" t="n">
        <v>3</v>
      </c>
      <c r="G813" s="8"/>
      <c r="H813" s="8" t="s">
        <v>62</v>
      </c>
      <c r="I813" s="8"/>
    </row>
    <row r="814" customFormat="false" ht="15" hidden="false" customHeight="false" outlineLevel="0" collapsed="false">
      <c r="A814" s="4" t="s">
        <v>10310</v>
      </c>
      <c r="B814" s="4"/>
      <c r="C814" s="4"/>
      <c r="D814" s="8"/>
      <c r="E814" s="8" t="s">
        <v>10311</v>
      </c>
      <c r="F814" s="8" t="n">
        <v>3</v>
      </c>
      <c r="G814" s="8"/>
      <c r="H814" s="8" t="s">
        <v>62</v>
      </c>
      <c r="I814" s="8"/>
    </row>
    <row r="815" customFormat="false" ht="15" hidden="false" customHeight="false" outlineLevel="0" collapsed="false">
      <c r="A815" s="4" t="s">
        <v>10312</v>
      </c>
      <c r="B815" s="4"/>
      <c r="C815" s="4"/>
      <c r="D815" s="8"/>
      <c r="E815" s="8" t="s">
        <v>10313</v>
      </c>
      <c r="F815" s="8" t="n">
        <v>236</v>
      </c>
      <c r="G815" s="8"/>
      <c r="H815" s="8" t="s">
        <v>62</v>
      </c>
      <c r="I815" s="8"/>
    </row>
    <row r="816" customFormat="false" ht="15" hidden="false" customHeight="false" outlineLevel="0" collapsed="false">
      <c r="A816" s="4" t="s">
        <v>10314</v>
      </c>
      <c r="B816" s="4"/>
      <c r="C816" s="4"/>
      <c r="D816" s="8"/>
      <c r="E816" s="8" t="s">
        <v>10315</v>
      </c>
      <c r="F816" s="8" t="n">
        <v>113</v>
      </c>
      <c r="G816" s="8"/>
      <c r="H816" s="8" t="s">
        <v>62</v>
      </c>
      <c r="I816" s="8"/>
    </row>
    <row r="817" customFormat="false" ht="15" hidden="false" customHeight="false" outlineLevel="0" collapsed="false">
      <c r="A817" s="4" t="s">
        <v>10316</v>
      </c>
      <c r="B817" s="4"/>
      <c r="C817" s="4"/>
      <c r="D817" s="8"/>
      <c r="E817" s="8" t="s">
        <v>10317</v>
      </c>
      <c r="F817" s="8" t="n">
        <v>10</v>
      </c>
      <c r="G817" s="8"/>
      <c r="H817" s="8" t="s">
        <v>62</v>
      </c>
      <c r="I817" s="8"/>
    </row>
    <row r="818" customFormat="false" ht="15" hidden="false" customHeight="false" outlineLevel="0" collapsed="false">
      <c r="A818" s="4" t="s">
        <v>10318</v>
      </c>
      <c r="B818" s="4"/>
      <c r="C818" s="4"/>
      <c r="D818" s="8"/>
      <c r="E818" s="8" t="s">
        <v>10319</v>
      </c>
      <c r="F818" s="8" t="n">
        <v>1</v>
      </c>
      <c r="G818" s="8"/>
      <c r="H818" s="8" t="s">
        <v>62</v>
      </c>
      <c r="I818" s="8"/>
    </row>
    <row r="819" customFormat="false" ht="15" hidden="false" customHeight="false" outlineLevel="0" collapsed="false">
      <c r="A819" s="4" t="s">
        <v>10320</v>
      </c>
      <c r="B819" s="4"/>
      <c r="C819" s="4"/>
      <c r="D819" s="8"/>
      <c r="E819" s="8" t="s">
        <v>10321</v>
      </c>
      <c r="F819" s="8" t="n">
        <v>2</v>
      </c>
      <c r="G819" s="8"/>
      <c r="H819" s="8" t="s">
        <v>62</v>
      </c>
      <c r="I819" s="8"/>
    </row>
    <row r="820" customFormat="false" ht="15" hidden="false" customHeight="false" outlineLevel="0" collapsed="false">
      <c r="A820" s="4" t="s">
        <v>10322</v>
      </c>
      <c r="B820" s="4"/>
      <c r="C820" s="4"/>
      <c r="D820" s="8"/>
      <c r="E820" s="8" t="s">
        <v>10323</v>
      </c>
      <c r="F820" s="8" t="n">
        <v>18</v>
      </c>
      <c r="G820" s="8"/>
      <c r="H820" s="8" t="s">
        <v>62</v>
      </c>
      <c r="I820" s="8"/>
    </row>
    <row r="821" customFormat="false" ht="15" hidden="false" customHeight="false" outlineLevel="0" collapsed="false">
      <c r="A821" s="4" t="s">
        <v>10324</v>
      </c>
      <c r="B821" s="4"/>
      <c r="C821" s="4"/>
      <c r="D821" s="8"/>
      <c r="E821" s="8" t="s">
        <v>8374</v>
      </c>
      <c r="F821" s="8" t="n">
        <v>1</v>
      </c>
      <c r="G821" s="8"/>
      <c r="H821" s="8" t="s">
        <v>62</v>
      </c>
      <c r="I821" s="8"/>
    </row>
    <row r="822" customFormat="false" ht="15" hidden="false" customHeight="false" outlineLevel="0" collapsed="false">
      <c r="A822" s="4" t="s">
        <v>10325</v>
      </c>
      <c r="B822" s="4"/>
      <c r="C822" s="4"/>
      <c r="D822" s="8"/>
      <c r="E822" s="8" t="s">
        <v>10326</v>
      </c>
      <c r="F822" s="8" t="n">
        <v>1</v>
      </c>
      <c r="G822" s="8"/>
      <c r="H822" s="8" t="s">
        <v>62</v>
      </c>
      <c r="I822" s="8"/>
    </row>
    <row r="823" customFormat="false" ht="15" hidden="false" customHeight="false" outlineLevel="0" collapsed="false">
      <c r="A823" s="4" t="s">
        <v>10327</v>
      </c>
      <c r="B823" s="4"/>
      <c r="C823" s="4"/>
      <c r="D823" s="8"/>
      <c r="E823" s="8" t="s">
        <v>10328</v>
      </c>
      <c r="F823" s="8" t="n">
        <v>29</v>
      </c>
      <c r="G823" s="8"/>
      <c r="H823" s="8" t="s">
        <v>62</v>
      </c>
      <c r="I823" s="8"/>
    </row>
    <row r="824" customFormat="false" ht="15" hidden="false" customHeight="false" outlineLevel="0" collapsed="false">
      <c r="A824" s="4" t="s">
        <v>10329</v>
      </c>
      <c r="B824" s="4"/>
      <c r="C824" s="4"/>
      <c r="D824" s="8"/>
      <c r="E824" s="8" t="s">
        <v>10330</v>
      </c>
      <c r="F824" s="8" t="n">
        <v>33</v>
      </c>
      <c r="G824" s="8"/>
      <c r="H824" s="8" t="s">
        <v>62</v>
      </c>
      <c r="I824" s="8"/>
    </row>
    <row r="825" customFormat="false" ht="15" hidden="false" customHeight="false" outlineLevel="0" collapsed="false">
      <c r="A825" s="4" t="s">
        <v>10331</v>
      </c>
      <c r="B825" s="4"/>
      <c r="C825" s="4"/>
      <c r="D825" s="8"/>
      <c r="E825" s="8" t="s">
        <v>10332</v>
      </c>
      <c r="F825" s="8" t="n">
        <v>20</v>
      </c>
      <c r="G825" s="8"/>
      <c r="H825" s="8" t="s">
        <v>62</v>
      </c>
      <c r="I825" s="8"/>
    </row>
    <row r="826" customFormat="false" ht="15" hidden="false" customHeight="false" outlineLevel="0" collapsed="false">
      <c r="A826" s="4" t="s">
        <v>10333</v>
      </c>
      <c r="B826" s="4"/>
      <c r="C826" s="4"/>
      <c r="D826" s="8"/>
      <c r="E826" s="8" t="s">
        <v>10334</v>
      </c>
      <c r="F826" s="8" t="n">
        <v>69</v>
      </c>
      <c r="G826" s="8"/>
      <c r="H826" s="8" t="s">
        <v>62</v>
      </c>
      <c r="I826" s="8"/>
    </row>
    <row r="827" customFormat="false" ht="15" hidden="false" customHeight="false" outlineLevel="0" collapsed="false">
      <c r="A827" s="4" t="s">
        <v>10335</v>
      </c>
      <c r="B827" s="4"/>
      <c r="C827" s="4"/>
      <c r="D827" s="8"/>
      <c r="E827" s="8" t="s">
        <v>10336</v>
      </c>
      <c r="F827" s="8" t="n">
        <v>4</v>
      </c>
      <c r="G827" s="8"/>
      <c r="H827" s="8" t="s">
        <v>62</v>
      </c>
      <c r="I827" s="8"/>
    </row>
    <row r="828" customFormat="false" ht="15" hidden="false" customHeight="false" outlineLevel="0" collapsed="false">
      <c r="A828" s="4" t="s">
        <v>10337</v>
      </c>
      <c r="B828" s="4"/>
      <c r="C828" s="4"/>
      <c r="D828" s="8"/>
      <c r="E828" s="8" t="s">
        <v>10338</v>
      </c>
      <c r="F828" s="8" t="n">
        <v>3</v>
      </c>
      <c r="G828" s="8"/>
      <c r="H828" s="8" t="s">
        <v>62</v>
      </c>
      <c r="I828" s="8"/>
    </row>
    <row r="829" customFormat="false" ht="15" hidden="false" customHeight="false" outlineLevel="0" collapsed="false">
      <c r="A829" s="4" t="s">
        <v>10339</v>
      </c>
      <c r="B829" s="4"/>
      <c r="C829" s="4"/>
      <c r="D829" s="8"/>
      <c r="E829" s="8" t="s">
        <v>10340</v>
      </c>
      <c r="F829" s="8" t="n">
        <v>55</v>
      </c>
      <c r="G829" s="8"/>
      <c r="H829" s="8" t="s">
        <v>62</v>
      </c>
      <c r="I829" s="8"/>
    </row>
    <row r="830" customFormat="false" ht="15" hidden="false" customHeight="false" outlineLevel="0" collapsed="false">
      <c r="A830" s="4" t="s">
        <v>10341</v>
      </c>
      <c r="B830" s="4"/>
      <c r="C830" s="4"/>
      <c r="D830" s="8"/>
      <c r="E830" s="8" t="s">
        <v>10342</v>
      </c>
      <c r="F830" s="8" t="n">
        <v>5</v>
      </c>
      <c r="G830" s="8"/>
      <c r="H830" s="8" t="s">
        <v>62</v>
      </c>
      <c r="I830" s="8"/>
    </row>
    <row r="831" customFormat="false" ht="15" hidden="false" customHeight="false" outlineLevel="0" collapsed="false">
      <c r="A831" s="4"/>
      <c r="B831" s="4"/>
      <c r="C831" s="4"/>
      <c r="D831" s="8"/>
      <c r="E831" s="8"/>
      <c r="F831" s="8"/>
      <c r="G831" s="8"/>
      <c r="H831" s="8"/>
      <c r="I831" s="8"/>
    </row>
    <row r="832" customFormat="false" ht="15" hidden="false" customHeight="false" outlineLevel="0" collapsed="false">
      <c r="A832" s="4"/>
      <c r="B832" s="4"/>
      <c r="C832" s="4"/>
      <c r="D832" s="8"/>
      <c r="E832" s="8"/>
      <c r="F832" s="8"/>
      <c r="G832" s="8"/>
      <c r="H832" s="8"/>
      <c r="I832" s="8"/>
    </row>
    <row r="833" customFormat="false" ht="15" hidden="false" customHeight="false" outlineLevel="0" collapsed="false">
      <c r="A833" s="4"/>
      <c r="B833" s="4"/>
      <c r="C833" s="4"/>
      <c r="D833" s="8"/>
      <c r="E833" s="8"/>
      <c r="F833" s="8"/>
      <c r="G833" s="8"/>
      <c r="H833" s="8"/>
      <c r="I833" s="8"/>
    </row>
    <row r="834" customFormat="false" ht="15" hidden="false" customHeight="false" outlineLevel="0" collapsed="false">
      <c r="A834" s="4"/>
      <c r="B834" s="4"/>
      <c r="C834" s="4"/>
      <c r="D834" s="8"/>
      <c r="E834" s="8"/>
      <c r="F834" s="8"/>
      <c r="G834" s="8"/>
      <c r="H834" s="8"/>
      <c r="I834" s="8"/>
    </row>
    <row r="835" customFormat="false" ht="15" hidden="false" customHeight="false" outlineLevel="0" collapsed="false">
      <c r="A835" s="4"/>
      <c r="B835" s="4"/>
      <c r="C835" s="4"/>
      <c r="D835" s="8"/>
      <c r="E835" s="8"/>
      <c r="F835" s="8"/>
      <c r="G835" s="8"/>
      <c r="H835" s="8"/>
      <c r="I835" s="8"/>
    </row>
    <row r="836" customFormat="false" ht="15" hidden="false" customHeight="false" outlineLevel="0" collapsed="false">
      <c r="A836" s="4"/>
      <c r="B836" s="4"/>
      <c r="C836" s="4"/>
      <c r="D836" s="8"/>
      <c r="E836" s="8"/>
      <c r="F836" s="8"/>
      <c r="G836" s="8"/>
      <c r="H836" s="8"/>
      <c r="I836" s="8"/>
    </row>
    <row r="837" customFormat="false" ht="15" hidden="false" customHeight="false" outlineLevel="0" collapsed="false">
      <c r="A837" s="4"/>
      <c r="B837" s="4"/>
      <c r="C837" s="4"/>
      <c r="D837" s="8"/>
      <c r="E837" s="8"/>
      <c r="F837" s="8"/>
      <c r="G837" s="8"/>
      <c r="H837" s="8"/>
      <c r="I837" s="8"/>
    </row>
    <row r="838" customFormat="false" ht="15" hidden="false" customHeight="false" outlineLevel="0" collapsed="false">
      <c r="A838" s="4"/>
      <c r="B838" s="4"/>
      <c r="C838" s="4"/>
      <c r="D838" s="8"/>
      <c r="E838" s="8"/>
      <c r="F838" s="8"/>
      <c r="G838" s="8"/>
      <c r="H838" s="8"/>
      <c r="I838" s="8"/>
    </row>
    <row r="839" customFormat="false" ht="15" hidden="false" customHeight="false" outlineLevel="0" collapsed="false">
      <c r="A839" s="4"/>
      <c r="B839" s="4"/>
      <c r="C839" s="4"/>
      <c r="D839" s="8"/>
      <c r="E839" s="8"/>
      <c r="F839" s="8"/>
      <c r="G839" s="8"/>
      <c r="H839" s="8"/>
      <c r="I839" s="8"/>
    </row>
    <row r="840" customFormat="false" ht="15" hidden="false" customHeight="false" outlineLevel="0" collapsed="false">
      <c r="A840" s="4"/>
      <c r="B840" s="4"/>
      <c r="C840" s="4"/>
      <c r="D840" s="8"/>
      <c r="E840" s="8"/>
      <c r="F840" s="8"/>
      <c r="G840" s="8"/>
      <c r="H840" s="8"/>
      <c r="I840" s="8"/>
    </row>
    <row r="841" customFormat="false" ht="15" hidden="false" customHeight="false" outlineLevel="0" collapsed="false">
      <c r="A841" s="4"/>
      <c r="B841" s="4"/>
      <c r="C841" s="4"/>
      <c r="D841" s="8"/>
      <c r="E841" s="8"/>
      <c r="F841" s="8"/>
      <c r="G841" s="8"/>
      <c r="H841" s="8"/>
      <c r="I841" s="8"/>
    </row>
    <row r="842" customFormat="false" ht="15" hidden="false" customHeight="false" outlineLevel="0" collapsed="false">
      <c r="A842" s="4"/>
      <c r="B842" s="4"/>
      <c r="C842" s="4"/>
      <c r="D842" s="8"/>
      <c r="E842" s="8"/>
      <c r="F842" s="8"/>
      <c r="G842" s="8"/>
      <c r="H842" s="8"/>
      <c r="I842" s="8"/>
    </row>
    <row r="843" customFormat="false" ht="15" hidden="false" customHeight="false" outlineLevel="0" collapsed="false">
      <c r="A843" s="4"/>
      <c r="B843" s="4"/>
      <c r="C843" s="4"/>
      <c r="D843" s="8"/>
      <c r="E843" s="8"/>
      <c r="F843" s="8"/>
      <c r="G843" s="8"/>
      <c r="H843" s="8"/>
      <c r="I843" s="8"/>
    </row>
    <row r="844" customFormat="false" ht="15" hidden="false" customHeight="false" outlineLevel="0" collapsed="false">
      <c r="A844" s="4"/>
      <c r="B844" s="4"/>
      <c r="C844" s="4"/>
      <c r="D844" s="8"/>
      <c r="E844" s="8"/>
      <c r="F844" s="8"/>
      <c r="G844" s="8"/>
      <c r="H844" s="8"/>
      <c r="I844" s="8"/>
    </row>
    <row r="845" customFormat="false" ht="15" hidden="false" customHeight="false" outlineLevel="0" collapsed="false">
      <c r="A845" s="4"/>
      <c r="B845" s="4"/>
      <c r="C845" s="4"/>
      <c r="D845" s="8"/>
      <c r="E845" s="8"/>
      <c r="F845" s="8"/>
      <c r="G845" s="8"/>
      <c r="H845" s="8"/>
      <c r="I845" s="8"/>
    </row>
    <row r="846" customFormat="false" ht="15" hidden="false" customHeight="false" outlineLevel="0" collapsed="false">
      <c r="A846" s="4"/>
      <c r="B846" s="4"/>
      <c r="C846" s="4"/>
      <c r="D846" s="8"/>
      <c r="E846" s="8"/>
      <c r="F846" s="8"/>
      <c r="G846" s="8"/>
      <c r="H846" s="8"/>
      <c r="I846" s="8"/>
    </row>
    <row r="847" customFormat="false" ht="15" hidden="false" customHeight="false" outlineLevel="0" collapsed="false">
      <c r="A847" s="4"/>
      <c r="B847" s="4"/>
      <c r="C847" s="4"/>
      <c r="D847" s="8"/>
      <c r="E847" s="8"/>
      <c r="F847" s="8"/>
      <c r="G847" s="8"/>
      <c r="H847" s="8"/>
      <c r="I847" s="8"/>
    </row>
    <row r="848" customFormat="false" ht="15" hidden="false" customHeight="false" outlineLevel="0" collapsed="false">
      <c r="A848" s="4"/>
      <c r="B848" s="4"/>
      <c r="C848" s="4"/>
      <c r="D848" s="8"/>
      <c r="E848" s="8"/>
      <c r="F848" s="8"/>
      <c r="G848" s="8"/>
      <c r="H848" s="8"/>
      <c r="I848" s="8"/>
    </row>
    <row r="849" customFormat="false" ht="15" hidden="false" customHeight="false" outlineLevel="0" collapsed="false">
      <c r="A849" s="4"/>
      <c r="B849" s="4"/>
      <c r="C849" s="4"/>
      <c r="D849" s="8"/>
      <c r="E849" s="8"/>
      <c r="F849" s="8"/>
      <c r="G849" s="8"/>
      <c r="H849" s="8"/>
      <c r="I849" s="8"/>
    </row>
    <row r="850" customFormat="false" ht="15" hidden="false" customHeight="false" outlineLevel="0" collapsed="false">
      <c r="A850" s="4"/>
      <c r="B850" s="4"/>
      <c r="C850" s="4"/>
      <c r="D850" s="8"/>
      <c r="E850" s="8"/>
      <c r="F850" s="8"/>
      <c r="G850" s="8"/>
      <c r="H850" s="8"/>
      <c r="I850" s="8"/>
    </row>
    <row r="851" customFormat="false" ht="15" hidden="false" customHeight="false" outlineLevel="0" collapsed="false">
      <c r="A851" s="4"/>
      <c r="B851" s="4"/>
      <c r="C851" s="4"/>
      <c r="D851" s="8"/>
      <c r="E851" s="8"/>
      <c r="F851" s="8"/>
      <c r="G851" s="8"/>
      <c r="H851" s="8"/>
      <c r="I851" s="8"/>
    </row>
    <row r="852" customFormat="false" ht="15" hidden="false" customHeight="false" outlineLevel="0" collapsed="false">
      <c r="A852" s="4"/>
      <c r="B852" s="4"/>
      <c r="C852" s="4"/>
      <c r="D852" s="8"/>
      <c r="E852" s="8"/>
      <c r="F852" s="8"/>
      <c r="G852" s="8"/>
      <c r="H852" s="8"/>
      <c r="I852" s="8"/>
    </row>
    <row r="853" customFormat="false" ht="15" hidden="false" customHeight="false" outlineLevel="0" collapsed="false">
      <c r="A853" s="4"/>
      <c r="B853" s="4"/>
      <c r="C853" s="4"/>
      <c r="D853" s="8"/>
      <c r="E853" s="8"/>
      <c r="F853" s="8"/>
      <c r="G853" s="8"/>
      <c r="H853" s="8"/>
      <c r="I853" s="8"/>
    </row>
    <row r="854" customFormat="false" ht="15" hidden="false" customHeight="false" outlineLevel="0" collapsed="false">
      <c r="A854" s="4"/>
      <c r="B854" s="4"/>
      <c r="C854" s="4"/>
      <c r="D854" s="8"/>
      <c r="E854" s="8"/>
      <c r="F854" s="8"/>
      <c r="G854" s="8"/>
      <c r="H854" s="8"/>
      <c r="I854" s="8"/>
    </row>
    <row r="855" customFormat="false" ht="15" hidden="false" customHeight="false" outlineLevel="0" collapsed="false">
      <c r="A855" s="4"/>
      <c r="B855" s="4"/>
      <c r="C855" s="4"/>
      <c r="D855" s="8"/>
      <c r="E855" s="8"/>
      <c r="F855" s="8"/>
      <c r="G855" s="8"/>
      <c r="H855" s="8"/>
      <c r="I855" s="8"/>
    </row>
    <row r="856" customFormat="false" ht="15" hidden="false" customHeight="false" outlineLevel="0" collapsed="false">
      <c r="A856" s="4"/>
      <c r="B856" s="4"/>
      <c r="C856" s="4"/>
      <c r="D856" s="8"/>
      <c r="E856" s="8"/>
      <c r="F856" s="8"/>
      <c r="G856" s="8"/>
      <c r="H856" s="8"/>
      <c r="I856" s="8"/>
    </row>
    <row r="857" customFormat="false" ht="15" hidden="false" customHeight="false" outlineLevel="0" collapsed="false">
      <c r="A857" s="4"/>
      <c r="B857" s="4"/>
      <c r="C857" s="4"/>
      <c r="D857" s="8"/>
      <c r="E857" s="8"/>
      <c r="F857" s="8"/>
      <c r="G857" s="8"/>
      <c r="H857" s="8"/>
      <c r="I857" s="8"/>
    </row>
    <row r="858" customFormat="false" ht="15" hidden="false" customHeight="false" outlineLevel="0" collapsed="false">
      <c r="A858" s="4"/>
      <c r="B858" s="4"/>
      <c r="C858" s="4"/>
      <c r="D858" s="8"/>
      <c r="E858" s="8"/>
      <c r="F858" s="8"/>
      <c r="G858" s="8"/>
      <c r="H858" s="8"/>
      <c r="I858" s="8"/>
    </row>
    <row r="859" customFormat="false" ht="15" hidden="false" customHeight="false" outlineLevel="0" collapsed="false">
      <c r="A859" s="4"/>
      <c r="B859" s="4"/>
      <c r="C859" s="4"/>
      <c r="D859" s="8"/>
      <c r="E859" s="8"/>
      <c r="F859" s="8"/>
      <c r="G859" s="8"/>
      <c r="H859" s="8"/>
      <c r="I859" s="8"/>
    </row>
    <row r="860" customFormat="false" ht="15" hidden="false" customHeight="false" outlineLevel="0" collapsed="false">
      <c r="A860" s="4"/>
      <c r="B860" s="4"/>
      <c r="C860" s="4"/>
      <c r="D860" s="8"/>
      <c r="E860" s="8"/>
      <c r="F860" s="8"/>
      <c r="G860" s="8"/>
      <c r="H860" s="8"/>
      <c r="I860" s="8"/>
    </row>
    <row r="861" customFormat="false" ht="15" hidden="false" customHeight="false" outlineLevel="0" collapsed="false">
      <c r="A861" s="4"/>
      <c r="B861" s="4"/>
      <c r="C861" s="4"/>
      <c r="D861" s="8"/>
      <c r="E861" s="8"/>
      <c r="F861" s="8"/>
      <c r="G861" s="8"/>
      <c r="H861" s="8"/>
      <c r="I861" s="8"/>
    </row>
    <row r="862" customFormat="false" ht="15" hidden="false" customHeight="false" outlineLevel="0" collapsed="false">
      <c r="A862" s="4"/>
      <c r="B862" s="4"/>
      <c r="C862" s="4"/>
      <c r="D862" s="8"/>
      <c r="E862" s="8"/>
      <c r="F862" s="8"/>
      <c r="G862" s="8"/>
      <c r="H862" s="8"/>
      <c r="I862" s="8"/>
    </row>
    <row r="863" customFormat="false" ht="15" hidden="false" customHeight="false" outlineLevel="0" collapsed="false">
      <c r="A863" s="4"/>
      <c r="B863" s="4"/>
      <c r="C863" s="4"/>
      <c r="D863" s="8"/>
      <c r="E863" s="8"/>
      <c r="F863" s="8"/>
      <c r="G863" s="8"/>
      <c r="H863" s="8"/>
      <c r="I863" s="8"/>
    </row>
    <row r="864" customFormat="false" ht="15" hidden="false" customHeight="false" outlineLevel="0" collapsed="false">
      <c r="A864" s="4"/>
      <c r="B864" s="4"/>
      <c r="C864" s="4"/>
      <c r="D864" s="8"/>
      <c r="E864" s="8"/>
      <c r="F864" s="8"/>
      <c r="G864" s="8"/>
      <c r="H864" s="8"/>
      <c r="I864" s="8"/>
    </row>
    <row r="865" customFormat="false" ht="15" hidden="false" customHeight="false" outlineLevel="0" collapsed="false">
      <c r="A865" s="4"/>
      <c r="B865" s="4"/>
      <c r="C865" s="4"/>
      <c r="D865" s="8"/>
      <c r="E865" s="8"/>
      <c r="F865" s="8"/>
      <c r="G865" s="8"/>
      <c r="H865" s="8"/>
      <c r="I865" s="8"/>
    </row>
    <row r="866" customFormat="false" ht="15" hidden="false" customHeight="false" outlineLevel="0" collapsed="false">
      <c r="A866" s="4"/>
      <c r="B866" s="4"/>
      <c r="C866" s="4"/>
      <c r="D866" s="8"/>
      <c r="E866" s="8"/>
      <c r="F866" s="8"/>
      <c r="G866" s="8"/>
      <c r="H866" s="8"/>
      <c r="I866" s="8"/>
    </row>
    <row r="867" customFormat="false" ht="15" hidden="false" customHeight="false" outlineLevel="0" collapsed="false">
      <c r="A867" s="4"/>
      <c r="B867" s="4"/>
      <c r="C867" s="4"/>
      <c r="D867" s="8"/>
      <c r="E867" s="8"/>
      <c r="F867" s="8"/>
      <c r="G867" s="8"/>
      <c r="H867" s="8"/>
      <c r="I867" s="8"/>
    </row>
    <row r="868" customFormat="false" ht="15" hidden="false" customHeight="false" outlineLevel="0" collapsed="false">
      <c r="A868" s="4"/>
      <c r="B868" s="4"/>
      <c r="C868" s="4"/>
      <c r="D868" s="8"/>
      <c r="E868" s="8"/>
      <c r="F868" s="8"/>
      <c r="G868" s="8"/>
      <c r="H868" s="8"/>
      <c r="I868" s="8"/>
    </row>
    <row r="869" customFormat="false" ht="15" hidden="false" customHeight="false" outlineLevel="0" collapsed="false">
      <c r="A869" s="4"/>
      <c r="B869" s="4"/>
      <c r="C869" s="4"/>
      <c r="D869" s="8"/>
      <c r="E869" s="8"/>
      <c r="F869" s="8"/>
      <c r="G869" s="8"/>
      <c r="H869" s="8"/>
      <c r="I869" s="8"/>
    </row>
    <row r="870" customFormat="false" ht="15" hidden="false" customHeight="false" outlineLevel="0" collapsed="false">
      <c r="A870" s="4"/>
      <c r="B870" s="4"/>
      <c r="C870" s="4"/>
      <c r="D870" s="8"/>
      <c r="E870" s="8"/>
      <c r="F870" s="8"/>
      <c r="G870" s="8"/>
      <c r="H870" s="8"/>
      <c r="I870" s="8"/>
    </row>
    <row r="871" customFormat="false" ht="15" hidden="false" customHeight="false" outlineLevel="0" collapsed="false">
      <c r="A871" s="4"/>
      <c r="B871" s="4"/>
      <c r="C871" s="4"/>
      <c r="D871" s="8"/>
      <c r="E871" s="8"/>
      <c r="F871" s="8"/>
      <c r="G871" s="8"/>
      <c r="H871" s="8"/>
      <c r="I871" s="8"/>
    </row>
    <row r="872" customFormat="false" ht="15" hidden="false" customHeight="false" outlineLevel="0" collapsed="false">
      <c r="A872" s="4"/>
      <c r="B872" s="4"/>
      <c r="C872" s="4"/>
      <c r="D872" s="8"/>
      <c r="E872" s="8"/>
      <c r="F872" s="8"/>
      <c r="G872" s="8"/>
      <c r="H872" s="8"/>
      <c r="I872" s="8"/>
    </row>
    <row r="873" customFormat="false" ht="15" hidden="false" customHeight="false" outlineLevel="0" collapsed="false">
      <c r="A873" s="4"/>
      <c r="B873" s="4"/>
      <c r="C873" s="4"/>
      <c r="D873" s="8"/>
      <c r="E873" s="8"/>
      <c r="F873" s="8"/>
      <c r="G873" s="8"/>
      <c r="H873" s="8"/>
      <c r="I873" s="8"/>
    </row>
    <row r="874" customFormat="false" ht="15" hidden="false" customHeight="false" outlineLevel="0" collapsed="false">
      <c r="A874" s="4"/>
      <c r="B874" s="4"/>
      <c r="C874" s="4"/>
      <c r="D874" s="8"/>
      <c r="E874" s="8"/>
      <c r="F874" s="8"/>
      <c r="G874" s="8"/>
      <c r="H874" s="8"/>
      <c r="I874" s="8"/>
    </row>
    <row r="875" customFormat="false" ht="15" hidden="false" customHeight="false" outlineLevel="0" collapsed="false">
      <c r="A875" s="4"/>
      <c r="B875" s="4"/>
      <c r="C875" s="4"/>
      <c r="D875" s="8"/>
      <c r="E875" s="8"/>
      <c r="F875" s="8"/>
      <c r="G875" s="8"/>
      <c r="H875" s="8"/>
      <c r="I875" s="8"/>
    </row>
    <row r="876" customFormat="false" ht="15" hidden="false" customHeight="false" outlineLevel="0" collapsed="false">
      <c r="A876" s="4"/>
      <c r="B876" s="4"/>
      <c r="C876" s="4"/>
      <c r="D876" s="8"/>
      <c r="E876" s="8"/>
      <c r="F876" s="8"/>
      <c r="G876" s="8"/>
      <c r="H876" s="8"/>
      <c r="I876" s="8"/>
    </row>
    <row r="877" customFormat="false" ht="15" hidden="false" customHeight="false" outlineLevel="0" collapsed="false">
      <c r="A877" s="4"/>
      <c r="B877" s="4"/>
      <c r="C877" s="4"/>
      <c r="D877" s="8"/>
      <c r="E877" s="8"/>
      <c r="F877" s="8"/>
      <c r="G877" s="8"/>
      <c r="H877" s="8"/>
      <c r="I877" s="8"/>
    </row>
    <row r="878" customFormat="false" ht="15" hidden="false" customHeight="false" outlineLevel="0" collapsed="false">
      <c r="A878" s="4"/>
      <c r="B878" s="4"/>
      <c r="C878" s="4"/>
      <c r="D878" s="8"/>
      <c r="E878" s="8"/>
      <c r="F878" s="8"/>
      <c r="G878" s="8"/>
      <c r="H878" s="8"/>
      <c r="I878" s="8"/>
    </row>
    <row r="879" customFormat="false" ht="15" hidden="false" customHeight="false" outlineLevel="0" collapsed="false">
      <c r="A879" s="4"/>
      <c r="B879" s="4"/>
      <c r="C879" s="4"/>
      <c r="D879" s="8"/>
      <c r="E879" s="8"/>
      <c r="F879" s="8"/>
      <c r="G879" s="8"/>
      <c r="H879" s="8"/>
      <c r="I879" s="8"/>
    </row>
    <row r="880" customFormat="false" ht="15" hidden="false" customHeight="false" outlineLevel="0" collapsed="false">
      <c r="A880" s="4"/>
      <c r="B880" s="4"/>
      <c r="C880" s="4"/>
      <c r="D880" s="8"/>
      <c r="E880" s="8"/>
      <c r="F880" s="8"/>
      <c r="G880" s="8"/>
      <c r="H880" s="8"/>
      <c r="I880" s="8"/>
    </row>
    <row r="881" customFormat="false" ht="15" hidden="false" customHeight="false" outlineLevel="0" collapsed="false">
      <c r="A881" s="4"/>
      <c r="B881" s="4"/>
      <c r="C881" s="4"/>
      <c r="D881" s="8"/>
      <c r="E881" s="8"/>
      <c r="F881" s="8"/>
      <c r="G881" s="8"/>
      <c r="H881" s="8"/>
      <c r="I881" s="8"/>
    </row>
    <row r="882" customFormat="false" ht="15" hidden="false" customHeight="false" outlineLevel="0" collapsed="false">
      <c r="A882" s="4"/>
      <c r="B882" s="4"/>
      <c r="C882" s="4"/>
      <c r="D882" s="8"/>
      <c r="E882" s="8"/>
      <c r="F882" s="8"/>
      <c r="G882" s="8"/>
      <c r="H882" s="8"/>
      <c r="I882" s="8"/>
    </row>
    <row r="883" customFormat="false" ht="15" hidden="false" customHeight="false" outlineLevel="0" collapsed="false">
      <c r="A883" s="4"/>
      <c r="B883" s="4"/>
      <c r="C883" s="4"/>
      <c r="D883" s="8"/>
      <c r="E883" s="8"/>
      <c r="F883" s="8"/>
      <c r="G883" s="8"/>
      <c r="H883" s="8"/>
      <c r="I883" s="8"/>
    </row>
    <row r="884" customFormat="false" ht="15" hidden="false" customHeight="false" outlineLevel="0" collapsed="false">
      <c r="A884" s="4"/>
      <c r="B884" s="4"/>
      <c r="C884" s="4"/>
      <c r="D884" s="8"/>
      <c r="E884" s="8"/>
      <c r="F884" s="8"/>
      <c r="G884" s="8"/>
      <c r="H884" s="8"/>
      <c r="I884" s="8"/>
    </row>
    <row r="885" customFormat="false" ht="15" hidden="false" customHeight="false" outlineLevel="0" collapsed="false">
      <c r="A885" s="4"/>
      <c r="B885" s="4"/>
      <c r="C885" s="4"/>
      <c r="D885" s="8"/>
      <c r="E885" s="8"/>
      <c r="F885" s="8"/>
      <c r="G885" s="8"/>
      <c r="H885" s="8"/>
      <c r="I885" s="8"/>
    </row>
    <row r="886" customFormat="false" ht="15" hidden="false" customHeight="false" outlineLevel="0" collapsed="false">
      <c r="A886" s="4"/>
      <c r="B886" s="4"/>
      <c r="C886" s="4"/>
      <c r="D886" s="8"/>
      <c r="E886" s="8"/>
      <c r="F886" s="8"/>
      <c r="G886" s="8"/>
      <c r="H886" s="8"/>
      <c r="I886" s="8"/>
    </row>
    <row r="887" customFormat="false" ht="15" hidden="false" customHeight="false" outlineLevel="0" collapsed="false">
      <c r="A887" s="4"/>
      <c r="B887" s="4"/>
      <c r="C887" s="4"/>
      <c r="D887" s="8"/>
      <c r="E887" s="8"/>
      <c r="F887" s="8"/>
      <c r="G887" s="8"/>
      <c r="H887" s="8"/>
      <c r="I887" s="8"/>
    </row>
    <row r="888" customFormat="false" ht="15" hidden="false" customHeight="false" outlineLevel="0" collapsed="false">
      <c r="A888" s="4"/>
      <c r="B888" s="4"/>
      <c r="C888" s="4"/>
      <c r="D888" s="8"/>
      <c r="E888" s="8"/>
      <c r="F888" s="8"/>
      <c r="G888" s="8"/>
      <c r="H888" s="8"/>
      <c r="I888" s="8"/>
    </row>
    <row r="889" customFormat="false" ht="15" hidden="false" customHeight="false" outlineLevel="0" collapsed="false">
      <c r="A889" s="4"/>
      <c r="B889" s="4"/>
      <c r="C889" s="4"/>
      <c r="D889" s="8"/>
      <c r="E889" s="8"/>
      <c r="F889" s="8"/>
      <c r="G889" s="8"/>
      <c r="H889" s="8"/>
      <c r="I889" s="8"/>
    </row>
    <row r="890" customFormat="false" ht="15" hidden="false" customHeight="false" outlineLevel="0" collapsed="false">
      <c r="A890" s="4"/>
      <c r="B890" s="4"/>
      <c r="C890" s="4"/>
      <c r="D890" s="8"/>
      <c r="E890" s="8"/>
      <c r="F890" s="8"/>
      <c r="G890" s="8"/>
      <c r="H890" s="8"/>
      <c r="I890" s="8"/>
    </row>
    <row r="891" customFormat="false" ht="15" hidden="false" customHeight="false" outlineLevel="0" collapsed="false">
      <c r="A891" s="4"/>
      <c r="B891" s="4"/>
      <c r="C891" s="4"/>
      <c r="D891" s="8"/>
      <c r="E891" s="8"/>
      <c r="F891" s="8"/>
      <c r="G891" s="8"/>
      <c r="H891" s="8"/>
      <c r="I891" s="8"/>
    </row>
    <row r="892" customFormat="false" ht="15" hidden="false" customHeight="false" outlineLevel="0" collapsed="false">
      <c r="A892" s="4"/>
      <c r="B892" s="4"/>
      <c r="C892" s="4"/>
      <c r="D892" s="8"/>
      <c r="E892" s="8"/>
      <c r="F892" s="8"/>
      <c r="G892" s="8"/>
      <c r="H892" s="8"/>
      <c r="I892" s="8"/>
    </row>
    <row r="893" customFormat="false" ht="15" hidden="false" customHeight="false" outlineLevel="0" collapsed="false">
      <c r="A893" s="4"/>
      <c r="B893" s="4"/>
      <c r="C893" s="4"/>
      <c r="D893" s="8"/>
      <c r="E893" s="8"/>
      <c r="F893" s="8"/>
      <c r="G893" s="8"/>
      <c r="H893" s="8"/>
      <c r="I893" s="8"/>
    </row>
    <row r="894" customFormat="false" ht="15" hidden="false" customHeight="false" outlineLevel="0" collapsed="false">
      <c r="A894" s="4"/>
      <c r="B894" s="4"/>
      <c r="C894" s="4"/>
      <c r="D894" s="8"/>
      <c r="E894" s="8"/>
      <c r="F894" s="8"/>
      <c r="G894" s="8"/>
      <c r="H894" s="8"/>
      <c r="I894" s="8"/>
    </row>
    <row r="895" customFormat="false" ht="15" hidden="false" customHeight="false" outlineLevel="0" collapsed="false">
      <c r="A895" s="4"/>
      <c r="B895" s="4"/>
      <c r="C895" s="4"/>
      <c r="D895" s="8"/>
      <c r="E895" s="8"/>
      <c r="F895" s="8"/>
      <c r="G895" s="8"/>
      <c r="H895" s="8"/>
      <c r="I895" s="8"/>
    </row>
    <row r="896" customFormat="false" ht="15" hidden="false" customHeight="false" outlineLevel="0" collapsed="false">
      <c r="A896" s="4"/>
      <c r="B896" s="4"/>
      <c r="C896" s="4"/>
      <c r="D896" s="8"/>
      <c r="E896" s="8"/>
      <c r="F896" s="8"/>
      <c r="G896" s="8"/>
      <c r="H896" s="8"/>
      <c r="I896" s="8"/>
    </row>
    <row r="897" customFormat="false" ht="15" hidden="false" customHeight="false" outlineLevel="0" collapsed="false">
      <c r="A897" s="4"/>
      <c r="B897" s="4"/>
      <c r="C897" s="4"/>
      <c r="D897" s="8"/>
      <c r="E897" s="8"/>
      <c r="F897" s="8"/>
      <c r="G897" s="8"/>
      <c r="H897" s="8"/>
      <c r="I897" s="8"/>
    </row>
    <row r="898" customFormat="false" ht="15" hidden="false" customHeight="false" outlineLevel="0" collapsed="false">
      <c r="A898" s="4"/>
      <c r="B898" s="4"/>
      <c r="C898" s="4"/>
      <c r="D898" s="8"/>
      <c r="E898" s="8"/>
      <c r="F898" s="8"/>
      <c r="G898" s="8"/>
      <c r="H898" s="8"/>
      <c r="I898" s="8"/>
    </row>
    <row r="899" customFormat="false" ht="15" hidden="false" customHeight="false" outlineLevel="0" collapsed="false">
      <c r="A899" s="4"/>
      <c r="B899" s="4"/>
      <c r="C899" s="4"/>
      <c r="D899" s="8"/>
      <c r="E899" s="8"/>
      <c r="F899" s="8"/>
      <c r="G899" s="8"/>
      <c r="H899" s="8"/>
      <c r="I899" s="8"/>
    </row>
    <row r="900" customFormat="false" ht="15" hidden="false" customHeight="false" outlineLevel="0" collapsed="false">
      <c r="A900" s="4"/>
      <c r="B900" s="4"/>
      <c r="C900" s="4"/>
      <c r="D900" s="8"/>
      <c r="E900" s="8"/>
      <c r="F900" s="8"/>
      <c r="G900" s="8"/>
      <c r="H900" s="8"/>
      <c r="I900" s="8"/>
    </row>
    <row r="901" customFormat="false" ht="15" hidden="false" customHeight="false" outlineLevel="0" collapsed="false">
      <c r="A901" s="4"/>
      <c r="B901" s="4"/>
      <c r="C901" s="4"/>
      <c r="D901" s="8"/>
      <c r="E901" s="8"/>
      <c r="F901" s="8"/>
      <c r="G901" s="8"/>
      <c r="H901" s="8"/>
      <c r="I901" s="8"/>
    </row>
    <row r="902" customFormat="false" ht="15" hidden="false" customHeight="false" outlineLevel="0" collapsed="false">
      <c r="A902" s="4"/>
      <c r="B902" s="4"/>
      <c r="C902" s="4"/>
      <c r="D902" s="8"/>
      <c r="E902" s="8"/>
      <c r="F902" s="8"/>
      <c r="G902" s="8"/>
      <c r="H902" s="8"/>
      <c r="I902" s="8"/>
    </row>
    <row r="903" customFormat="false" ht="15" hidden="false" customHeight="false" outlineLevel="0" collapsed="false">
      <c r="A903" s="4"/>
      <c r="B903" s="4"/>
      <c r="C903" s="4"/>
      <c r="D903" s="8"/>
      <c r="E903" s="8"/>
      <c r="F903" s="8"/>
      <c r="G903" s="8"/>
      <c r="H903" s="8"/>
      <c r="I903" s="8"/>
    </row>
    <row r="904" customFormat="false" ht="15" hidden="false" customHeight="false" outlineLevel="0" collapsed="false">
      <c r="A904" s="4"/>
      <c r="B904" s="4"/>
      <c r="C904" s="4"/>
      <c r="D904" s="8"/>
      <c r="E904" s="8"/>
      <c r="F904" s="8"/>
      <c r="G904" s="8"/>
      <c r="H904" s="8"/>
      <c r="I904" s="8"/>
    </row>
    <row r="905" customFormat="false" ht="15" hidden="false" customHeight="false" outlineLevel="0" collapsed="false">
      <c r="A905" s="4"/>
      <c r="B905" s="4"/>
      <c r="C905" s="4"/>
      <c r="D905" s="8"/>
      <c r="E905" s="8"/>
      <c r="F905" s="8"/>
      <c r="G905" s="8"/>
      <c r="H905" s="8"/>
      <c r="I905" s="8"/>
    </row>
    <row r="906" customFormat="false" ht="15" hidden="false" customHeight="false" outlineLevel="0" collapsed="false">
      <c r="A906" s="4"/>
      <c r="B906" s="4"/>
      <c r="C906" s="4"/>
      <c r="D906" s="8"/>
      <c r="E906" s="8"/>
      <c r="F906" s="8"/>
      <c r="G906" s="8"/>
      <c r="H906" s="8"/>
      <c r="I906" s="8"/>
    </row>
    <row r="907" customFormat="false" ht="15" hidden="false" customHeight="false" outlineLevel="0" collapsed="false">
      <c r="A907" s="4"/>
      <c r="B907" s="4"/>
      <c r="C907" s="4"/>
      <c r="D907" s="8"/>
      <c r="E907" s="8"/>
      <c r="F907" s="8"/>
      <c r="G907" s="8"/>
      <c r="H907" s="8"/>
      <c r="I907" s="8"/>
    </row>
    <row r="908" customFormat="false" ht="15" hidden="false" customHeight="false" outlineLevel="0" collapsed="false">
      <c r="A908" s="4"/>
      <c r="B908" s="4"/>
      <c r="C908" s="4"/>
      <c r="D908" s="8"/>
      <c r="E908" s="8"/>
      <c r="F908" s="8"/>
      <c r="G908" s="8"/>
      <c r="H908" s="8"/>
      <c r="I908" s="8"/>
    </row>
    <row r="909" customFormat="false" ht="15" hidden="false" customHeight="false" outlineLevel="0" collapsed="false">
      <c r="A909" s="4"/>
      <c r="B909" s="4"/>
      <c r="C909" s="4"/>
      <c r="D909" s="8"/>
      <c r="E909" s="8"/>
      <c r="F909" s="8"/>
      <c r="G909" s="8"/>
      <c r="H909" s="8"/>
      <c r="I909" s="8"/>
    </row>
    <row r="910" customFormat="false" ht="15" hidden="false" customHeight="false" outlineLevel="0" collapsed="false">
      <c r="A910" s="4"/>
      <c r="B910" s="4"/>
      <c r="C910" s="4"/>
      <c r="D910" s="8"/>
      <c r="E910" s="8"/>
      <c r="F910" s="8"/>
      <c r="G910" s="8"/>
      <c r="H910" s="8"/>
      <c r="I910" s="8"/>
    </row>
    <row r="911" customFormat="false" ht="15" hidden="false" customHeight="false" outlineLevel="0" collapsed="false">
      <c r="A911" s="4"/>
      <c r="B911" s="4"/>
      <c r="C911" s="4"/>
      <c r="D911" s="8"/>
      <c r="E911" s="8"/>
      <c r="F911" s="8"/>
      <c r="G911" s="8"/>
      <c r="H911" s="8"/>
      <c r="I911" s="8"/>
    </row>
    <row r="912" customFormat="false" ht="15" hidden="false" customHeight="false" outlineLevel="0" collapsed="false">
      <c r="A912" s="4"/>
      <c r="B912" s="4"/>
      <c r="C912" s="4"/>
      <c r="D912" s="8"/>
      <c r="E912" s="8"/>
      <c r="F912" s="8"/>
      <c r="G912" s="8"/>
      <c r="H912" s="8"/>
      <c r="I912" s="8"/>
    </row>
    <row r="913" customFormat="false" ht="15" hidden="false" customHeight="false" outlineLevel="0" collapsed="false">
      <c r="A913" s="4"/>
      <c r="B913" s="4"/>
      <c r="C913" s="4"/>
      <c r="D913" s="8"/>
      <c r="E913" s="8"/>
      <c r="F913" s="8"/>
      <c r="G913" s="8"/>
      <c r="H913" s="8"/>
      <c r="I913" s="8"/>
    </row>
    <row r="914" customFormat="false" ht="15" hidden="false" customHeight="false" outlineLevel="0" collapsed="false">
      <c r="A914" s="4"/>
      <c r="B914" s="4"/>
      <c r="C914" s="4"/>
      <c r="D914" s="8"/>
      <c r="E914" s="8"/>
      <c r="F914" s="8"/>
      <c r="G914" s="8"/>
      <c r="H914" s="8"/>
      <c r="I914" s="8"/>
    </row>
    <row r="915" customFormat="false" ht="15" hidden="false" customHeight="false" outlineLevel="0" collapsed="false">
      <c r="A915" s="4"/>
      <c r="B915" s="4"/>
      <c r="C915" s="4"/>
      <c r="D915" s="8"/>
      <c r="E915" s="8"/>
      <c r="F915" s="8"/>
      <c r="G915" s="8"/>
      <c r="H915" s="8"/>
      <c r="I915" s="8"/>
    </row>
    <row r="916" customFormat="false" ht="15" hidden="false" customHeight="false" outlineLevel="0" collapsed="false">
      <c r="A916" s="4"/>
      <c r="B916" s="4"/>
      <c r="C916" s="4"/>
      <c r="D916" s="8"/>
      <c r="E916" s="8"/>
      <c r="F916" s="8"/>
      <c r="G916" s="8"/>
      <c r="H916" s="8"/>
      <c r="I916" s="8"/>
    </row>
    <row r="917" customFormat="false" ht="15" hidden="false" customHeight="false" outlineLevel="0" collapsed="false">
      <c r="A917" s="4"/>
      <c r="B917" s="4"/>
      <c r="C917" s="4"/>
      <c r="D917" s="8"/>
      <c r="E917" s="8"/>
      <c r="F917" s="8"/>
      <c r="G917" s="8"/>
      <c r="H917" s="8"/>
      <c r="I917" s="8"/>
    </row>
    <row r="918" customFormat="false" ht="15" hidden="false" customHeight="false" outlineLevel="0" collapsed="false">
      <c r="A918" s="4"/>
      <c r="B918" s="4"/>
      <c r="C918" s="4"/>
      <c r="D918" s="8"/>
      <c r="E918" s="8"/>
      <c r="F918" s="8"/>
      <c r="G918" s="8"/>
      <c r="H918" s="8"/>
      <c r="I918" s="8"/>
    </row>
    <row r="919" customFormat="false" ht="15" hidden="false" customHeight="false" outlineLevel="0" collapsed="false">
      <c r="A919" s="4"/>
      <c r="B919" s="4"/>
      <c r="C919" s="4"/>
      <c r="D919" s="8"/>
      <c r="E919" s="8"/>
      <c r="F919" s="8"/>
      <c r="G919" s="8"/>
      <c r="H919" s="8"/>
      <c r="I919" s="8"/>
    </row>
    <row r="920" customFormat="false" ht="15" hidden="false" customHeight="false" outlineLevel="0" collapsed="false">
      <c r="A920" s="4"/>
      <c r="B920" s="4"/>
      <c r="C920" s="4"/>
      <c r="D920" s="8"/>
      <c r="E920" s="8"/>
      <c r="F920" s="8"/>
      <c r="G920" s="8"/>
      <c r="H920" s="8"/>
      <c r="I920" s="8"/>
    </row>
    <row r="921" customFormat="false" ht="15" hidden="false" customHeight="false" outlineLevel="0" collapsed="false">
      <c r="A921" s="4"/>
      <c r="B921" s="4"/>
      <c r="C921" s="4"/>
      <c r="D921" s="8"/>
      <c r="E921" s="8"/>
      <c r="F921" s="8"/>
      <c r="G921" s="8"/>
      <c r="H921" s="8"/>
      <c r="I921" s="8"/>
    </row>
    <row r="922" customFormat="false" ht="15" hidden="false" customHeight="false" outlineLevel="0" collapsed="false">
      <c r="A922" s="4"/>
      <c r="B922" s="4"/>
      <c r="C922" s="4"/>
      <c r="D922" s="8"/>
      <c r="E922" s="8"/>
      <c r="F922" s="8"/>
      <c r="G922" s="8"/>
      <c r="H922" s="8"/>
      <c r="I922" s="8"/>
    </row>
    <row r="923" customFormat="false" ht="15" hidden="false" customHeight="false" outlineLevel="0" collapsed="false">
      <c r="A923" s="4"/>
      <c r="B923" s="4"/>
      <c r="C923" s="4"/>
      <c r="D923" s="8"/>
      <c r="E923" s="8"/>
      <c r="F923" s="8"/>
      <c r="G923" s="8"/>
      <c r="H923" s="8"/>
      <c r="I923" s="8"/>
    </row>
    <row r="924" customFormat="false" ht="15" hidden="false" customHeight="false" outlineLevel="0" collapsed="false">
      <c r="A924" s="4"/>
      <c r="B924" s="4"/>
      <c r="C924" s="4"/>
      <c r="D924" s="8"/>
      <c r="E924" s="8"/>
      <c r="F924" s="8"/>
      <c r="G924" s="8"/>
      <c r="H924" s="8"/>
      <c r="I924" s="8"/>
    </row>
    <row r="925" customFormat="false" ht="15" hidden="false" customHeight="false" outlineLevel="0" collapsed="false">
      <c r="A925" s="4"/>
      <c r="B925" s="4"/>
      <c r="C925" s="4"/>
      <c r="D925" s="8"/>
      <c r="E925" s="8"/>
      <c r="F925" s="8"/>
      <c r="G925" s="8"/>
      <c r="H925" s="8"/>
      <c r="I925" s="8"/>
    </row>
    <row r="926" customFormat="false" ht="15" hidden="false" customHeight="false" outlineLevel="0" collapsed="false">
      <c r="A926" s="4"/>
      <c r="B926" s="4"/>
      <c r="C926" s="4"/>
      <c r="D926" s="8"/>
      <c r="E926" s="8"/>
      <c r="F926" s="8"/>
      <c r="G926" s="8"/>
      <c r="H926" s="8"/>
      <c r="I926" s="8"/>
    </row>
    <row r="927" customFormat="false" ht="15" hidden="false" customHeight="false" outlineLevel="0" collapsed="false">
      <c r="A927" s="4"/>
      <c r="B927" s="4"/>
      <c r="C927" s="4"/>
      <c r="D927" s="8"/>
      <c r="E927" s="8"/>
      <c r="F927" s="8"/>
      <c r="G927" s="8"/>
      <c r="H927" s="8"/>
      <c r="I927" s="8"/>
    </row>
    <row r="928" customFormat="false" ht="15" hidden="false" customHeight="false" outlineLevel="0" collapsed="false">
      <c r="A928" s="4"/>
      <c r="B928" s="4"/>
      <c r="C928" s="4"/>
      <c r="D928" s="8"/>
      <c r="E928" s="8"/>
      <c r="F928" s="8"/>
      <c r="G928" s="8"/>
      <c r="H928" s="8"/>
      <c r="I928" s="8"/>
    </row>
    <row r="929" customFormat="false" ht="15" hidden="false" customHeight="false" outlineLevel="0" collapsed="false">
      <c r="A929" s="4"/>
      <c r="B929" s="4"/>
      <c r="C929" s="4"/>
      <c r="D929" s="8"/>
      <c r="E929" s="8"/>
      <c r="F929" s="8"/>
      <c r="G929" s="8"/>
      <c r="H929" s="8"/>
      <c r="I929" s="8"/>
    </row>
    <row r="930" customFormat="false" ht="15" hidden="false" customHeight="false" outlineLevel="0" collapsed="false">
      <c r="A930" s="4"/>
      <c r="B930" s="4"/>
      <c r="C930" s="4"/>
      <c r="D930" s="8"/>
      <c r="E930" s="8"/>
      <c r="F930" s="8"/>
      <c r="G930" s="8"/>
      <c r="H930" s="8"/>
      <c r="I930" s="8"/>
    </row>
    <row r="931" customFormat="false" ht="15" hidden="false" customHeight="false" outlineLevel="0" collapsed="false">
      <c r="A931" s="4"/>
      <c r="B931" s="4"/>
      <c r="C931" s="4"/>
      <c r="D931" s="8"/>
      <c r="E931" s="8"/>
      <c r="F931" s="8"/>
      <c r="G931" s="8"/>
      <c r="H931" s="8"/>
      <c r="I931" s="8"/>
    </row>
    <row r="932" customFormat="false" ht="15" hidden="false" customHeight="false" outlineLevel="0" collapsed="false">
      <c r="A932" s="4"/>
      <c r="B932" s="4"/>
      <c r="C932" s="4"/>
      <c r="D932" s="8"/>
      <c r="E932" s="8"/>
      <c r="F932" s="8"/>
      <c r="G932" s="8"/>
      <c r="H932" s="8"/>
      <c r="I932" s="8"/>
    </row>
    <row r="933" customFormat="false" ht="15" hidden="false" customHeight="false" outlineLevel="0" collapsed="false">
      <c r="A933" s="4"/>
      <c r="B933" s="4"/>
      <c r="C933" s="4"/>
      <c r="D933" s="8"/>
      <c r="E933" s="8"/>
      <c r="F933" s="8"/>
      <c r="G933" s="8"/>
      <c r="H933" s="8"/>
      <c r="I933" s="8"/>
    </row>
    <row r="934" customFormat="false" ht="15" hidden="false" customHeight="false" outlineLevel="0" collapsed="false">
      <c r="A934" s="4"/>
      <c r="B934" s="4"/>
      <c r="C934" s="4"/>
      <c r="D934" s="8"/>
      <c r="E934" s="8"/>
      <c r="F934" s="8"/>
      <c r="G934" s="8"/>
      <c r="H934" s="8"/>
      <c r="I934" s="8"/>
    </row>
    <row r="935" customFormat="false" ht="15" hidden="false" customHeight="false" outlineLevel="0" collapsed="false">
      <c r="A935" s="4"/>
      <c r="B935" s="4"/>
      <c r="C935" s="4"/>
      <c r="D935" s="8"/>
      <c r="E935" s="8"/>
      <c r="F935" s="8"/>
      <c r="G935" s="8"/>
      <c r="H935" s="8"/>
      <c r="I935" s="8"/>
    </row>
    <row r="936" customFormat="false" ht="15" hidden="false" customHeight="false" outlineLevel="0" collapsed="false">
      <c r="A936" s="4"/>
      <c r="B936" s="4"/>
      <c r="C936" s="4"/>
      <c r="D936" s="8"/>
      <c r="E936" s="8"/>
      <c r="F936" s="8"/>
      <c r="G936" s="8"/>
      <c r="H936" s="8"/>
      <c r="I936" s="8"/>
    </row>
    <row r="937" customFormat="false" ht="15" hidden="false" customHeight="false" outlineLevel="0" collapsed="false">
      <c r="A937" s="4"/>
      <c r="B937" s="4"/>
      <c r="C937" s="4"/>
      <c r="D937" s="8"/>
      <c r="E937" s="8"/>
      <c r="F937" s="8"/>
      <c r="G937" s="8"/>
      <c r="H937" s="8"/>
      <c r="I937" s="8"/>
    </row>
    <row r="938" customFormat="false" ht="15" hidden="false" customHeight="false" outlineLevel="0" collapsed="false">
      <c r="A938" s="4"/>
      <c r="B938" s="4"/>
      <c r="C938" s="4"/>
      <c r="D938" s="8"/>
      <c r="E938" s="8"/>
      <c r="F938" s="8"/>
      <c r="G938" s="8"/>
      <c r="H938" s="8"/>
      <c r="I938" s="8"/>
    </row>
    <row r="939" customFormat="false" ht="15" hidden="false" customHeight="false" outlineLevel="0" collapsed="false">
      <c r="A939" s="4"/>
      <c r="B939" s="4"/>
      <c r="C939" s="4"/>
      <c r="D939" s="8"/>
      <c r="E939" s="8"/>
      <c r="F939" s="8"/>
      <c r="G939" s="8"/>
      <c r="H939" s="8"/>
      <c r="I939" s="8"/>
    </row>
    <row r="940" customFormat="false" ht="15" hidden="false" customHeight="false" outlineLevel="0" collapsed="false">
      <c r="A940" s="4"/>
      <c r="B940" s="4"/>
      <c r="C940" s="4"/>
      <c r="D940" s="8"/>
      <c r="E940" s="8"/>
      <c r="F940" s="8"/>
      <c r="G940" s="8"/>
      <c r="H940" s="8"/>
      <c r="I940" s="8"/>
    </row>
    <row r="941" customFormat="false" ht="15" hidden="false" customHeight="false" outlineLevel="0" collapsed="false">
      <c r="A941" s="4"/>
      <c r="B941" s="4"/>
      <c r="C941" s="4"/>
      <c r="D941" s="8"/>
      <c r="E941" s="8"/>
      <c r="F941" s="8"/>
      <c r="G941" s="8"/>
      <c r="H941" s="8"/>
      <c r="I941" s="8"/>
    </row>
    <row r="942" customFormat="false" ht="15" hidden="false" customHeight="false" outlineLevel="0" collapsed="false">
      <c r="A942" s="4"/>
      <c r="B942" s="4"/>
      <c r="C942" s="4"/>
      <c r="D942" s="8"/>
      <c r="E942" s="8"/>
      <c r="F942" s="8"/>
      <c r="G942" s="8"/>
      <c r="H942" s="8"/>
      <c r="I942" s="8"/>
    </row>
    <row r="943" customFormat="false" ht="15" hidden="false" customHeight="false" outlineLevel="0" collapsed="false">
      <c r="A943" s="4"/>
      <c r="B943" s="4"/>
      <c r="C943" s="4"/>
      <c r="D943" s="8"/>
      <c r="E943" s="8"/>
      <c r="F943" s="8"/>
      <c r="G943" s="8"/>
      <c r="H943" s="8"/>
      <c r="I943" s="8"/>
    </row>
    <row r="944" customFormat="false" ht="15" hidden="false" customHeight="false" outlineLevel="0" collapsed="false">
      <c r="A944" s="4"/>
      <c r="B944" s="4"/>
      <c r="C944" s="4"/>
      <c r="D944" s="8"/>
      <c r="E944" s="8"/>
      <c r="F944" s="8"/>
      <c r="G944" s="8"/>
      <c r="H944" s="8"/>
      <c r="I944" s="8"/>
    </row>
    <row r="945" customFormat="false" ht="15" hidden="false" customHeight="false" outlineLevel="0" collapsed="false">
      <c r="A945" s="4"/>
      <c r="B945" s="4"/>
      <c r="C945" s="4"/>
      <c r="D945" s="8"/>
      <c r="E945" s="8"/>
      <c r="F945" s="8"/>
      <c r="G945" s="8"/>
      <c r="H945" s="8"/>
      <c r="I945" s="8"/>
    </row>
    <row r="946" customFormat="false" ht="15" hidden="false" customHeight="false" outlineLevel="0" collapsed="false">
      <c r="A946" s="4"/>
      <c r="B946" s="4"/>
      <c r="C946" s="4"/>
      <c r="D946" s="8"/>
      <c r="E946" s="8"/>
      <c r="F946" s="8"/>
      <c r="G946" s="8"/>
      <c r="H946" s="8"/>
      <c r="I946" s="8"/>
    </row>
    <row r="947" customFormat="false" ht="15" hidden="false" customHeight="false" outlineLevel="0" collapsed="false">
      <c r="A947" s="4"/>
      <c r="B947" s="4"/>
      <c r="C947" s="4"/>
      <c r="D947" s="8"/>
      <c r="E947" s="8"/>
      <c r="F947" s="8"/>
      <c r="G947" s="8"/>
      <c r="H947" s="8"/>
      <c r="I947" s="8"/>
    </row>
    <row r="948" customFormat="false" ht="15" hidden="false" customHeight="false" outlineLevel="0" collapsed="false">
      <c r="A948" s="4"/>
      <c r="B948" s="4"/>
      <c r="C948" s="4"/>
      <c r="D948" s="8"/>
      <c r="E948" s="8"/>
      <c r="F948" s="8"/>
      <c r="G948" s="8"/>
      <c r="H948" s="8"/>
      <c r="I948" s="8"/>
    </row>
    <row r="949" customFormat="false" ht="15" hidden="false" customHeight="false" outlineLevel="0" collapsed="false">
      <c r="A949" s="4"/>
      <c r="B949" s="4"/>
      <c r="C949" s="4"/>
      <c r="D949" s="8"/>
      <c r="E949" s="8"/>
      <c r="F949" s="8"/>
      <c r="G949" s="8"/>
      <c r="H949" s="8"/>
      <c r="I949" s="8"/>
    </row>
    <row r="950" customFormat="false" ht="15" hidden="false" customHeight="false" outlineLevel="0" collapsed="false">
      <c r="A950" s="4"/>
      <c r="B950" s="4"/>
      <c r="C950" s="4"/>
      <c r="D950" s="8"/>
      <c r="E950" s="8"/>
      <c r="F950" s="8"/>
      <c r="G950" s="8"/>
      <c r="H950" s="8"/>
      <c r="I950" s="8"/>
    </row>
    <row r="951" customFormat="false" ht="15" hidden="false" customHeight="false" outlineLevel="0" collapsed="false">
      <c r="A951" s="4"/>
      <c r="B951" s="4"/>
      <c r="C951" s="4"/>
      <c r="D951" s="8"/>
      <c r="E951" s="8"/>
      <c r="F951" s="8"/>
      <c r="G951" s="8"/>
      <c r="H951" s="8"/>
      <c r="I951" s="8"/>
    </row>
    <row r="952" customFormat="false" ht="15" hidden="false" customHeight="false" outlineLevel="0" collapsed="false">
      <c r="A952" s="4"/>
      <c r="B952" s="4"/>
      <c r="C952" s="4"/>
      <c r="D952" s="8"/>
      <c r="E952" s="8"/>
      <c r="F952" s="8"/>
      <c r="G952" s="8"/>
      <c r="H952" s="8"/>
      <c r="I952" s="8"/>
    </row>
    <row r="953" customFormat="false" ht="15" hidden="false" customHeight="false" outlineLevel="0" collapsed="false">
      <c r="A953" s="4"/>
      <c r="B953" s="4"/>
      <c r="C953" s="4"/>
      <c r="D953" s="8"/>
      <c r="E953" s="8"/>
      <c r="F953" s="8"/>
      <c r="G953" s="8"/>
      <c r="H953" s="8"/>
      <c r="I953" s="8"/>
    </row>
    <row r="954" customFormat="false" ht="15" hidden="false" customHeight="false" outlineLevel="0" collapsed="false">
      <c r="A954" s="4"/>
      <c r="B954" s="4"/>
      <c r="C954" s="4"/>
      <c r="D954" s="8"/>
      <c r="E954" s="8"/>
      <c r="F954" s="8"/>
      <c r="G954" s="8"/>
      <c r="H954" s="8"/>
      <c r="I954" s="8"/>
    </row>
    <row r="955" customFormat="false" ht="15" hidden="false" customHeight="false" outlineLevel="0" collapsed="false">
      <c r="A955" s="4"/>
      <c r="B955" s="4"/>
      <c r="C955" s="4"/>
      <c r="D955" s="8"/>
      <c r="E955" s="8"/>
      <c r="F955" s="8"/>
      <c r="G955" s="8"/>
      <c r="H955" s="8"/>
      <c r="I955" s="8"/>
    </row>
    <row r="956" customFormat="false" ht="15" hidden="false" customHeight="false" outlineLevel="0" collapsed="false">
      <c r="A956" s="4"/>
      <c r="B956" s="4"/>
      <c r="C956" s="4"/>
      <c r="D956" s="8"/>
      <c r="E956" s="8"/>
      <c r="F956" s="8"/>
      <c r="G956" s="8"/>
      <c r="H956" s="8"/>
      <c r="I956" s="8"/>
    </row>
    <row r="957" customFormat="false" ht="15" hidden="false" customHeight="false" outlineLevel="0" collapsed="false">
      <c r="A957" s="4"/>
      <c r="B957" s="4"/>
      <c r="C957" s="4"/>
      <c r="D957" s="8"/>
      <c r="E957" s="8"/>
      <c r="F957" s="8"/>
      <c r="G957" s="8"/>
      <c r="H957" s="8"/>
      <c r="I957" s="8"/>
    </row>
    <row r="958" customFormat="false" ht="15" hidden="false" customHeight="false" outlineLevel="0" collapsed="false">
      <c r="A958" s="4"/>
      <c r="B958" s="4"/>
      <c r="C958" s="4"/>
      <c r="D958" s="8"/>
      <c r="E958" s="8"/>
      <c r="F958" s="8"/>
      <c r="G958" s="8"/>
      <c r="H958" s="8"/>
      <c r="I958" s="8"/>
    </row>
    <row r="959" customFormat="false" ht="15" hidden="false" customHeight="false" outlineLevel="0" collapsed="false">
      <c r="A959" s="4"/>
      <c r="B959" s="4"/>
      <c r="C959" s="4"/>
      <c r="D959" s="8"/>
      <c r="E959" s="8"/>
      <c r="F959" s="8"/>
      <c r="G959" s="8"/>
      <c r="H959" s="8"/>
      <c r="I959" s="8"/>
    </row>
    <row r="960" customFormat="false" ht="15" hidden="false" customHeight="false" outlineLevel="0" collapsed="false">
      <c r="A960" s="4"/>
      <c r="B960" s="4"/>
      <c r="C960" s="4"/>
      <c r="D960" s="8"/>
      <c r="E960" s="8"/>
      <c r="F960" s="8"/>
      <c r="G960" s="8"/>
      <c r="H960" s="8"/>
      <c r="I960" s="8"/>
    </row>
    <row r="961" customFormat="false" ht="15" hidden="false" customHeight="false" outlineLevel="0" collapsed="false">
      <c r="A961" s="4"/>
      <c r="B961" s="4"/>
      <c r="C961" s="4"/>
      <c r="D961" s="8"/>
      <c r="E961" s="8"/>
      <c r="F961" s="8"/>
      <c r="G961" s="8"/>
      <c r="H961" s="8"/>
      <c r="I961" s="8"/>
    </row>
    <row r="962" customFormat="false" ht="15" hidden="false" customHeight="false" outlineLevel="0" collapsed="false">
      <c r="A962" s="4"/>
      <c r="B962" s="4"/>
      <c r="C962" s="4"/>
      <c r="D962" s="8"/>
      <c r="E962" s="8"/>
      <c r="F962" s="8"/>
      <c r="G962" s="8"/>
      <c r="H962" s="8"/>
      <c r="I962" s="8"/>
    </row>
    <row r="963" customFormat="false" ht="15" hidden="false" customHeight="false" outlineLevel="0" collapsed="false">
      <c r="A963" s="4"/>
      <c r="B963" s="4"/>
      <c r="C963" s="4"/>
      <c r="D963" s="8"/>
      <c r="E963" s="8"/>
      <c r="F963" s="8"/>
      <c r="G963" s="8"/>
      <c r="H963" s="8"/>
      <c r="I963" s="8"/>
    </row>
    <row r="964" customFormat="false" ht="15" hidden="false" customHeight="false" outlineLevel="0" collapsed="false">
      <c r="A964" s="4"/>
      <c r="B964" s="4"/>
      <c r="C964" s="4"/>
      <c r="D964" s="8"/>
      <c r="E964" s="8"/>
      <c r="F964" s="8"/>
      <c r="G964" s="8"/>
      <c r="H964" s="8"/>
      <c r="I964" s="8"/>
    </row>
    <row r="965" customFormat="false" ht="15" hidden="false" customHeight="false" outlineLevel="0" collapsed="false">
      <c r="A965" s="4"/>
      <c r="B965" s="4"/>
      <c r="C965" s="4"/>
      <c r="D965" s="8"/>
      <c r="E965" s="8"/>
      <c r="F965" s="8"/>
      <c r="G965" s="8"/>
      <c r="H965" s="8"/>
      <c r="I965" s="8"/>
    </row>
    <row r="966" customFormat="false" ht="15" hidden="false" customHeight="false" outlineLevel="0" collapsed="false">
      <c r="A966" s="4"/>
      <c r="B966" s="4"/>
      <c r="C966" s="4"/>
      <c r="D966" s="8"/>
      <c r="E966" s="8"/>
      <c r="F966" s="8"/>
      <c r="G966" s="8"/>
      <c r="H966" s="8"/>
      <c r="I966" s="8"/>
    </row>
    <row r="967" customFormat="false" ht="15" hidden="false" customHeight="false" outlineLevel="0" collapsed="false">
      <c r="A967" s="4"/>
      <c r="B967" s="4"/>
      <c r="C967" s="4"/>
      <c r="D967" s="8"/>
      <c r="E967" s="8"/>
      <c r="F967" s="8"/>
      <c r="G967" s="8"/>
      <c r="H967" s="8"/>
      <c r="I967" s="8"/>
    </row>
    <row r="968" customFormat="false" ht="15" hidden="false" customHeight="false" outlineLevel="0" collapsed="false">
      <c r="A968" s="4"/>
      <c r="B968" s="4"/>
      <c r="C968" s="4"/>
      <c r="D968" s="8"/>
      <c r="E968" s="8"/>
      <c r="F968" s="8"/>
      <c r="G968" s="8"/>
      <c r="H968" s="8"/>
      <c r="I968" s="8"/>
    </row>
    <row r="969" customFormat="false" ht="15" hidden="false" customHeight="false" outlineLevel="0" collapsed="false">
      <c r="A969" s="4"/>
      <c r="B969" s="4"/>
      <c r="C969" s="4"/>
      <c r="D969" s="8"/>
      <c r="E969" s="8"/>
      <c r="F969" s="8"/>
      <c r="G969" s="8"/>
      <c r="H969" s="8"/>
      <c r="I969" s="8"/>
    </row>
    <row r="970" customFormat="false" ht="15" hidden="false" customHeight="false" outlineLevel="0" collapsed="false">
      <c r="A970" s="4"/>
      <c r="B970" s="4"/>
      <c r="C970" s="4"/>
      <c r="D970" s="8"/>
      <c r="E970" s="8"/>
      <c r="F970" s="8"/>
      <c r="G970" s="8"/>
      <c r="H970" s="8"/>
      <c r="I970" s="8"/>
    </row>
    <row r="971" customFormat="false" ht="15" hidden="false" customHeight="false" outlineLevel="0" collapsed="false">
      <c r="A971" s="4"/>
      <c r="B971" s="4"/>
      <c r="C971" s="4"/>
      <c r="D971" s="8"/>
      <c r="E971" s="8"/>
      <c r="F971" s="8"/>
      <c r="G971" s="8"/>
      <c r="H971" s="8"/>
      <c r="I971" s="8"/>
    </row>
    <row r="972" customFormat="false" ht="15" hidden="false" customHeight="false" outlineLevel="0" collapsed="false">
      <c r="A972" s="4"/>
      <c r="B972" s="4"/>
      <c r="C972" s="4"/>
      <c r="D972" s="8"/>
      <c r="E972" s="8"/>
      <c r="F972" s="8"/>
      <c r="G972" s="8"/>
      <c r="H972" s="8"/>
      <c r="I972" s="8"/>
    </row>
    <row r="973" customFormat="false" ht="15" hidden="false" customHeight="false" outlineLevel="0" collapsed="false">
      <c r="A973" s="4"/>
      <c r="B973" s="4"/>
      <c r="C973" s="4"/>
      <c r="D973" s="8"/>
      <c r="E973" s="8"/>
      <c r="F973" s="8"/>
      <c r="G973" s="8"/>
      <c r="H973" s="8"/>
      <c r="I973" s="8"/>
    </row>
    <row r="974" customFormat="false" ht="15" hidden="false" customHeight="false" outlineLevel="0" collapsed="false">
      <c r="A974" s="4"/>
      <c r="B974" s="4"/>
      <c r="C974" s="4"/>
      <c r="D974" s="8"/>
      <c r="E974" s="8"/>
      <c r="F974" s="8"/>
      <c r="G974" s="8"/>
      <c r="H974" s="8"/>
      <c r="I974" s="8"/>
    </row>
    <row r="975" customFormat="false" ht="15" hidden="false" customHeight="false" outlineLevel="0" collapsed="false">
      <c r="A975" s="4"/>
      <c r="B975" s="4"/>
      <c r="C975" s="4"/>
      <c r="D975" s="8"/>
      <c r="E975" s="8"/>
      <c r="F975" s="8"/>
      <c r="G975" s="8"/>
      <c r="H975" s="8"/>
      <c r="I975" s="8"/>
    </row>
    <row r="976" customFormat="false" ht="15" hidden="false" customHeight="false" outlineLevel="0" collapsed="false">
      <c r="A976" s="4"/>
      <c r="B976" s="4"/>
      <c r="C976" s="4"/>
      <c r="D976" s="8"/>
      <c r="E976" s="8"/>
      <c r="F976" s="8"/>
      <c r="G976" s="8"/>
      <c r="H976" s="8"/>
      <c r="I976" s="8"/>
    </row>
    <row r="977" customFormat="false" ht="15" hidden="false" customHeight="false" outlineLevel="0" collapsed="false">
      <c r="A977" s="4"/>
      <c r="B977" s="4"/>
      <c r="C977" s="4"/>
      <c r="D977" s="8"/>
      <c r="E977" s="8"/>
      <c r="F977" s="8"/>
      <c r="G977" s="8"/>
      <c r="H977" s="8"/>
      <c r="I977" s="8"/>
    </row>
    <row r="978" customFormat="false" ht="15" hidden="false" customHeight="false" outlineLevel="0" collapsed="false">
      <c r="A978" s="4"/>
      <c r="B978" s="4"/>
      <c r="C978" s="4"/>
      <c r="D978" s="8"/>
      <c r="E978" s="8"/>
      <c r="F978" s="8"/>
      <c r="G978" s="8"/>
      <c r="H978" s="8"/>
      <c r="I978" s="8"/>
    </row>
    <row r="979" customFormat="false" ht="15" hidden="false" customHeight="false" outlineLevel="0" collapsed="false">
      <c r="A979" s="4"/>
      <c r="B979" s="4"/>
      <c r="C979" s="4"/>
      <c r="D979" s="8"/>
      <c r="E979" s="8"/>
      <c r="F979" s="8"/>
      <c r="G979" s="8"/>
      <c r="H979" s="8"/>
      <c r="I979" s="8"/>
    </row>
    <row r="980" customFormat="false" ht="15" hidden="false" customHeight="false" outlineLevel="0" collapsed="false">
      <c r="A980" s="4"/>
      <c r="B980" s="4"/>
      <c r="C980" s="4"/>
      <c r="D980" s="8"/>
      <c r="E980" s="8"/>
      <c r="F980" s="8"/>
      <c r="G980" s="8"/>
      <c r="H980" s="8"/>
      <c r="I980" s="8"/>
    </row>
    <row r="981" customFormat="false" ht="15" hidden="false" customHeight="false" outlineLevel="0" collapsed="false">
      <c r="A981" s="4"/>
      <c r="B981" s="4"/>
      <c r="C981" s="4"/>
      <c r="D981" s="8"/>
      <c r="E981" s="8"/>
      <c r="F981" s="8"/>
      <c r="G981" s="8"/>
      <c r="H981" s="8"/>
      <c r="I981" s="8"/>
    </row>
    <row r="982" customFormat="false" ht="15" hidden="false" customHeight="false" outlineLevel="0" collapsed="false">
      <c r="A982" s="4"/>
      <c r="B982" s="4"/>
      <c r="C982" s="4"/>
      <c r="D982" s="8"/>
      <c r="E982" s="8"/>
      <c r="F982" s="8"/>
      <c r="G982" s="8"/>
      <c r="H982" s="8"/>
      <c r="I982" s="8"/>
    </row>
    <row r="983" customFormat="false" ht="15" hidden="false" customHeight="false" outlineLevel="0" collapsed="false">
      <c r="A983" s="4"/>
      <c r="B983" s="4"/>
      <c r="C983" s="4"/>
      <c r="D983" s="8"/>
      <c r="E983" s="8"/>
      <c r="F983" s="8"/>
      <c r="G983" s="8"/>
      <c r="H983" s="8"/>
      <c r="I983" s="8"/>
    </row>
    <row r="984" customFormat="false" ht="15" hidden="false" customHeight="false" outlineLevel="0" collapsed="false">
      <c r="A984" s="4"/>
      <c r="B984" s="4"/>
      <c r="C984" s="4"/>
      <c r="D984" s="8"/>
      <c r="E984" s="8"/>
      <c r="F984" s="8"/>
      <c r="G984" s="8"/>
      <c r="H984" s="8"/>
      <c r="I984" s="8"/>
    </row>
    <row r="985" customFormat="false" ht="15" hidden="false" customHeight="false" outlineLevel="0" collapsed="false">
      <c r="A985" s="4"/>
      <c r="B985" s="4"/>
      <c r="C985" s="4"/>
      <c r="D985" s="8"/>
      <c r="E985" s="8"/>
      <c r="F985" s="8"/>
      <c r="G985" s="8"/>
      <c r="H985" s="8"/>
      <c r="I985" s="8"/>
    </row>
    <row r="986" customFormat="false" ht="15" hidden="false" customHeight="false" outlineLevel="0" collapsed="false">
      <c r="A986" s="4"/>
      <c r="B986" s="4"/>
      <c r="C986" s="4"/>
      <c r="D986" s="8"/>
      <c r="E986" s="8"/>
      <c r="F986" s="8"/>
      <c r="G986" s="8"/>
      <c r="H986" s="8"/>
      <c r="I986" s="8"/>
    </row>
    <row r="987" customFormat="false" ht="15" hidden="false" customHeight="false" outlineLevel="0" collapsed="false">
      <c r="A987" s="4"/>
      <c r="B987" s="4"/>
      <c r="C987" s="4"/>
      <c r="D987" s="8"/>
      <c r="E987" s="8"/>
      <c r="F987" s="8"/>
      <c r="G987" s="8"/>
      <c r="H987" s="8"/>
      <c r="I987" s="8"/>
    </row>
    <row r="988" customFormat="false" ht="15" hidden="false" customHeight="false" outlineLevel="0" collapsed="false">
      <c r="A988" s="4"/>
      <c r="B988" s="4"/>
      <c r="C988" s="4"/>
      <c r="D988" s="8"/>
      <c r="E988" s="8"/>
      <c r="F988" s="8"/>
      <c r="G988" s="8"/>
      <c r="H988" s="8"/>
      <c r="I988" s="8"/>
    </row>
    <row r="989" customFormat="false" ht="15" hidden="false" customHeight="false" outlineLevel="0" collapsed="false">
      <c r="A989" s="4"/>
      <c r="B989" s="4"/>
      <c r="C989" s="4"/>
      <c r="D989" s="8"/>
      <c r="E989" s="8"/>
      <c r="F989" s="8"/>
      <c r="G989" s="8"/>
      <c r="H989" s="8"/>
      <c r="I989" s="8"/>
    </row>
    <row r="990" customFormat="false" ht="15" hidden="false" customHeight="false" outlineLevel="0" collapsed="false">
      <c r="A990" s="4"/>
      <c r="B990" s="4"/>
      <c r="C990" s="4"/>
      <c r="D990" s="8"/>
      <c r="E990" s="8"/>
      <c r="F990" s="8"/>
      <c r="G990" s="8"/>
      <c r="H990" s="8"/>
      <c r="I990" s="8"/>
    </row>
    <row r="991" customFormat="false" ht="15" hidden="false" customHeight="false" outlineLevel="0" collapsed="false">
      <c r="A991" s="4"/>
      <c r="B991" s="4"/>
      <c r="C991" s="4"/>
      <c r="D991" s="8"/>
      <c r="E991" s="8"/>
      <c r="F991" s="8"/>
      <c r="G991" s="8"/>
      <c r="H991" s="8"/>
      <c r="I991" s="8"/>
    </row>
    <row r="992" customFormat="false" ht="15" hidden="false" customHeight="false" outlineLevel="0" collapsed="false">
      <c r="A992" s="4"/>
      <c r="B992" s="4"/>
      <c r="C992" s="4"/>
      <c r="D992" s="8"/>
      <c r="E992" s="8"/>
      <c r="F992" s="8"/>
      <c r="G992" s="8"/>
      <c r="H992" s="8"/>
      <c r="I992" s="8"/>
    </row>
    <row r="993" customFormat="false" ht="15" hidden="false" customHeight="false" outlineLevel="0" collapsed="false">
      <c r="A993" s="4"/>
      <c r="B993" s="4"/>
      <c r="C993" s="4"/>
      <c r="D993" s="8"/>
      <c r="E993" s="8"/>
      <c r="F993" s="8"/>
      <c r="G993" s="8"/>
      <c r="H993" s="8"/>
      <c r="I993" s="8"/>
    </row>
    <row r="994" customFormat="false" ht="15" hidden="false" customHeight="false" outlineLevel="0" collapsed="false">
      <c r="A994" s="4"/>
      <c r="B994" s="4"/>
      <c r="C994" s="4"/>
      <c r="D994" s="8"/>
      <c r="E994" s="8"/>
      <c r="F994" s="8"/>
      <c r="G994" s="8"/>
      <c r="H994" s="8"/>
      <c r="I994" s="8"/>
    </row>
    <row r="995" customFormat="false" ht="15" hidden="false" customHeight="false" outlineLevel="0" collapsed="false">
      <c r="A995" s="4"/>
      <c r="B995" s="4"/>
      <c r="C995" s="4"/>
      <c r="D995" s="8"/>
      <c r="E995" s="8"/>
      <c r="F995" s="8"/>
      <c r="G995" s="8"/>
      <c r="H995" s="8"/>
      <c r="I995" s="8"/>
    </row>
    <row r="996" customFormat="false" ht="15" hidden="false" customHeight="false" outlineLevel="0" collapsed="false">
      <c r="A996" s="4"/>
      <c r="B996" s="4"/>
      <c r="C996" s="4"/>
      <c r="D996" s="8"/>
      <c r="E996" s="8"/>
      <c r="F996" s="8"/>
      <c r="G996" s="8"/>
      <c r="H996" s="8"/>
      <c r="I996" s="8"/>
    </row>
    <row r="997" customFormat="false" ht="15" hidden="false" customHeight="false" outlineLevel="0" collapsed="false">
      <c r="A997" s="4"/>
      <c r="B997" s="4"/>
      <c r="C997" s="4"/>
      <c r="D997" s="8"/>
      <c r="E997" s="8"/>
      <c r="F997" s="8"/>
      <c r="G997" s="8"/>
      <c r="H997" s="8"/>
      <c r="I997" s="8"/>
    </row>
    <row r="998" customFormat="false" ht="15" hidden="false" customHeight="false" outlineLevel="0" collapsed="false">
      <c r="A998" s="4"/>
      <c r="B998" s="4"/>
      <c r="C998" s="4"/>
      <c r="D998" s="8"/>
      <c r="E998" s="8"/>
      <c r="F998" s="8"/>
      <c r="G998" s="8"/>
      <c r="H998" s="8"/>
      <c r="I998" s="8"/>
    </row>
    <row r="999" customFormat="false" ht="15" hidden="false" customHeight="false" outlineLevel="0" collapsed="false">
      <c r="A999" s="4"/>
      <c r="B999" s="4"/>
      <c r="C999" s="4"/>
      <c r="D999" s="8"/>
      <c r="E999" s="8"/>
      <c r="F999" s="8"/>
      <c r="G999" s="8"/>
      <c r="H999" s="8"/>
      <c r="I999" s="8"/>
    </row>
    <row r="1000" customFormat="false" ht="15" hidden="false" customHeight="false" outlineLevel="0" collapsed="false">
      <c r="A1000" s="4"/>
      <c r="B1000" s="4"/>
      <c r="C1000" s="4"/>
      <c r="D1000" s="8"/>
      <c r="E1000" s="8"/>
      <c r="F1000" s="8"/>
      <c r="G1000" s="8"/>
      <c r="H1000" s="8"/>
      <c r="I1000" s="8"/>
    </row>
    <row r="1001" customFormat="false" ht="15" hidden="false" customHeight="false" outlineLevel="0" collapsed="false">
      <c r="A1001" s="4"/>
      <c r="B1001" s="4"/>
      <c r="C1001" s="4"/>
      <c r="D1001" s="8"/>
      <c r="E1001" s="8"/>
      <c r="F1001" s="8"/>
      <c r="G1001" s="8"/>
      <c r="H1001" s="8"/>
      <c r="I1001" s="8"/>
    </row>
    <row r="1002" customFormat="false" ht="15" hidden="false" customHeight="false" outlineLevel="0" collapsed="false">
      <c r="A1002" s="4"/>
      <c r="B1002" s="4"/>
      <c r="C1002" s="4"/>
      <c r="D1002" s="8"/>
      <c r="E1002" s="8"/>
      <c r="F1002" s="8"/>
      <c r="G1002" s="8"/>
      <c r="H1002" s="8"/>
      <c r="I1002" s="8"/>
    </row>
    <row r="1003" customFormat="false" ht="15" hidden="false" customHeight="false" outlineLevel="0" collapsed="false">
      <c r="A1003" s="4"/>
      <c r="B1003" s="4"/>
      <c r="C1003" s="4"/>
      <c r="D1003" s="8"/>
      <c r="E1003" s="8"/>
      <c r="F1003" s="8"/>
      <c r="G1003" s="8"/>
      <c r="H1003" s="8"/>
      <c r="I1003" s="8"/>
    </row>
    <row r="1004" customFormat="false" ht="15" hidden="false" customHeight="false" outlineLevel="0" collapsed="false">
      <c r="A1004" s="4"/>
      <c r="B1004" s="4"/>
      <c r="C1004" s="4"/>
      <c r="D1004" s="8"/>
      <c r="E1004" s="8"/>
      <c r="F1004" s="8"/>
      <c r="G1004" s="8"/>
      <c r="H1004" s="8"/>
      <c r="I1004" s="8"/>
    </row>
    <row r="1005" customFormat="false" ht="15" hidden="false" customHeight="false" outlineLevel="0" collapsed="false">
      <c r="A1005" s="4"/>
      <c r="B1005" s="4"/>
      <c r="C1005" s="4"/>
      <c r="D1005" s="8"/>
      <c r="E1005" s="8"/>
      <c r="F1005" s="8"/>
      <c r="G1005" s="8"/>
      <c r="H1005" s="8"/>
      <c r="I1005" s="8"/>
    </row>
    <row r="1006" customFormat="false" ht="15" hidden="false" customHeight="false" outlineLevel="0" collapsed="false">
      <c r="A1006" s="4"/>
      <c r="B1006" s="4"/>
      <c r="C1006" s="4"/>
      <c r="D1006" s="8"/>
      <c r="E1006" s="8"/>
      <c r="F1006" s="8"/>
      <c r="G1006" s="8"/>
      <c r="H1006" s="8"/>
      <c r="I1006" s="8"/>
    </row>
    <row r="1007" customFormat="false" ht="15" hidden="false" customHeight="false" outlineLevel="0" collapsed="false">
      <c r="A1007" s="4"/>
      <c r="B1007" s="4"/>
      <c r="C1007" s="4"/>
      <c r="D1007" s="8"/>
      <c r="E1007" s="8"/>
      <c r="F1007" s="8"/>
      <c r="G1007" s="8"/>
      <c r="H1007" s="8"/>
      <c r="I1007" s="8"/>
    </row>
    <row r="1008" customFormat="false" ht="15" hidden="false" customHeight="false" outlineLevel="0" collapsed="false">
      <c r="A1008" s="4"/>
      <c r="B1008" s="4"/>
      <c r="C1008" s="4"/>
      <c r="D1008" s="8"/>
      <c r="E1008" s="8"/>
      <c r="F1008" s="8"/>
      <c r="G1008" s="8"/>
      <c r="H1008" s="8"/>
      <c r="I1008" s="8"/>
    </row>
    <row r="1009" customFormat="false" ht="15" hidden="false" customHeight="false" outlineLevel="0" collapsed="false">
      <c r="A1009" s="4"/>
      <c r="B1009" s="4"/>
      <c r="C1009" s="4"/>
      <c r="D1009" s="8"/>
      <c r="E1009" s="8"/>
      <c r="F1009" s="8"/>
      <c r="G1009" s="8"/>
      <c r="H1009" s="8"/>
      <c r="I1009" s="8"/>
    </row>
    <row r="1010" customFormat="false" ht="15" hidden="false" customHeight="false" outlineLevel="0" collapsed="false">
      <c r="A1010" s="4"/>
      <c r="B1010" s="4"/>
      <c r="C1010" s="4"/>
      <c r="D1010" s="8"/>
      <c r="E1010" s="8"/>
      <c r="F1010" s="8"/>
      <c r="G1010" s="8"/>
      <c r="H1010" s="8"/>
      <c r="I1010" s="8"/>
    </row>
    <row r="1011" customFormat="false" ht="15" hidden="false" customHeight="false" outlineLevel="0" collapsed="false">
      <c r="A1011" s="4"/>
      <c r="B1011" s="4"/>
      <c r="C1011" s="4"/>
      <c r="D1011" s="8"/>
      <c r="E1011" s="8"/>
      <c r="F1011" s="8"/>
      <c r="G1011" s="8"/>
      <c r="H1011" s="8"/>
      <c r="I1011" s="8"/>
    </row>
    <row r="1012" customFormat="false" ht="15" hidden="false" customHeight="false" outlineLevel="0" collapsed="false">
      <c r="A1012" s="4"/>
      <c r="B1012" s="4"/>
      <c r="C1012" s="4"/>
      <c r="D1012" s="8"/>
      <c r="E1012" s="8"/>
      <c r="F1012" s="8"/>
      <c r="G1012" s="8"/>
      <c r="H1012" s="8"/>
      <c r="I1012" s="8"/>
    </row>
    <row r="1013" customFormat="false" ht="15" hidden="false" customHeight="false" outlineLevel="0" collapsed="false">
      <c r="A1013" s="4"/>
      <c r="B1013" s="4"/>
      <c r="C1013" s="4"/>
      <c r="D1013" s="8"/>
      <c r="E1013" s="8"/>
      <c r="F1013" s="8"/>
      <c r="G1013" s="8"/>
      <c r="H1013" s="8"/>
      <c r="I1013" s="8"/>
    </row>
    <row r="1014" customFormat="false" ht="15" hidden="false" customHeight="false" outlineLevel="0" collapsed="false">
      <c r="A1014" s="4"/>
      <c r="B1014" s="4"/>
      <c r="C1014" s="4"/>
      <c r="D1014" s="8"/>
      <c r="E1014" s="8"/>
      <c r="F1014" s="8"/>
      <c r="G1014" s="8"/>
      <c r="H1014" s="8"/>
      <c r="I1014" s="8"/>
    </row>
    <row r="1015" customFormat="false" ht="15" hidden="false" customHeight="false" outlineLevel="0" collapsed="false">
      <c r="A1015" s="4"/>
      <c r="B1015" s="4"/>
      <c r="C1015" s="4"/>
      <c r="D1015" s="8"/>
      <c r="E1015" s="8"/>
      <c r="F1015" s="8"/>
      <c r="G1015" s="8"/>
      <c r="H1015" s="8"/>
      <c r="I1015" s="8"/>
    </row>
    <row r="1016" customFormat="false" ht="15" hidden="false" customHeight="false" outlineLevel="0" collapsed="false">
      <c r="A1016" s="4"/>
      <c r="B1016" s="4"/>
      <c r="C1016" s="4"/>
      <c r="D1016" s="8"/>
      <c r="E1016" s="8"/>
      <c r="F1016" s="8"/>
      <c r="G1016" s="8"/>
      <c r="H1016" s="8"/>
      <c r="I1016" s="8"/>
    </row>
    <row r="1017" customFormat="false" ht="15" hidden="false" customHeight="false" outlineLevel="0" collapsed="false">
      <c r="A1017" s="4"/>
      <c r="B1017" s="4"/>
      <c r="C1017" s="4"/>
      <c r="D1017" s="8"/>
      <c r="E1017" s="8"/>
      <c r="F1017" s="8"/>
      <c r="G1017" s="8"/>
      <c r="H1017" s="8"/>
      <c r="I1017" s="8"/>
    </row>
    <row r="1018" customFormat="false" ht="15" hidden="false" customHeight="false" outlineLevel="0" collapsed="false">
      <c r="A1018" s="4"/>
      <c r="B1018" s="4"/>
      <c r="C1018" s="4"/>
      <c r="D1018" s="8"/>
      <c r="E1018" s="8"/>
      <c r="F1018" s="8"/>
      <c r="G1018" s="8"/>
      <c r="H1018" s="8"/>
      <c r="I1018" s="8"/>
    </row>
    <row r="1019" customFormat="false" ht="15" hidden="false" customHeight="false" outlineLevel="0" collapsed="false">
      <c r="A1019" s="4"/>
      <c r="B1019" s="4"/>
      <c r="C1019" s="4"/>
      <c r="D1019" s="8"/>
      <c r="E1019" s="8"/>
      <c r="F1019" s="8"/>
      <c r="G1019" s="8"/>
      <c r="H1019" s="8"/>
      <c r="I1019" s="8"/>
    </row>
    <row r="1020" customFormat="false" ht="15" hidden="false" customHeight="false" outlineLevel="0" collapsed="false">
      <c r="A1020" s="4"/>
      <c r="B1020" s="4"/>
      <c r="C1020" s="4"/>
      <c r="D1020" s="8"/>
      <c r="E1020" s="8"/>
      <c r="F1020" s="8"/>
      <c r="G1020" s="8"/>
      <c r="H1020" s="8"/>
      <c r="I1020" s="8"/>
    </row>
    <row r="1021" customFormat="false" ht="15" hidden="false" customHeight="false" outlineLevel="0" collapsed="false">
      <c r="A1021" s="4"/>
      <c r="B1021" s="4"/>
      <c r="C1021" s="4"/>
      <c r="D1021" s="8"/>
      <c r="E1021" s="8"/>
      <c r="F1021" s="8"/>
      <c r="G1021" s="8"/>
      <c r="H1021" s="8"/>
      <c r="I1021" s="8"/>
    </row>
    <row r="1022" customFormat="false" ht="15" hidden="false" customHeight="false" outlineLevel="0" collapsed="false">
      <c r="A1022" s="4"/>
      <c r="B1022" s="4"/>
      <c r="C1022" s="4"/>
      <c r="D1022" s="8"/>
      <c r="E1022" s="8"/>
      <c r="F1022" s="8"/>
      <c r="G1022" s="8"/>
      <c r="H1022" s="8"/>
      <c r="I1022" s="8"/>
    </row>
    <row r="1023" customFormat="false" ht="15" hidden="false" customHeight="false" outlineLevel="0" collapsed="false">
      <c r="A1023" s="4"/>
      <c r="B1023" s="4"/>
      <c r="C1023" s="4"/>
      <c r="D1023" s="8"/>
      <c r="E1023" s="8"/>
      <c r="F1023" s="8"/>
      <c r="G1023" s="8"/>
      <c r="H1023" s="8"/>
      <c r="I1023" s="8"/>
    </row>
    <row r="1024" customFormat="false" ht="15" hidden="false" customHeight="false" outlineLevel="0" collapsed="false">
      <c r="A1024" s="4"/>
      <c r="B1024" s="4"/>
      <c r="C1024" s="4"/>
      <c r="D1024" s="8"/>
      <c r="E1024" s="8"/>
      <c r="F1024" s="8"/>
      <c r="G1024" s="8"/>
      <c r="H1024" s="8"/>
      <c r="I1024" s="8"/>
    </row>
    <row r="1025" customFormat="false" ht="15" hidden="false" customHeight="false" outlineLevel="0" collapsed="false">
      <c r="A1025" s="4"/>
      <c r="B1025" s="4"/>
      <c r="C1025" s="4"/>
      <c r="D1025" s="8"/>
      <c r="E1025" s="8"/>
      <c r="F1025" s="8"/>
      <c r="G1025" s="8"/>
      <c r="H1025" s="8"/>
      <c r="I1025" s="8"/>
    </row>
    <row r="1026" customFormat="false" ht="15" hidden="false" customHeight="false" outlineLevel="0" collapsed="false">
      <c r="A1026" s="4"/>
      <c r="B1026" s="4"/>
      <c r="C1026" s="4"/>
      <c r="D1026" s="8"/>
      <c r="E1026" s="8"/>
      <c r="F1026" s="8"/>
      <c r="G1026" s="8"/>
      <c r="H1026" s="8"/>
      <c r="I1026" s="8"/>
    </row>
    <row r="1027" customFormat="false" ht="15" hidden="false" customHeight="false" outlineLevel="0" collapsed="false">
      <c r="A1027" s="4"/>
      <c r="B1027" s="4"/>
      <c r="C1027" s="4"/>
      <c r="D1027" s="8"/>
      <c r="E1027" s="8"/>
      <c r="F1027" s="8"/>
      <c r="G1027" s="8"/>
      <c r="H1027" s="8"/>
      <c r="I1027" s="8"/>
    </row>
    <row r="1028" customFormat="false" ht="15" hidden="false" customHeight="false" outlineLevel="0" collapsed="false">
      <c r="A1028" s="4"/>
      <c r="B1028" s="4"/>
      <c r="C1028" s="4"/>
      <c r="D1028" s="8"/>
      <c r="E1028" s="8"/>
      <c r="F1028" s="8"/>
      <c r="G1028" s="8"/>
      <c r="H1028" s="8"/>
      <c r="I1028" s="8"/>
    </row>
    <row r="1029" customFormat="false" ht="15" hidden="false" customHeight="false" outlineLevel="0" collapsed="false">
      <c r="A1029" s="4"/>
      <c r="B1029" s="4"/>
      <c r="C1029" s="4"/>
      <c r="D1029" s="8"/>
      <c r="E1029" s="8"/>
      <c r="F1029" s="8"/>
      <c r="G1029" s="8"/>
      <c r="H1029" s="8"/>
      <c r="I1029" s="8"/>
    </row>
    <row r="1030" customFormat="false" ht="15" hidden="false" customHeight="false" outlineLevel="0" collapsed="false">
      <c r="A1030" s="4"/>
      <c r="B1030" s="4"/>
      <c r="C1030" s="4"/>
      <c r="D1030" s="8"/>
      <c r="E1030" s="8"/>
      <c r="F1030" s="8"/>
      <c r="G1030" s="8"/>
      <c r="H1030" s="8"/>
      <c r="I1030" s="8"/>
    </row>
    <row r="1031" customFormat="false" ht="15" hidden="false" customHeight="false" outlineLevel="0" collapsed="false">
      <c r="A1031" s="4"/>
      <c r="B1031" s="4"/>
      <c r="C1031" s="4"/>
      <c r="D1031" s="8"/>
      <c r="E1031" s="8"/>
      <c r="F1031" s="8"/>
      <c r="G1031" s="8"/>
      <c r="H1031" s="8"/>
      <c r="I1031" s="8"/>
    </row>
    <row r="1032" customFormat="false" ht="15" hidden="false" customHeight="false" outlineLevel="0" collapsed="false">
      <c r="A1032" s="4"/>
      <c r="B1032" s="4"/>
      <c r="C1032" s="4"/>
      <c r="D1032" s="8"/>
      <c r="E1032" s="8"/>
      <c r="F1032" s="8"/>
      <c r="G1032" s="8"/>
      <c r="H1032" s="8"/>
      <c r="I1032" s="8"/>
    </row>
    <row r="1033" customFormat="false" ht="15" hidden="false" customHeight="false" outlineLevel="0" collapsed="false">
      <c r="A1033" s="4"/>
      <c r="B1033" s="4"/>
      <c r="C1033" s="4"/>
      <c r="D1033" s="8"/>
      <c r="E1033" s="8"/>
      <c r="F1033" s="8"/>
      <c r="G1033" s="8"/>
      <c r="H1033" s="8"/>
      <c r="I1033" s="8"/>
    </row>
    <row r="1034" customFormat="false" ht="15" hidden="false" customHeight="false" outlineLevel="0" collapsed="false">
      <c r="A1034" s="4"/>
      <c r="B1034" s="4"/>
      <c r="C1034" s="4"/>
      <c r="D1034" s="8"/>
      <c r="E1034" s="8"/>
      <c r="F1034" s="8"/>
      <c r="G1034" s="8"/>
      <c r="H1034" s="8"/>
      <c r="I1034" s="8"/>
    </row>
    <row r="1035" customFormat="false" ht="15" hidden="false" customHeight="false" outlineLevel="0" collapsed="false">
      <c r="A1035" s="4"/>
      <c r="B1035" s="4"/>
      <c r="C1035" s="4"/>
      <c r="D1035" s="8"/>
      <c r="E1035" s="8"/>
      <c r="F1035" s="8"/>
      <c r="G1035" s="8"/>
      <c r="H1035" s="8"/>
      <c r="I1035" s="8"/>
    </row>
    <row r="1036" customFormat="false" ht="15" hidden="false" customHeight="false" outlineLevel="0" collapsed="false">
      <c r="A1036" s="4"/>
      <c r="B1036" s="4"/>
      <c r="C1036" s="4"/>
      <c r="D1036" s="8"/>
      <c r="E1036" s="8"/>
      <c r="F1036" s="8"/>
      <c r="G1036" s="8"/>
      <c r="H1036" s="8"/>
      <c r="I1036" s="8"/>
    </row>
    <row r="1037" customFormat="false" ht="15" hidden="false" customHeight="false" outlineLevel="0" collapsed="false">
      <c r="A1037" s="4"/>
      <c r="B1037" s="4"/>
      <c r="C1037" s="4"/>
      <c r="D1037" s="8"/>
      <c r="E1037" s="8"/>
      <c r="F1037" s="8"/>
      <c r="G1037" s="8"/>
      <c r="H1037" s="8"/>
      <c r="I1037" s="8"/>
    </row>
    <row r="1038" customFormat="false" ht="15" hidden="false" customHeight="false" outlineLevel="0" collapsed="false">
      <c r="A1038" s="4"/>
      <c r="B1038" s="4"/>
      <c r="C1038" s="4"/>
      <c r="D1038" s="8"/>
      <c r="E1038" s="8"/>
      <c r="F1038" s="8"/>
      <c r="G1038" s="8"/>
      <c r="H1038" s="8"/>
      <c r="I1038" s="8"/>
    </row>
    <row r="1039" customFormat="false" ht="15" hidden="false" customHeight="false" outlineLevel="0" collapsed="false">
      <c r="A1039" s="4"/>
      <c r="B1039" s="4"/>
      <c r="C1039" s="4"/>
      <c r="D1039" s="8"/>
      <c r="E1039" s="8"/>
      <c r="F1039" s="8"/>
      <c r="G1039" s="8"/>
      <c r="H1039" s="8"/>
      <c r="I1039" s="8"/>
    </row>
    <row r="1040" customFormat="false" ht="15" hidden="false" customHeight="false" outlineLevel="0" collapsed="false">
      <c r="A1040" s="4"/>
      <c r="B1040" s="4"/>
      <c r="C1040" s="4"/>
      <c r="D1040" s="8"/>
      <c r="E1040" s="8"/>
      <c r="F1040" s="8"/>
      <c r="G1040" s="8"/>
      <c r="H1040" s="8"/>
      <c r="I1040" s="8"/>
    </row>
    <row r="1041" customFormat="false" ht="15" hidden="false" customHeight="false" outlineLevel="0" collapsed="false">
      <c r="A1041" s="4"/>
      <c r="B1041" s="4"/>
      <c r="C1041" s="4"/>
      <c r="D1041" s="8"/>
      <c r="E1041" s="8"/>
      <c r="F1041" s="8"/>
      <c r="G1041" s="8"/>
      <c r="H1041" s="8"/>
      <c r="I1041" s="8"/>
    </row>
    <row r="1042" customFormat="false" ht="15" hidden="false" customHeight="false" outlineLevel="0" collapsed="false">
      <c r="A1042" s="4"/>
      <c r="B1042" s="4"/>
      <c r="C1042" s="4"/>
      <c r="D1042" s="8"/>
      <c r="E1042" s="8"/>
      <c r="F1042" s="8"/>
      <c r="G1042" s="8"/>
      <c r="H1042" s="8"/>
      <c r="I1042" s="8"/>
    </row>
    <row r="1043" customFormat="false" ht="15" hidden="false" customHeight="false" outlineLevel="0" collapsed="false">
      <c r="A1043" s="4"/>
      <c r="B1043" s="4"/>
      <c r="C1043" s="4"/>
      <c r="D1043" s="8"/>
      <c r="E1043" s="8"/>
      <c r="F1043" s="8"/>
      <c r="G1043" s="8"/>
      <c r="H1043" s="8"/>
      <c r="I1043" s="8"/>
    </row>
    <row r="1044" customFormat="false" ht="15" hidden="false" customHeight="false" outlineLevel="0" collapsed="false">
      <c r="A1044" s="4"/>
      <c r="B1044" s="4"/>
      <c r="C1044" s="4"/>
      <c r="D1044" s="8"/>
      <c r="E1044" s="8"/>
      <c r="F1044" s="8"/>
      <c r="G1044" s="8"/>
      <c r="H1044" s="8"/>
      <c r="I1044" s="8"/>
    </row>
    <row r="1045" customFormat="false" ht="15" hidden="false" customHeight="false" outlineLevel="0" collapsed="false">
      <c r="A1045" s="4"/>
      <c r="B1045" s="4"/>
      <c r="C1045" s="4"/>
      <c r="D1045" s="8"/>
      <c r="E1045" s="8"/>
      <c r="F1045" s="8"/>
      <c r="G1045" s="8"/>
      <c r="H1045" s="8"/>
      <c r="I1045" s="8"/>
    </row>
    <row r="1046" customFormat="false" ht="15" hidden="false" customHeight="false" outlineLevel="0" collapsed="false">
      <c r="A1046" s="4"/>
      <c r="B1046" s="4"/>
      <c r="C1046" s="4"/>
      <c r="D1046" s="8"/>
      <c r="E1046" s="8"/>
      <c r="F1046" s="8"/>
      <c r="G1046" s="8"/>
      <c r="H1046" s="8"/>
      <c r="I1046" s="8"/>
    </row>
    <row r="1047" customFormat="false" ht="15" hidden="false" customHeight="false" outlineLevel="0" collapsed="false">
      <c r="A1047" s="4"/>
      <c r="B1047" s="4"/>
      <c r="C1047" s="4"/>
      <c r="D1047" s="8"/>
      <c r="E1047" s="8"/>
      <c r="F1047" s="8"/>
      <c r="G1047" s="8"/>
      <c r="H1047" s="8"/>
      <c r="I1047" s="8"/>
    </row>
    <row r="1048" customFormat="false" ht="15" hidden="false" customHeight="false" outlineLevel="0" collapsed="false">
      <c r="A1048" s="4"/>
      <c r="B1048" s="4"/>
      <c r="C1048" s="4"/>
      <c r="D1048" s="8"/>
      <c r="E1048" s="8"/>
      <c r="F1048" s="8"/>
      <c r="G1048" s="8"/>
      <c r="H1048" s="8"/>
      <c r="I1048" s="8"/>
    </row>
    <row r="1049" customFormat="false" ht="15" hidden="false" customHeight="false" outlineLevel="0" collapsed="false">
      <c r="A1049" s="4"/>
      <c r="B1049" s="4"/>
      <c r="C1049" s="4"/>
      <c r="D1049" s="8"/>
      <c r="E1049" s="8"/>
      <c r="F1049" s="8"/>
      <c r="G1049" s="8"/>
      <c r="H1049" s="8"/>
      <c r="I1049" s="8"/>
    </row>
    <row r="1050" customFormat="false" ht="15" hidden="false" customHeight="false" outlineLevel="0" collapsed="false">
      <c r="A1050" s="4"/>
      <c r="B1050" s="4"/>
      <c r="C1050" s="4"/>
      <c r="D1050" s="8"/>
      <c r="E1050" s="8"/>
      <c r="F1050" s="8"/>
      <c r="G1050" s="8"/>
      <c r="H1050" s="8"/>
      <c r="I1050" s="8"/>
    </row>
    <row r="1051" customFormat="false" ht="15" hidden="false" customHeight="false" outlineLevel="0" collapsed="false">
      <c r="A1051" s="4"/>
      <c r="B1051" s="4"/>
      <c r="C1051" s="4"/>
      <c r="D1051" s="8"/>
      <c r="E1051" s="8"/>
      <c r="F1051" s="8"/>
      <c r="G1051" s="8"/>
      <c r="H1051" s="8"/>
      <c r="I1051" s="8"/>
    </row>
    <row r="1052" customFormat="false" ht="15" hidden="false" customHeight="false" outlineLevel="0" collapsed="false">
      <c r="A1052" s="4"/>
      <c r="B1052" s="4"/>
      <c r="C1052" s="4"/>
      <c r="D1052" s="8"/>
      <c r="E1052" s="8"/>
      <c r="F1052" s="8"/>
      <c r="G1052" s="8"/>
      <c r="H1052" s="8"/>
      <c r="I1052" s="8"/>
    </row>
    <row r="1053" customFormat="false" ht="15" hidden="false" customHeight="false" outlineLevel="0" collapsed="false">
      <c r="A1053" s="4"/>
      <c r="B1053" s="4"/>
      <c r="C1053" s="4"/>
      <c r="D1053" s="8"/>
      <c r="E1053" s="8"/>
      <c r="F1053" s="8"/>
      <c r="G1053" s="8"/>
      <c r="H1053" s="8"/>
      <c r="I1053" s="8"/>
    </row>
    <row r="1054" customFormat="false" ht="15" hidden="false" customHeight="false" outlineLevel="0" collapsed="false">
      <c r="A1054" s="4"/>
      <c r="B1054" s="4"/>
      <c r="C1054" s="4"/>
      <c r="D1054" s="8"/>
      <c r="E1054" s="8"/>
      <c r="F1054" s="8"/>
      <c r="G1054" s="8"/>
      <c r="H1054" s="8"/>
      <c r="I1054" s="8"/>
    </row>
    <row r="1055" customFormat="false" ht="15" hidden="false" customHeight="false" outlineLevel="0" collapsed="false">
      <c r="A1055" s="4"/>
      <c r="B1055" s="4"/>
      <c r="C1055" s="4"/>
      <c r="D1055" s="8"/>
      <c r="E1055" s="8"/>
      <c r="F1055" s="8"/>
      <c r="G1055" s="8"/>
      <c r="H1055" s="8"/>
      <c r="I1055" s="8"/>
    </row>
    <row r="1056" customFormat="false" ht="15" hidden="false" customHeight="false" outlineLevel="0" collapsed="false">
      <c r="A1056" s="4"/>
      <c r="B1056" s="4"/>
      <c r="C1056" s="4"/>
      <c r="D1056" s="8"/>
      <c r="E1056" s="8"/>
      <c r="F1056" s="8"/>
      <c r="G1056" s="8"/>
      <c r="H1056" s="8"/>
      <c r="I1056" s="8"/>
    </row>
    <row r="1057" customFormat="false" ht="15" hidden="false" customHeight="false" outlineLevel="0" collapsed="false">
      <c r="A1057" s="4"/>
      <c r="B1057" s="4"/>
      <c r="C1057" s="4"/>
      <c r="D1057" s="8"/>
      <c r="E1057" s="8"/>
      <c r="F1057" s="8"/>
      <c r="G1057" s="8"/>
      <c r="H1057" s="8"/>
      <c r="I1057" s="8"/>
    </row>
    <row r="1058" customFormat="false" ht="15" hidden="false" customHeight="false" outlineLevel="0" collapsed="false">
      <c r="A1058" s="4"/>
      <c r="B1058" s="4"/>
      <c r="C1058" s="4"/>
      <c r="D1058" s="8"/>
      <c r="E1058" s="8"/>
      <c r="F1058" s="8"/>
      <c r="G1058" s="8"/>
      <c r="H1058" s="8"/>
      <c r="I1058" s="8"/>
    </row>
    <row r="1059" customFormat="false" ht="15" hidden="false" customHeight="false" outlineLevel="0" collapsed="false">
      <c r="A1059" s="4"/>
      <c r="B1059" s="4"/>
      <c r="C1059" s="4"/>
      <c r="D1059" s="8"/>
      <c r="E1059" s="8"/>
      <c r="F1059" s="8"/>
      <c r="G1059" s="8"/>
      <c r="H1059" s="8"/>
      <c r="I1059" s="8"/>
    </row>
    <row r="1060" customFormat="false" ht="15" hidden="false" customHeight="false" outlineLevel="0" collapsed="false">
      <c r="A1060" s="4"/>
      <c r="B1060" s="4"/>
      <c r="C1060" s="4"/>
      <c r="D1060" s="8"/>
      <c r="E1060" s="8"/>
      <c r="F1060" s="8"/>
      <c r="G1060" s="8"/>
      <c r="H1060" s="8"/>
      <c r="I1060" s="8"/>
    </row>
    <row r="1061" customFormat="false" ht="15" hidden="false" customHeight="false" outlineLevel="0" collapsed="false">
      <c r="A1061" s="4"/>
      <c r="B1061" s="4"/>
      <c r="C1061" s="4"/>
      <c r="D1061" s="8"/>
      <c r="E1061" s="8"/>
      <c r="F1061" s="8"/>
      <c r="G1061" s="8"/>
      <c r="H1061" s="8"/>
      <c r="I1061" s="8"/>
    </row>
    <row r="1062" customFormat="false" ht="15" hidden="false" customHeight="false" outlineLevel="0" collapsed="false">
      <c r="A1062" s="4"/>
      <c r="B1062" s="4"/>
      <c r="C1062" s="4"/>
      <c r="D1062" s="8"/>
      <c r="E1062" s="8"/>
      <c r="F1062" s="8"/>
      <c r="G1062" s="8"/>
      <c r="H1062" s="8"/>
      <c r="I1062" s="8"/>
    </row>
    <row r="1063" customFormat="false" ht="15" hidden="false" customHeight="false" outlineLevel="0" collapsed="false">
      <c r="A1063" s="4"/>
      <c r="B1063" s="4"/>
      <c r="C1063" s="4"/>
      <c r="D1063" s="8"/>
      <c r="E1063" s="8"/>
      <c r="F1063" s="8"/>
      <c r="G1063" s="8"/>
      <c r="H1063" s="8"/>
      <c r="I1063" s="8"/>
    </row>
    <row r="1064" customFormat="false" ht="15" hidden="false" customHeight="false" outlineLevel="0" collapsed="false">
      <c r="A1064" s="4"/>
      <c r="B1064" s="4"/>
      <c r="C1064" s="4"/>
      <c r="D1064" s="8"/>
      <c r="E1064" s="8"/>
      <c r="F1064" s="8"/>
      <c r="G1064" s="8"/>
      <c r="H1064" s="8"/>
      <c r="I1064" s="8"/>
    </row>
    <row r="1065" customFormat="false" ht="15" hidden="false" customHeight="false" outlineLevel="0" collapsed="false">
      <c r="A1065" s="4"/>
      <c r="B1065" s="4"/>
      <c r="C1065" s="4"/>
      <c r="D1065" s="8"/>
      <c r="E1065" s="8"/>
      <c r="F1065" s="8"/>
      <c r="G1065" s="8"/>
      <c r="H1065" s="8"/>
      <c r="I1065" s="8"/>
    </row>
    <row r="1066" customFormat="false" ht="15" hidden="false" customHeight="false" outlineLevel="0" collapsed="false">
      <c r="A1066" s="4"/>
      <c r="B1066" s="4"/>
      <c r="C1066" s="4"/>
      <c r="D1066" s="8"/>
      <c r="E1066" s="8"/>
      <c r="F1066" s="8"/>
      <c r="G1066" s="8"/>
      <c r="H1066" s="8"/>
      <c r="I1066" s="8"/>
    </row>
    <row r="1067" customFormat="false" ht="15" hidden="false" customHeight="false" outlineLevel="0" collapsed="false">
      <c r="A1067" s="4"/>
      <c r="B1067" s="4"/>
      <c r="C1067" s="4"/>
      <c r="D1067" s="8"/>
      <c r="E1067" s="8"/>
      <c r="F1067" s="8"/>
      <c r="G1067" s="8"/>
      <c r="H1067" s="8"/>
      <c r="I1067" s="8"/>
    </row>
    <row r="1068" customFormat="false" ht="15" hidden="false" customHeight="false" outlineLevel="0" collapsed="false">
      <c r="A1068" s="4"/>
      <c r="B1068" s="4"/>
      <c r="C1068" s="4"/>
      <c r="D1068" s="8"/>
      <c r="E1068" s="8"/>
      <c r="F1068" s="8"/>
      <c r="G1068" s="8"/>
      <c r="H1068" s="8"/>
      <c r="I1068" s="8"/>
    </row>
    <row r="1069" customFormat="false" ht="15" hidden="false" customHeight="false" outlineLevel="0" collapsed="false">
      <c r="A1069" s="4"/>
      <c r="B1069" s="4"/>
      <c r="C1069" s="4"/>
      <c r="D1069" s="8"/>
      <c r="E1069" s="8"/>
      <c r="F1069" s="8"/>
      <c r="G1069" s="8"/>
      <c r="H1069" s="8"/>
      <c r="I1069" s="8"/>
    </row>
    <row r="1070" customFormat="false" ht="15" hidden="false" customHeight="false" outlineLevel="0" collapsed="false">
      <c r="A1070" s="4"/>
      <c r="B1070" s="4"/>
      <c r="C1070" s="4"/>
      <c r="D1070" s="8"/>
      <c r="E1070" s="8"/>
      <c r="F1070" s="8"/>
      <c r="G1070" s="8"/>
      <c r="H1070" s="8"/>
      <c r="I1070" s="8"/>
    </row>
    <row r="1071" customFormat="false" ht="15" hidden="false" customHeight="false" outlineLevel="0" collapsed="false">
      <c r="A1071" s="4"/>
      <c r="B1071" s="4"/>
      <c r="C1071" s="4"/>
      <c r="D1071" s="8"/>
      <c r="E1071" s="8"/>
      <c r="F1071" s="8"/>
      <c r="G1071" s="8"/>
      <c r="H1071" s="8"/>
      <c r="I1071" s="8"/>
    </row>
    <row r="1072" customFormat="false" ht="15" hidden="false" customHeight="false" outlineLevel="0" collapsed="false">
      <c r="A1072" s="4"/>
      <c r="B1072" s="4"/>
      <c r="C1072" s="4"/>
      <c r="D1072" s="8"/>
      <c r="E1072" s="8"/>
      <c r="F1072" s="8"/>
      <c r="G1072" s="8"/>
      <c r="H1072" s="8"/>
      <c r="I1072" s="8"/>
    </row>
    <row r="1073" customFormat="false" ht="15" hidden="false" customHeight="false" outlineLevel="0" collapsed="false">
      <c r="A1073" s="4"/>
      <c r="B1073" s="4"/>
      <c r="C1073" s="4"/>
      <c r="D1073" s="8"/>
      <c r="E1073" s="8"/>
      <c r="F1073" s="8"/>
      <c r="G1073" s="8"/>
      <c r="H1073" s="8"/>
      <c r="I1073" s="8"/>
    </row>
    <row r="1074" customFormat="false" ht="15" hidden="false" customHeight="false" outlineLevel="0" collapsed="false">
      <c r="A1074" s="4"/>
      <c r="B1074" s="4"/>
      <c r="C1074" s="4"/>
      <c r="D1074" s="8"/>
      <c r="E1074" s="8"/>
      <c r="F1074" s="8"/>
      <c r="G1074" s="8"/>
      <c r="H1074" s="8"/>
      <c r="I1074" s="8"/>
    </row>
    <row r="1075" customFormat="false" ht="15" hidden="false" customHeight="false" outlineLevel="0" collapsed="false">
      <c r="A1075" s="4"/>
      <c r="B1075" s="4"/>
      <c r="C1075" s="4"/>
      <c r="D1075" s="8"/>
      <c r="E1075" s="8"/>
      <c r="F1075" s="8"/>
      <c r="G1075" s="8"/>
      <c r="H1075" s="8"/>
      <c r="I1075" s="8"/>
    </row>
    <row r="1076" customFormat="false" ht="15" hidden="false" customHeight="false" outlineLevel="0" collapsed="false">
      <c r="A1076" s="4"/>
      <c r="B1076" s="4"/>
      <c r="C1076" s="4"/>
      <c r="D1076" s="8"/>
      <c r="E1076" s="8"/>
      <c r="F1076" s="8"/>
      <c r="G1076" s="8"/>
      <c r="H1076" s="8"/>
      <c r="I1076" s="8"/>
    </row>
    <row r="1077" customFormat="false" ht="15" hidden="false" customHeight="false" outlineLevel="0" collapsed="false">
      <c r="A1077" s="4"/>
      <c r="B1077" s="4"/>
      <c r="C1077" s="4"/>
      <c r="D1077" s="8"/>
      <c r="E1077" s="8"/>
      <c r="F1077" s="8"/>
      <c r="G1077" s="8"/>
      <c r="H1077" s="8"/>
      <c r="I1077" s="8"/>
    </row>
    <row r="1078" customFormat="false" ht="15" hidden="false" customHeight="false" outlineLevel="0" collapsed="false">
      <c r="A1078" s="4"/>
      <c r="B1078" s="4"/>
      <c r="C1078" s="4"/>
      <c r="D1078" s="8"/>
      <c r="E1078" s="8"/>
      <c r="F1078" s="8"/>
      <c r="G1078" s="8"/>
      <c r="H1078" s="8"/>
      <c r="I1078" s="8"/>
    </row>
    <row r="1079" customFormat="false" ht="15" hidden="false" customHeight="false" outlineLevel="0" collapsed="false">
      <c r="A1079" s="4"/>
      <c r="B1079" s="4"/>
      <c r="C1079" s="4"/>
      <c r="D1079" s="8"/>
      <c r="E1079" s="8"/>
      <c r="F1079" s="8"/>
      <c r="G1079" s="8"/>
      <c r="H1079" s="8"/>
      <c r="I1079" s="8"/>
    </row>
    <row r="1080" customFormat="false" ht="15" hidden="false" customHeight="false" outlineLevel="0" collapsed="false">
      <c r="A1080" s="4"/>
      <c r="B1080" s="4"/>
      <c r="C1080" s="4"/>
      <c r="D1080" s="8"/>
      <c r="E1080" s="8"/>
      <c r="F1080" s="8"/>
      <c r="G1080" s="8"/>
      <c r="H1080" s="8"/>
      <c r="I1080" s="8"/>
    </row>
    <row r="1081" customFormat="false" ht="15" hidden="false" customHeight="false" outlineLevel="0" collapsed="false">
      <c r="A1081" s="4"/>
      <c r="B1081" s="4"/>
      <c r="C1081" s="4"/>
      <c r="D1081" s="8"/>
      <c r="E1081" s="8"/>
      <c r="F1081" s="8"/>
      <c r="G1081" s="8"/>
      <c r="H1081" s="8"/>
      <c r="I1081" s="8"/>
    </row>
    <row r="1082" customFormat="false" ht="15" hidden="false" customHeight="false" outlineLevel="0" collapsed="false">
      <c r="A1082" s="4"/>
      <c r="B1082" s="4"/>
      <c r="C1082" s="4"/>
      <c r="D1082" s="8"/>
      <c r="E1082" s="8"/>
      <c r="F1082" s="8"/>
      <c r="G1082" s="8"/>
      <c r="H1082" s="8"/>
      <c r="I1082" s="8"/>
    </row>
    <row r="1083" customFormat="false" ht="15" hidden="false" customHeight="false" outlineLevel="0" collapsed="false">
      <c r="A1083" s="4"/>
      <c r="B1083" s="4"/>
      <c r="C1083" s="4"/>
      <c r="D1083" s="8"/>
      <c r="E1083" s="8"/>
      <c r="F1083" s="8"/>
      <c r="G1083" s="8"/>
      <c r="H1083" s="8"/>
      <c r="I1083" s="8"/>
    </row>
    <row r="1084" customFormat="false" ht="15" hidden="false" customHeight="false" outlineLevel="0" collapsed="false">
      <c r="A1084" s="4"/>
      <c r="B1084" s="4"/>
      <c r="C1084" s="4"/>
      <c r="D1084" s="8"/>
      <c r="E1084" s="8"/>
      <c r="F1084" s="8"/>
      <c r="G1084" s="8"/>
      <c r="H1084" s="8"/>
      <c r="I1084" s="8"/>
    </row>
    <row r="1085" customFormat="false" ht="15" hidden="false" customHeight="false" outlineLevel="0" collapsed="false">
      <c r="A1085" s="4"/>
      <c r="B1085" s="4"/>
      <c r="C1085" s="4"/>
      <c r="D1085" s="8"/>
      <c r="E1085" s="8"/>
      <c r="F1085" s="8"/>
      <c r="G1085" s="8"/>
      <c r="H1085" s="8"/>
      <c r="I1085" s="8"/>
    </row>
    <row r="1086" customFormat="false" ht="15" hidden="false" customHeight="false" outlineLevel="0" collapsed="false">
      <c r="A1086" s="4"/>
      <c r="B1086" s="4"/>
      <c r="C1086" s="4"/>
      <c r="D1086" s="8"/>
      <c r="E1086" s="8"/>
      <c r="F1086" s="8"/>
      <c r="G1086" s="8"/>
      <c r="H1086" s="8"/>
      <c r="I1086" s="8"/>
    </row>
    <row r="1087" customFormat="false" ht="15" hidden="false" customHeight="false" outlineLevel="0" collapsed="false">
      <c r="A1087" s="4"/>
      <c r="B1087" s="4"/>
      <c r="C1087" s="4"/>
      <c r="D1087" s="8"/>
      <c r="E1087" s="8"/>
      <c r="F1087" s="8"/>
      <c r="G1087" s="8"/>
      <c r="H1087" s="8"/>
      <c r="I1087" s="8"/>
    </row>
    <row r="1088" customFormat="false" ht="15" hidden="false" customHeight="false" outlineLevel="0" collapsed="false">
      <c r="A1088" s="4"/>
      <c r="B1088" s="4"/>
      <c r="C1088" s="4"/>
      <c r="D1088" s="8"/>
      <c r="E1088" s="8"/>
      <c r="F1088" s="8"/>
      <c r="G1088" s="8"/>
      <c r="H1088" s="8"/>
      <c r="I1088" s="8"/>
    </row>
    <row r="1089" customFormat="false" ht="15" hidden="false" customHeight="false" outlineLevel="0" collapsed="false">
      <c r="A1089" s="4"/>
      <c r="B1089" s="4"/>
      <c r="C1089" s="4"/>
      <c r="D1089" s="8"/>
      <c r="E1089" s="8"/>
      <c r="F1089" s="8"/>
      <c r="G1089" s="8"/>
      <c r="H1089" s="8"/>
      <c r="I1089" s="8"/>
    </row>
    <row r="1090" customFormat="false" ht="15" hidden="false" customHeight="false" outlineLevel="0" collapsed="false">
      <c r="A1090" s="4"/>
      <c r="B1090" s="4"/>
      <c r="C1090" s="4"/>
      <c r="D1090" s="8"/>
      <c r="E1090" s="8"/>
      <c r="F1090" s="8"/>
      <c r="G1090" s="8"/>
      <c r="H1090" s="8"/>
      <c r="I1090" s="8"/>
    </row>
    <row r="1091" customFormat="false" ht="15" hidden="false" customHeight="false" outlineLevel="0" collapsed="false">
      <c r="A1091" s="4"/>
      <c r="B1091" s="4"/>
      <c r="C1091" s="4"/>
      <c r="D1091" s="8"/>
      <c r="E1091" s="8"/>
      <c r="F1091" s="8"/>
      <c r="G1091" s="8"/>
      <c r="H1091" s="8"/>
      <c r="I1091" s="8"/>
    </row>
    <row r="1092" customFormat="false" ht="15" hidden="false" customHeight="false" outlineLevel="0" collapsed="false">
      <c r="A1092" s="4"/>
      <c r="B1092" s="4"/>
      <c r="C1092" s="4"/>
      <c r="D1092" s="8"/>
      <c r="E1092" s="8"/>
      <c r="F1092" s="8"/>
      <c r="G1092" s="8"/>
      <c r="H1092" s="8"/>
      <c r="I1092" s="8"/>
    </row>
    <row r="1093" customFormat="false" ht="15" hidden="false" customHeight="false" outlineLevel="0" collapsed="false">
      <c r="A1093" s="4"/>
      <c r="B1093" s="4"/>
      <c r="C1093" s="4"/>
      <c r="D1093" s="8"/>
      <c r="E1093" s="8"/>
      <c r="F1093" s="8"/>
      <c r="G1093" s="8"/>
      <c r="H1093" s="8"/>
      <c r="I1093" s="8"/>
    </row>
    <row r="1094" customFormat="false" ht="15" hidden="false" customHeight="false" outlineLevel="0" collapsed="false">
      <c r="A1094" s="4"/>
      <c r="B1094" s="4"/>
      <c r="C1094" s="4"/>
      <c r="D1094" s="8"/>
      <c r="E1094" s="8"/>
      <c r="F1094" s="8"/>
      <c r="G1094" s="8"/>
      <c r="H1094" s="8"/>
      <c r="I1094" s="8"/>
    </row>
    <row r="1095" customFormat="false" ht="15" hidden="false" customHeight="false" outlineLevel="0" collapsed="false">
      <c r="A1095" s="4"/>
      <c r="B1095" s="4"/>
      <c r="C1095" s="4"/>
      <c r="D1095" s="8"/>
      <c r="E1095" s="8"/>
      <c r="F1095" s="8"/>
      <c r="G1095" s="8"/>
      <c r="H1095" s="8"/>
      <c r="I1095" s="8"/>
    </row>
    <row r="1096" customFormat="false" ht="15" hidden="false" customHeight="false" outlineLevel="0" collapsed="false">
      <c r="A1096" s="4"/>
      <c r="B1096" s="4"/>
      <c r="C1096" s="4"/>
      <c r="D1096" s="8"/>
      <c r="E1096" s="8"/>
      <c r="F1096" s="8"/>
      <c r="G1096" s="8"/>
      <c r="H1096" s="8"/>
      <c r="I1096" s="8"/>
    </row>
    <row r="1097" customFormat="false" ht="15" hidden="false" customHeight="false" outlineLevel="0" collapsed="false">
      <c r="A1097" s="4"/>
      <c r="B1097" s="4"/>
      <c r="C1097" s="4"/>
      <c r="D1097" s="8"/>
      <c r="E1097" s="8"/>
      <c r="F1097" s="8"/>
      <c r="G1097" s="8"/>
      <c r="H1097" s="8"/>
      <c r="I1097" s="8"/>
    </row>
    <row r="1098" customFormat="false" ht="15" hidden="false" customHeight="false" outlineLevel="0" collapsed="false">
      <c r="A1098" s="4"/>
      <c r="B1098" s="4"/>
      <c r="C1098" s="4"/>
      <c r="D1098" s="8"/>
      <c r="E1098" s="8"/>
      <c r="F1098" s="8"/>
      <c r="G1098" s="8"/>
      <c r="H1098" s="8"/>
      <c r="I1098" s="8"/>
    </row>
    <row r="1099" customFormat="false" ht="15" hidden="false" customHeight="false" outlineLevel="0" collapsed="false">
      <c r="A1099" s="4"/>
      <c r="B1099" s="4"/>
      <c r="C1099" s="4"/>
      <c r="D1099" s="8"/>
      <c r="E1099" s="8"/>
      <c r="F1099" s="8"/>
      <c r="G1099" s="8"/>
      <c r="H1099" s="8"/>
      <c r="I1099" s="8"/>
    </row>
    <row r="1100" customFormat="false" ht="15" hidden="false" customHeight="false" outlineLevel="0" collapsed="false">
      <c r="A1100" s="4"/>
      <c r="B1100" s="4"/>
      <c r="C1100" s="4"/>
      <c r="D1100" s="8"/>
      <c r="E1100" s="8"/>
      <c r="F1100" s="8"/>
      <c r="G1100" s="8"/>
      <c r="H1100" s="8"/>
      <c r="I1100" s="8"/>
    </row>
    <row r="1101" customFormat="false" ht="15" hidden="false" customHeight="false" outlineLevel="0" collapsed="false">
      <c r="A1101" s="4"/>
      <c r="B1101" s="4"/>
      <c r="C1101" s="4"/>
      <c r="D1101" s="8"/>
      <c r="E1101" s="8"/>
      <c r="F1101" s="8"/>
      <c r="G1101" s="8"/>
      <c r="H1101" s="8"/>
      <c r="I1101" s="8"/>
    </row>
    <row r="1102" customFormat="false" ht="15" hidden="false" customHeight="false" outlineLevel="0" collapsed="false">
      <c r="A1102" s="4"/>
      <c r="B1102" s="4"/>
      <c r="C1102" s="4"/>
      <c r="D1102" s="8"/>
      <c r="E1102" s="8"/>
      <c r="F1102" s="8"/>
      <c r="G1102" s="8"/>
      <c r="H1102" s="8"/>
      <c r="I1102" s="8"/>
    </row>
    <row r="1103" customFormat="false" ht="15" hidden="false" customHeight="false" outlineLevel="0" collapsed="false">
      <c r="A1103" s="4"/>
      <c r="B1103" s="4"/>
      <c r="C1103" s="4"/>
      <c r="D1103" s="8"/>
      <c r="E1103" s="8"/>
      <c r="F1103" s="8"/>
      <c r="G1103" s="8"/>
      <c r="H1103" s="8"/>
      <c r="I1103" s="8"/>
    </row>
    <row r="1104" customFormat="false" ht="15" hidden="false" customHeight="false" outlineLevel="0" collapsed="false">
      <c r="A1104" s="4"/>
      <c r="B1104" s="4"/>
      <c r="C1104" s="4"/>
      <c r="D1104" s="8"/>
      <c r="E1104" s="8"/>
      <c r="F1104" s="8"/>
      <c r="G1104" s="8"/>
      <c r="H1104" s="8"/>
      <c r="I1104" s="8"/>
    </row>
    <row r="1105" customFormat="false" ht="15" hidden="false" customHeight="false" outlineLevel="0" collapsed="false">
      <c r="A1105" s="4"/>
      <c r="B1105" s="4"/>
      <c r="C1105" s="4"/>
      <c r="D1105" s="8"/>
      <c r="E1105" s="8"/>
      <c r="F1105" s="8"/>
      <c r="G1105" s="8"/>
      <c r="H1105" s="8"/>
      <c r="I1105" s="8"/>
    </row>
    <row r="1106" customFormat="false" ht="15" hidden="false" customHeight="false" outlineLevel="0" collapsed="false">
      <c r="A1106" s="4"/>
      <c r="B1106" s="4"/>
      <c r="C1106" s="4"/>
      <c r="D1106" s="8"/>
      <c r="E1106" s="8"/>
      <c r="F1106" s="8"/>
      <c r="G1106" s="8"/>
      <c r="H1106" s="8"/>
      <c r="I1106" s="8"/>
    </row>
    <row r="1107" customFormat="false" ht="15" hidden="false" customHeight="false" outlineLevel="0" collapsed="false">
      <c r="A1107" s="4"/>
      <c r="B1107" s="4"/>
      <c r="C1107" s="4"/>
      <c r="D1107" s="8"/>
      <c r="E1107" s="8"/>
      <c r="F1107" s="8"/>
      <c r="G1107" s="8"/>
      <c r="H1107" s="8"/>
      <c r="I1107" s="8"/>
    </row>
    <row r="1108" customFormat="false" ht="15" hidden="false" customHeight="false" outlineLevel="0" collapsed="false">
      <c r="A1108" s="4"/>
      <c r="B1108" s="4"/>
      <c r="C1108" s="4"/>
      <c r="D1108" s="8"/>
      <c r="E1108" s="8"/>
      <c r="F1108" s="8"/>
      <c r="G1108" s="8"/>
      <c r="H1108" s="8"/>
      <c r="I1108" s="8"/>
    </row>
    <row r="1109" customFormat="false" ht="15" hidden="false" customHeight="false" outlineLevel="0" collapsed="false">
      <c r="A1109" s="4"/>
      <c r="B1109" s="4"/>
      <c r="C1109" s="4"/>
      <c r="D1109" s="8"/>
      <c r="E1109" s="8"/>
      <c r="F1109" s="8"/>
      <c r="G1109" s="8"/>
      <c r="H1109" s="8"/>
      <c r="I1109" s="8"/>
    </row>
    <row r="1110" customFormat="false" ht="15" hidden="false" customHeight="false" outlineLevel="0" collapsed="false">
      <c r="A1110" s="4"/>
      <c r="B1110" s="4"/>
      <c r="C1110" s="4"/>
      <c r="D1110" s="8"/>
      <c r="E1110" s="8"/>
      <c r="F1110" s="8"/>
      <c r="G1110" s="8"/>
      <c r="H1110" s="8"/>
      <c r="I1110" s="8"/>
    </row>
    <row r="1111" customFormat="false" ht="15" hidden="false" customHeight="false" outlineLevel="0" collapsed="false">
      <c r="A1111" s="4"/>
      <c r="B1111" s="4"/>
      <c r="C1111" s="4"/>
      <c r="D1111" s="8"/>
      <c r="E1111" s="8"/>
      <c r="F1111" s="8"/>
      <c r="G1111" s="8"/>
      <c r="H1111" s="8"/>
      <c r="I1111" s="8"/>
    </row>
    <row r="1112" customFormat="false" ht="15" hidden="false" customHeight="false" outlineLevel="0" collapsed="false">
      <c r="A1112" s="4"/>
      <c r="B1112" s="4"/>
      <c r="C1112" s="4"/>
      <c r="D1112" s="8"/>
      <c r="E1112" s="8"/>
      <c r="F1112" s="8"/>
      <c r="G1112" s="8"/>
      <c r="H1112" s="8"/>
      <c r="I1112" s="8"/>
    </row>
    <row r="1113" customFormat="false" ht="15" hidden="false" customHeight="false" outlineLevel="0" collapsed="false">
      <c r="A1113" s="4"/>
      <c r="B1113" s="4"/>
      <c r="C1113" s="4"/>
      <c r="D1113" s="8"/>
      <c r="E1113" s="8"/>
      <c r="F1113" s="8"/>
      <c r="G1113" s="8"/>
      <c r="H1113" s="8"/>
      <c r="I1113" s="8"/>
    </row>
    <row r="1114" customFormat="false" ht="15" hidden="false" customHeight="false" outlineLevel="0" collapsed="false">
      <c r="A1114" s="4"/>
      <c r="B1114" s="4"/>
      <c r="C1114" s="4"/>
      <c r="D1114" s="8"/>
      <c r="E1114" s="8"/>
      <c r="F1114" s="8"/>
      <c r="G1114" s="8"/>
      <c r="H1114" s="8"/>
      <c r="I1114" s="8"/>
    </row>
    <row r="1115" customFormat="false" ht="15" hidden="false" customHeight="false" outlineLevel="0" collapsed="false">
      <c r="A1115" s="4"/>
      <c r="B1115" s="4"/>
      <c r="C1115" s="4"/>
      <c r="D1115" s="8"/>
      <c r="E1115" s="8"/>
      <c r="F1115" s="8"/>
      <c r="G1115" s="8"/>
      <c r="H1115" s="8"/>
      <c r="I1115" s="8"/>
    </row>
    <row r="1116" customFormat="false" ht="15" hidden="false" customHeight="false" outlineLevel="0" collapsed="false">
      <c r="A1116" s="4"/>
      <c r="B1116" s="4"/>
      <c r="C1116" s="4"/>
      <c r="D1116" s="8"/>
      <c r="E1116" s="8"/>
      <c r="F1116" s="8"/>
      <c r="G1116" s="8"/>
      <c r="H1116" s="8"/>
      <c r="I1116" s="8"/>
    </row>
    <row r="1117" customFormat="false" ht="15" hidden="false" customHeight="false" outlineLevel="0" collapsed="false">
      <c r="A1117" s="4"/>
      <c r="B1117" s="4"/>
      <c r="C1117" s="4"/>
      <c r="D1117" s="8"/>
      <c r="E1117" s="8"/>
      <c r="F1117" s="8"/>
      <c r="G1117" s="8"/>
      <c r="H1117" s="8"/>
      <c r="I1117" s="8"/>
    </row>
    <row r="1118" customFormat="false" ht="15" hidden="false" customHeight="false" outlineLevel="0" collapsed="false">
      <c r="A1118" s="4"/>
      <c r="B1118" s="4"/>
      <c r="C1118" s="4"/>
      <c r="D1118" s="8"/>
      <c r="E1118" s="8"/>
      <c r="F1118" s="8"/>
      <c r="G1118" s="8"/>
      <c r="H1118" s="8"/>
      <c r="I1118" s="8"/>
    </row>
    <row r="1119" customFormat="false" ht="15" hidden="false" customHeight="false" outlineLevel="0" collapsed="false">
      <c r="A1119" s="4"/>
      <c r="B1119" s="4"/>
      <c r="C1119" s="4"/>
      <c r="D1119" s="8"/>
      <c r="E1119" s="8"/>
      <c r="F1119" s="8"/>
      <c r="G1119" s="8"/>
      <c r="H1119" s="8"/>
      <c r="I1119" s="8"/>
    </row>
    <row r="1120" customFormat="false" ht="15" hidden="false" customHeight="false" outlineLevel="0" collapsed="false">
      <c r="A1120" s="4"/>
      <c r="B1120" s="4"/>
      <c r="C1120" s="4"/>
      <c r="D1120" s="8"/>
      <c r="E1120" s="8"/>
      <c r="F1120" s="8"/>
      <c r="G1120" s="8"/>
      <c r="H1120" s="8"/>
      <c r="I1120" s="8"/>
    </row>
    <row r="1121" customFormat="false" ht="15" hidden="false" customHeight="false" outlineLevel="0" collapsed="false">
      <c r="A1121" s="4"/>
      <c r="B1121" s="4"/>
      <c r="C1121" s="4"/>
      <c r="D1121" s="8"/>
      <c r="E1121" s="8"/>
      <c r="F1121" s="8"/>
      <c r="G1121" s="8"/>
      <c r="H1121" s="8"/>
      <c r="I1121" s="8"/>
    </row>
    <row r="1122" customFormat="false" ht="15" hidden="false" customHeight="false" outlineLevel="0" collapsed="false">
      <c r="A1122" s="4"/>
      <c r="B1122" s="4"/>
      <c r="C1122" s="4"/>
      <c r="D1122" s="8"/>
      <c r="E1122" s="8"/>
      <c r="F1122" s="8"/>
      <c r="G1122" s="8"/>
      <c r="H1122" s="8"/>
      <c r="I1122" s="8"/>
    </row>
    <row r="1123" customFormat="false" ht="15" hidden="false" customHeight="false" outlineLevel="0" collapsed="false">
      <c r="A1123" s="4"/>
      <c r="B1123" s="4"/>
      <c r="C1123" s="4"/>
      <c r="D1123" s="8"/>
      <c r="E1123" s="8"/>
      <c r="F1123" s="8"/>
      <c r="G1123" s="8"/>
      <c r="H1123" s="8"/>
      <c r="I1123" s="8"/>
    </row>
    <row r="1124" customFormat="false" ht="15" hidden="false" customHeight="false" outlineLevel="0" collapsed="false">
      <c r="A1124" s="4"/>
      <c r="B1124" s="4"/>
      <c r="C1124" s="4"/>
      <c r="D1124" s="8"/>
      <c r="E1124" s="8"/>
      <c r="F1124" s="8"/>
      <c r="G1124" s="8"/>
      <c r="H1124" s="8"/>
      <c r="I1124" s="8"/>
    </row>
    <row r="1125" customFormat="false" ht="15" hidden="false" customHeight="false" outlineLevel="0" collapsed="false">
      <c r="A1125" s="4"/>
      <c r="B1125" s="4"/>
      <c r="C1125" s="4"/>
      <c r="D1125" s="8"/>
      <c r="E1125" s="8"/>
      <c r="F1125" s="8"/>
      <c r="G1125" s="8"/>
      <c r="H1125" s="8"/>
      <c r="I1125" s="8"/>
    </row>
    <row r="1126" customFormat="false" ht="15" hidden="false" customHeight="false" outlineLevel="0" collapsed="false">
      <c r="A1126" s="4"/>
      <c r="B1126" s="4"/>
      <c r="C1126" s="4"/>
      <c r="D1126" s="8"/>
      <c r="E1126" s="8"/>
      <c r="F1126" s="8"/>
      <c r="G1126" s="8"/>
      <c r="H1126" s="8"/>
      <c r="I1126" s="8"/>
    </row>
    <row r="1127" customFormat="false" ht="15" hidden="false" customHeight="false" outlineLevel="0" collapsed="false">
      <c r="A1127" s="4"/>
      <c r="B1127" s="4"/>
      <c r="C1127" s="4"/>
      <c r="D1127" s="8"/>
      <c r="E1127" s="8"/>
      <c r="F1127" s="8"/>
      <c r="G1127" s="8"/>
      <c r="H1127" s="8"/>
      <c r="I1127" s="8"/>
    </row>
    <row r="1128" customFormat="false" ht="15" hidden="false" customHeight="false" outlineLevel="0" collapsed="false">
      <c r="A1128" s="4"/>
      <c r="B1128" s="4"/>
      <c r="C1128" s="4"/>
      <c r="D1128" s="8"/>
      <c r="E1128" s="8"/>
      <c r="F1128" s="8"/>
      <c r="G1128" s="8"/>
      <c r="H1128" s="8"/>
      <c r="I1128" s="8"/>
    </row>
    <row r="1129" customFormat="false" ht="15" hidden="false" customHeight="false" outlineLevel="0" collapsed="false">
      <c r="A1129" s="4"/>
      <c r="B1129" s="4"/>
      <c r="C1129" s="4"/>
      <c r="D1129" s="8"/>
      <c r="E1129" s="8"/>
      <c r="F1129" s="8"/>
      <c r="G1129" s="8"/>
      <c r="H1129" s="8"/>
      <c r="I1129" s="8"/>
    </row>
    <row r="1130" customFormat="false" ht="15" hidden="false" customHeight="false" outlineLevel="0" collapsed="false">
      <c r="A1130" s="4"/>
      <c r="B1130" s="4"/>
      <c r="C1130" s="4"/>
      <c r="D1130" s="8"/>
      <c r="E1130" s="8"/>
      <c r="F1130" s="8"/>
      <c r="G1130" s="8"/>
      <c r="H1130" s="8"/>
      <c r="I1130" s="8"/>
    </row>
    <row r="1131" customFormat="false" ht="15" hidden="false" customHeight="false" outlineLevel="0" collapsed="false">
      <c r="A1131" s="4"/>
      <c r="B1131" s="4"/>
      <c r="C1131" s="4"/>
      <c r="D1131" s="8"/>
      <c r="E1131" s="8"/>
      <c r="F1131" s="8"/>
      <c r="G1131" s="8"/>
      <c r="H1131" s="8"/>
      <c r="I1131" s="8"/>
    </row>
    <row r="1132" customFormat="false" ht="15" hidden="false" customHeight="false" outlineLevel="0" collapsed="false">
      <c r="A1132" s="4"/>
      <c r="B1132" s="4"/>
      <c r="C1132" s="4"/>
      <c r="D1132" s="8"/>
      <c r="E1132" s="8"/>
      <c r="F1132" s="8"/>
      <c r="G1132" s="8"/>
      <c r="H1132" s="8"/>
      <c r="I1132" s="8"/>
    </row>
    <row r="1133" customFormat="false" ht="15" hidden="false" customHeight="false" outlineLevel="0" collapsed="false">
      <c r="A1133" s="4"/>
      <c r="B1133" s="4"/>
      <c r="C1133" s="4"/>
      <c r="D1133" s="8"/>
      <c r="E1133" s="8"/>
      <c r="F1133" s="8"/>
      <c r="G1133" s="8"/>
      <c r="H1133" s="8"/>
      <c r="I1133" s="8"/>
    </row>
    <row r="1134" customFormat="false" ht="15" hidden="false" customHeight="false" outlineLevel="0" collapsed="false">
      <c r="A1134" s="4"/>
      <c r="B1134" s="4"/>
      <c r="C1134" s="4"/>
      <c r="D1134" s="8"/>
      <c r="E1134" s="8"/>
      <c r="F1134" s="8"/>
      <c r="G1134" s="8"/>
      <c r="H1134" s="8"/>
      <c r="I1134" s="8"/>
    </row>
    <row r="1135" customFormat="false" ht="15" hidden="false" customHeight="false" outlineLevel="0" collapsed="false">
      <c r="A1135" s="4"/>
      <c r="B1135" s="4"/>
      <c r="C1135" s="4"/>
      <c r="D1135" s="8"/>
      <c r="E1135" s="8"/>
      <c r="F1135" s="8"/>
      <c r="G1135" s="8"/>
      <c r="H1135" s="8"/>
      <c r="I1135" s="8"/>
    </row>
    <row r="1136" customFormat="false" ht="15" hidden="false" customHeight="false" outlineLevel="0" collapsed="false">
      <c r="A1136" s="4"/>
      <c r="B1136" s="4"/>
      <c r="C1136" s="4"/>
      <c r="D1136" s="8"/>
      <c r="E1136" s="8"/>
      <c r="F1136" s="8"/>
      <c r="G1136" s="8"/>
      <c r="H1136" s="8"/>
      <c r="I1136" s="8"/>
    </row>
    <row r="1137" customFormat="false" ht="15" hidden="false" customHeight="false" outlineLevel="0" collapsed="false">
      <c r="A1137" s="4"/>
      <c r="B1137" s="4"/>
      <c r="C1137" s="4"/>
      <c r="D1137" s="8"/>
      <c r="E1137" s="8"/>
      <c r="F1137" s="8"/>
      <c r="G1137" s="8"/>
      <c r="H1137" s="8"/>
      <c r="I1137" s="8"/>
    </row>
    <row r="1138" customFormat="false" ht="15" hidden="false" customHeight="false" outlineLevel="0" collapsed="false">
      <c r="A1138" s="4"/>
      <c r="B1138" s="4"/>
      <c r="C1138" s="4"/>
      <c r="D1138" s="8"/>
      <c r="E1138" s="8"/>
      <c r="F1138" s="8"/>
      <c r="G1138" s="8"/>
      <c r="H1138" s="8"/>
      <c r="I1138" s="8"/>
    </row>
    <row r="1139" customFormat="false" ht="15" hidden="false" customHeight="false" outlineLevel="0" collapsed="false">
      <c r="A1139" s="4"/>
      <c r="B1139" s="4"/>
      <c r="C1139" s="4"/>
      <c r="D1139" s="8"/>
      <c r="E1139" s="8"/>
      <c r="F1139" s="8"/>
      <c r="G1139" s="8"/>
      <c r="H1139" s="8"/>
      <c r="I1139" s="8"/>
    </row>
    <row r="1140" customFormat="false" ht="15" hidden="false" customHeight="false" outlineLevel="0" collapsed="false">
      <c r="A1140" s="4"/>
      <c r="B1140" s="4"/>
      <c r="C1140" s="4"/>
      <c r="D1140" s="8"/>
      <c r="E1140" s="8"/>
      <c r="F1140" s="8"/>
      <c r="G1140" s="8"/>
      <c r="H1140" s="8"/>
      <c r="I1140" s="8"/>
    </row>
    <row r="1141" customFormat="false" ht="15" hidden="false" customHeight="false" outlineLevel="0" collapsed="false">
      <c r="A1141" s="4"/>
      <c r="B1141" s="4"/>
      <c r="C1141" s="4"/>
      <c r="D1141" s="8"/>
      <c r="E1141" s="8"/>
      <c r="F1141" s="8"/>
      <c r="G1141" s="8"/>
      <c r="H1141" s="8"/>
      <c r="I1141" s="8"/>
    </row>
    <row r="1142" customFormat="false" ht="15" hidden="false" customHeight="false" outlineLevel="0" collapsed="false">
      <c r="A1142" s="4"/>
      <c r="B1142" s="4"/>
      <c r="C1142" s="4"/>
      <c r="D1142" s="8"/>
      <c r="E1142" s="8"/>
      <c r="F1142" s="8"/>
      <c r="G1142" s="8"/>
      <c r="H1142" s="8"/>
      <c r="I1142" s="8"/>
    </row>
    <row r="1143" customFormat="false" ht="15" hidden="false" customHeight="false" outlineLevel="0" collapsed="false">
      <c r="A1143" s="4"/>
      <c r="B1143" s="4"/>
      <c r="C1143" s="4"/>
      <c r="D1143" s="8"/>
      <c r="E1143" s="8"/>
      <c r="F1143" s="8"/>
      <c r="G1143" s="8"/>
      <c r="H1143" s="8"/>
      <c r="I1143" s="8"/>
    </row>
    <row r="1144" customFormat="false" ht="15" hidden="false" customHeight="false" outlineLevel="0" collapsed="false">
      <c r="A1144" s="4"/>
      <c r="B1144" s="4"/>
      <c r="C1144" s="4"/>
      <c r="D1144" s="8"/>
      <c r="E1144" s="8"/>
      <c r="F1144" s="8"/>
      <c r="G1144" s="8"/>
      <c r="H1144" s="8"/>
      <c r="I1144" s="8"/>
    </row>
    <row r="1145" customFormat="false" ht="15" hidden="false" customHeight="false" outlineLevel="0" collapsed="false">
      <c r="A1145" s="4"/>
      <c r="B1145" s="4"/>
      <c r="C1145" s="4"/>
      <c r="D1145" s="8"/>
      <c r="E1145" s="8"/>
      <c r="F1145" s="8"/>
      <c r="G1145" s="8"/>
      <c r="H1145" s="8"/>
      <c r="I1145" s="8"/>
    </row>
    <row r="1146" customFormat="false" ht="15" hidden="false" customHeight="false" outlineLevel="0" collapsed="false">
      <c r="A1146" s="4"/>
      <c r="B1146" s="4"/>
      <c r="C1146" s="4"/>
      <c r="D1146" s="8"/>
      <c r="E1146" s="8"/>
      <c r="F1146" s="8"/>
      <c r="G1146" s="8"/>
      <c r="H1146" s="8"/>
      <c r="I1146" s="8"/>
    </row>
    <row r="1147" customFormat="false" ht="15" hidden="false" customHeight="false" outlineLevel="0" collapsed="false">
      <c r="A1147" s="4"/>
      <c r="B1147" s="4"/>
      <c r="C1147" s="4"/>
      <c r="D1147" s="8"/>
      <c r="E1147" s="8"/>
      <c r="F1147" s="8"/>
      <c r="G1147" s="8"/>
      <c r="H1147" s="8"/>
      <c r="I1147" s="8"/>
    </row>
    <row r="1148" customFormat="false" ht="15" hidden="false" customHeight="false" outlineLevel="0" collapsed="false">
      <c r="A1148" s="4"/>
      <c r="B1148" s="4"/>
      <c r="C1148" s="4"/>
      <c r="D1148" s="8"/>
      <c r="E1148" s="8"/>
      <c r="F1148" s="8"/>
      <c r="G1148" s="8"/>
      <c r="H1148" s="8"/>
      <c r="I1148" s="8"/>
    </row>
    <row r="1149" customFormat="false" ht="15" hidden="false" customHeight="false" outlineLevel="0" collapsed="false">
      <c r="A1149" s="4"/>
      <c r="B1149" s="4"/>
      <c r="C1149" s="4"/>
      <c r="D1149" s="8"/>
      <c r="E1149" s="8"/>
      <c r="F1149" s="8"/>
      <c r="G1149" s="8"/>
      <c r="H1149" s="8"/>
      <c r="I1149" s="8"/>
    </row>
    <row r="1150" customFormat="false" ht="15" hidden="false" customHeight="false" outlineLevel="0" collapsed="false">
      <c r="A1150" s="4"/>
      <c r="B1150" s="4"/>
      <c r="C1150" s="4"/>
      <c r="D1150" s="8"/>
      <c r="E1150" s="8"/>
      <c r="F1150" s="8"/>
      <c r="G1150" s="8"/>
      <c r="H1150" s="8"/>
      <c r="I1150" s="8"/>
    </row>
    <row r="1151" customFormat="false" ht="15" hidden="false" customHeight="false" outlineLevel="0" collapsed="false">
      <c r="A1151" s="4"/>
      <c r="B1151" s="4"/>
      <c r="C1151" s="4"/>
      <c r="D1151" s="8"/>
      <c r="E1151" s="8"/>
      <c r="F1151" s="8"/>
      <c r="G1151" s="8"/>
      <c r="H1151" s="8"/>
      <c r="I1151" s="8"/>
    </row>
    <row r="1152" customFormat="false" ht="15" hidden="false" customHeight="false" outlineLevel="0" collapsed="false">
      <c r="A1152" s="4"/>
      <c r="B1152" s="4"/>
      <c r="C1152" s="4"/>
      <c r="D1152" s="8"/>
      <c r="E1152" s="8"/>
      <c r="F1152" s="8"/>
      <c r="G1152" s="8"/>
      <c r="H1152" s="8"/>
      <c r="I1152" s="8"/>
    </row>
    <row r="1153" customFormat="false" ht="15" hidden="false" customHeight="false" outlineLevel="0" collapsed="false">
      <c r="A1153" s="4"/>
      <c r="B1153" s="4"/>
      <c r="C1153" s="4"/>
      <c r="D1153" s="8"/>
      <c r="E1153" s="8"/>
      <c r="F1153" s="8"/>
      <c r="G1153" s="8"/>
      <c r="H1153" s="8"/>
      <c r="I1153" s="8"/>
    </row>
    <row r="1154" customFormat="false" ht="15" hidden="false" customHeight="false" outlineLevel="0" collapsed="false">
      <c r="A1154" s="4"/>
      <c r="B1154" s="4"/>
      <c r="C1154" s="4"/>
      <c r="D1154" s="8"/>
      <c r="E1154" s="8"/>
      <c r="F1154" s="8"/>
      <c r="G1154" s="8"/>
      <c r="H1154" s="8"/>
      <c r="I1154" s="8"/>
    </row>
    <row r="1155" customFormat="false" ht="15" hidden="false" customHeight="false" outlineLevel="0" collapsed="false">
      <c r="A1155" s="4"/>
      <c r="B1155" s="4"/>
      <c r="C1155" s="4"/>
      <c r="D1155" s="8"/>
      <c r="E1155" s="8"/>
      <c r="F1155" s="8"/>
      <c r="G1155" s="8"/>
      <c r="H1155" s="8"/>
      <c r="I1155" s="8"/>
    </row>
    <row r="1156" customFormat="false" ht="15" hidden="false" customHeight="false" outlineLevel="0" collapsed="false">
      <c r="A1156" s="4"/>
      <c r="B1156" s="4"/>
      <c r="C1156" s="4"/>
      <c r="D1156" s="8"/>
      <c r="E1156" s="8"/>
      <c r="F1156" s="8"/>
      <c r="G1156" s="8"/>
      <c r="H1156" s="8"/>
      <c r="I1156" s="8"/>
    </row>
    <row r="1157" customFormat="false" ht="15" hidden="false" customHeight="false" outlineLevel="0" collapsed="false">
      <c r="A1157" s="4"/>
      <c r="B1157" s="4"/>
      <c r="C1157" s="4"/>
      <c r="D1157" s="8"/>
      <c r="E1157" s="8"/>
      <c r="F1157" s="8"/>
      <c r="G1157" s="8"/>
      <c r="H1157" s="8"/>
      <c r="I1157" s="8"/>
    </row>
    <row r="1158" customFormat="false" ht="15" hidden="false" customHeight="false" outlineLevel="0" collapsed="false">
      <c r="A1158" s="4"/>
      <c r="B1158" s="4"/>
      <c r="C1158" s="4"/>
      <c r="D1158" s="8"/>
      <c r="E1158" s="8"/>
      <c r="F1158" s="8"/>
      <c r="G1158" s="8"/>
      <c r="H1158" s="8"/>
      <c r="I1158" s="8"/>
    </row>
    <row r="1159" customFormat="false" ht="15" hidden="false" customHeight="false" outlineLevel="0" collapsed="false">
      <c r="A1159" s="4"/>
      <c r="B1159" s="4"/>
      <c r="C1159" s="4"/>
      <c r="D1159" s="8"/>
      <c r="E1159" s="8"/>
      <c r="F1159" s="8"/>
      <c r="G1159" s="8"/>
      <c r="H1159" s="8"/>
      <c r="I1159" s="8"/>
    </row>
    <row r="1160" customFormat="false" ht="15" hidden="false" customHeight="false" outlineLevel="0" collapsed="false">
      <c r="A1160" s="4"/>
      <c r="B1160" s="4"/>
      <c r="C1160" s="4"/>
      <c r="D1160" s="8"/>
      <c r="E1160" s="8"/>
      <c r="F1160" s="8"/>
      <c r="G1160" s="8"/>
      <c r="H1160" s="8"/>
      <c r="I1160" s="8"/>
    </row>
    <row r="1161" customFormat="false" ht="15" hidden="false" customHeight="false" outlineLevel="0" collapsed="false">
      <c r="A1161" s="4"/>
      <c r="B1161" s="4"/>
      <c r="C1161" s="4"/>
      <c r="D1161" s="8"/>
      <c r="E1161" s="8"/>
      <c r="F1161" s="8"/>
      <c r="G1161" s="8"/>
      <c r="H1161" s="8"/>
      <c r="I1161" s="8"/>
    </row>
    <row r="1162" customFormat="false" ht="15" hidden="false" customHeight="false" outlineLevel="0" collapsed="false">
      <c r="A1162" s="4"/>
      <c r="B1162" s="4"/>
      <c r="C1162" s="4"/>
      <c r="D1162" s="8"/>
      <c r="E1162" s="8"/>
      <c r="F1162" s="8"/>
      <c r="G1162" s="8"/>
      <c r="H1162" s="8"/>
      <c r="I1162" s="8"/>
    </row>
    <row r="1163" customFormat="false" ht="15" hidden="false" customHeight="false" outlineLevel="0" collapsed="false">
      <c r="A1163" s="4"/>
      <c r="B1163" s="4"/>
      <c r="C1163" s="4"/>
      <c r="D1163" s="8"/>
      <c r="E1163" s="8"/>
      <c r="F1163" s="8"/>
      <c r="G1163" s="8"/>
      <c r="H1163" s="8"/>
      <c r="I1163" s="8"/>
    </row>
    <row r="1164" customFormat="false" ht="15" hidden="false" customHeight="false" outlineLevel="0" collapsed="false">
      <c r="A1164" s="4"/>
      <c r="B1164" s="4"/>
      <c r="C1164" s="4"/>
      <c r="D1164" s="8"/>
      <c r="E1164" s="8"/>
      <c r="F1164" s="8"/>
      <c r="G1164" s="8"/>
      <c r="H1164" s="8"/>
      <c r="I1164" s="8"/>
    </row>
    <row r="1165" customFormat="false" ht="15" hidden="false" customHeight="false" outlineLevel="0" collapsed="false">
      <c r="A1165" s="4"/>
      <c r="B1165" s="4"/>
      <c r="C1165" s="4"/>
      <c r="D1165" s="8"/>
      <c r="E1165" s="8"/>
      <c r="F1165" s="8"/>
      <c r="G1165" s="8"/>
      <c r="H1165" s="8"/>
      <c r="I1165" s="8"/>
    </row>
    <row r="1166" customFormat="false" ht="15" hidden="false" customHeight="false" outlineLevel="0" collapsed="false">
      <c r="A1166" s="4"/>
      <c r="B1166" s="4"/>
      <c r="C1166" s="4"/>
      <c r="D1166" s="8"/>
      <c r="E1166" s="8"/>
      <c r="F1166" s="8"/>
      <c r="G1166" s="8"/>
      <c r="H1166" s="8"/>
      <c r="I1166" s="8"/>
    </row>
    <row r="1167" customFormat="false" ht="15" hidden="false" customHeight="false" outlineLevel="0" collapsed="false">
      <c r="A1167" s="4"/>
      <c r="B1167" s="4"/>
      <c r="C1167" s="4"/>
      <c r="D1167" s="8"/>
      <c r="E1167" s="8"/>
      <c r="F1167" s="8"/>
      <c r="G1167" s="8"/>
      <c r="H1167" s="8"/>
      <c r="I1167" s="8"/>
    </row>
    <row r="1168" customFormat="false" ht="15" hidden="false" customHeight="false" outlineLevel="0" collapsed="false">
      <c r="A1168" s="4"/>
      <c r="B1168" s="4"/>
      <c r="C1168" s="4"/>
      <c r="D1168" s="8"/>
      <c r="E1168" s="8"/>
      <c r="F1168" s="8"/>
      <c r="G1168" s="8"/>
      <c r="H1168" s="8"/>
      <c r="I1168" s="8"/>
    </row>
    <row r="1169" customFormat="false" ht="15" hidden="false" customHeight="false" outlineLevel="0" collapsed="false">
      <c r="A1169" s="4"/>
      <c r="B1169" s="4"/>
      <c r="C1169" s="4"/>
      <c r="D1169" s="8"/>
      <c r="E1169" s="8"/>
      <c r="F1169" s="8"/>
      <c r="G1169" s="8"/>
      <c r="H1169" s="8"/>
      <c r="I1169" s="8"/>
    </row>
    <row r="1170" customFormat="false" ht="15" hidden="false" customHeight="false" outlineLevel="0" collapsed="false">
      <c r="A1170" s="4"/>
      <c r="B1170" s="4"/>
      <c r="C1170" s="4"/>
      <c r="D1170" s="8"/>
      <c r="E1170" s="8"/>
      <c r="F1170" s="8"/>
      <c r="G1170" s="8"/>
      <c r="H1170" s="8"/>
      <c r="I1170" s="8"/>
    </row>
    <row r="1171" customFormat="false" ht="15" hidden="false" customHeight="false" outlineLevel="0" collapsed="false">
      <c r="A1171" s="4"/>
      <c r="B1171" s="4"/>
      <c r="C1171" s="4"/>
      <c r="D1171" s="8"/>
      <c r="E1171" s="8"/>
      <c r="F1171" s="8"/>
      <c r="G1171" s="8"/>
      <c r="H1171" s="8"/>
      <c r="I1171" s="8"/>
    </row>
    <row r="1172" customFormat="false" ht="15" hidden="false" customHeight="false" outlineLevel="0" collapsed="false">
      <c r="A1172" s="4"/>
      <c r="B1172" s="4"/>
      <c r="C1172" s="4"/>
      <c r="D1172" s="8"/>
      <c r="E1172" s="8"/>
      <c r="F1172" s="8"/>
      <c r="G1172" s="8"/>
      <c r="H1172" s="8"/>
      <c r="I1172" s="8"/>
    </row>
    <row r="1173" customFormat="false" ht="15" hidden="false" customHeight="false" outlineLevel="0" collapsed="false">
      <c r="A1173" s="4"/>
      <c r="B1173" s="4"/>
      <c r="C1173" s="4"/>
      <c r="D1173" s="8"/>
      <c r="E1173" s="8"/>
      <c r="F1173" s="8"/>
      <c r="G1173" s="8"/>
      <c r="H1173" s="8"/>
      <c r="I1173" s="8"/>
    </row>
    <row r="1174" customFormat="false" ht="15" hidden="false" customHeight="false" outlineLevel="0" collapsed="false">
      <c r="A1174" s="4"/>
      <c r="B1174" s="4"/>
      <c r="C1174" s="4"/>
      <c r="D1174" s="8"/>
      <c r="E1174" s="8"/>
      <c r="F1174" s="8"/>
      <c r="G1174" s="8"/>
      <c r="H1174" s="8"/>
      <c r="I1174" s="8"/>
    </row>
    <row r="1175" customFormat="false" ht="15" hidden="false" customHeight="false" outlineLevel="0" collapsed="false">
      <c r="A1175" s="4"/>
      <c r="B1175" s="4"/>
      <c r="C1175" s="4"/>
      <c r="D1175" s="8"/>
      <c r="E1175" s="8"/>
      <c r="F1175" s="8"/>
      <c r="G1175" s="8"/>
      <c r="H1175" s="8"/>
      <c r="I1175" s="8"/>
    </row>
    <row r="1176" customFormat="false" ht="15" hidden="false" customHeight="false" outlineLevel="0" collapsed="false">
      <c r="A1176" s="4"/>
      <c r="B1176" s="4"/>
      <c r="C1176" s="4"/>
      <c r="D1176" s="8"/>
      <c r="E1176" s="8"/>
      <c r="F1176" s="8"/>
      <c r="G1176" s="8"/>
      <c r="H1176" s="8"/>
      <c r="I1176" s="8"/>
    </row>
    <row r="1177" customFormat="false" ht="15" hidden="false" customHeight="false" outlineLevel="0" collapsed="false">
      <c r="A1177" s="4"/>
      <c r="B1177" s="4"/>
      <c r="C1177" s="4"/>
      <c r="D1177" s="8"/>
      <c r="E1177" s="8"/>
      <c r="F1177" s="8"/>
      <c r="G1177" s="8"/>
      <c r="H1177" s="8"/>
      <c r="I1177" s="8"/>
    </row>
    <row r="1178" customFormat="false" ht="15" hidden="false" customHeight="false" outlineLevel="0" collapsed="false">
      <c r="A1178" s="4"/>
      <c r="B1178" s="4"/>
      <c r="C1178" s="4"/>
      <c r="D1178" s="8"/>
      <c r="E1178" s="8"/>
      <c r="F1178" s="8"/>
      <c r="G1178" s="8"/>
      <c r="H1178" s="8"/>
      <c r="I1178" s="8"/>
    </row>
    <row r="1179" customFormat="false" ht="15" hidden="false" customHeight="false" outlineLevel="0" collapsed="false">
      <c r="A1179" s="4"/>
      <c r="B1179" s="4"/>
      <c r="C1179" s="4"/>
      <c r="D1179" s="8"/>
      <c r="E1179" s="8"/>
      <c r="F1179" s="8"/>
      <c r="G1179" s="8"/>
      <c r="H1179" s="8"/>
      <c r="I1179" s="8"/>
    </row>
    <row r="1180" customFormat="false" ht="15" hidden="false" customHeight="false" outlineLevel="0" collapsed="false">
      <c r="A1180" s="4"/>
      <c r="B1180" s="4"/>
      <c r="C1180" s="4"/>
      <c r="D1180" s="8"/>
      <c r="E1180" s="8"/>
      <c r="F1180" s="8"/>
      <c r="G1180" s="8"/>
      <c r="H1180" s="8"/>
      <c r="I1180" s="8"/>
    </row>
    <row r="1181" customFormat="false" ht="15" hidden="false" customHeight="false" outlineLevel="0" collapsed="false">
      <c r="A1181" s="4"/>
      <c r="B1181" s="4"/>
      <c r="C1181" s="4"/>
      <c r="D1181" s="8"/>
      <c r="E1181" s="8"/>
      <c r="F1181" s="8"/>
      <c r="G1181" s="8"/>
      <c r="H1181" s="8"/>
      <c r="I1181" s="8"/>
    </row>
    <row r="1182" customFormat="false" ht="15" hidden="false" customHeight="false" outlineLevel="0" collapsed="false">
      <c r="A1182" s="4"/>
      <c r="B1182" s="4"/>
      <c r="C1182" s="4"/>
      <c r="D1182" s="8"/>
      <c r="E1182" s="8"/>
      <c r="F1182" s="8"/>
      <c r="G1182" s="8"/>
      <c r="H1182" s="8"/>
      <c r="I1182" s="8"/>
    </row>
    <row r="1183" customFormat="false" ht="15" hidden="false" customHeight="false" outlineLevel="0" collapsed="false">
      <c r="A1183" s="4"/>
      <c r="B1183" s="4"/>
      <c r="C1183" s="4"/>
      <c r="D1183" s="8"/>
      <c r="E1183" s="8"/>
      <c r="F1183" s="8"/>
      <c r="G1183" s="8"/>
      <c r="H1183" s="8"/>
      <c r="I1183" s="8"/>
    </row>
    <row r="1184" customFormat="false" ht="15" hidden="false" customHeight="false" outlineLevel="0" collapsed="false">
      <c r="A1184" s="4"/>
      <c r="B1184" s="4"/>
      <c r="C1184" s="4"/>
      <c r="D1184" s="8"/>
      <c r="E1184" s="8"/>
      <c r="F1184" s="8"/>
      <c r="G1184" s="8"/>
      <c r="H1184" s="8"/>
      <c r="I1184" s="8"/>
    </row>
    <row r="1185" customFormat="false" ht="15" hidden="false" customHeight="false" outlineLevel="0" collapsed="false">
      <c r="A1185" s="4"/>
      <c r="B1185" s="4"/>
      <c r="C1185" s="4"/>
      <c r="D1185" s="8"/>
      <c r="E1185" s="8"/>
      <c r="F1185" s="8"/>
      <c r="G1185" s="8"/>
      <c r="H1185" s="8"/>
      <c r="I1185" s="8"/>
    </row>
    <row r="1186" customFormat="false" ht="15" hidden="false" customHeight="false" outlineLevel="0" collapsed="false">
      <c r="A1186" s="4"/>
      <c r="B1186" s="4"/>
      <c r="C1186" s="4"/>
      <c r="D1186" s="8"/>
      <c r="E1186" s="8"/>
      <c r="F1186" s="8"/>
      <c r="G1186" s="8"/>
      <c r="H1186" s="8"/>
      <c r="I1186" s="8"/>
    </row>
    <row r="1187" customFormat="false" ht="15" hidden="false" customHeight="false" outlineLevel="0" collapsed="false">
      <c r="A1187" s="4"/>
      <c r="B1187" s="4"/>
      <c r="C1187" s="4"/>
      <c r="D1187" s="8"/>
      <c r="E1187" s="8"/>
      <c r="F1187" s="8"/>
      <c r="G1187" s="8"/>
      <c r="H1187" s="8"/>
      <c r="I1187" s="8"/>
    </row>
    <row r="1188" customFormat="false" ht="15" hidden="false" customHeight="false" outlineLevel="0" collapsed="false">
      <c r="A1188" s="4"/>
      <c r="B1188" s="4"/>
      <c r="C1188" s="4"/>
      <c r="D1188" s="8"/>
      <c r="E1188" s="8"/>
      <c r="F1188" s="8"/>
      <c r="G1188" s="8"/>
      <c r="H1188" s="8"/>
      <c r="I1188" s="8"/>
    </row>
    <row r="1189" customFormat="false" ht="15" hidden="false" customHeight="false" outlineLevel="0" collapsed="false">
      <c r="A1189" s="4"/>
      <c r="B1189" s="4"/>
      <c r="C1189" s="4"/>
      <c r="D1189" s="8"/>
      <c r="E1189" s="8"/>
      <c r="F1189" s="8"/>
      <c r="G1189" s="8"/>
      <c r="H1189" s="8"/>
      <c r="I1189" s="8"/>
    </row>
    <row r="1190" customFormat="false" ht="15" hidden="false" customHeight="false" outlineLevel="0" collapsed="false">
      <c r="A1190" s="4"/>
      <c r="B1190" s="4"/>
      <c r="C1190" s="4"/>
      <c r="D1190" s="8"/>
      <c r="E1190" s="8"/>
      <c r="F1190" s="8"/>
      <c r="G1190" s="8"/>
      <c r="H1190" s="8"/>
      <c r="I1190" s="8"/>
    </row>
    <row r="1191" customFormat="false" ht="15" hidden="false" customHeight="false" outlineLevel="0" collapsed="false">
      <c r="A1191" s="4"/>
      <c r="B1191" s="4"/>
      <c r="C1191" s="4"/>
      <c r="D1191" s="8"/>
      <c r="E1191" s="8"/>
      <c r="F1191" s="8"/>
      <c r="G1191" s="8"/>
      <c r="H1191" s="8"/>
      <c r="I1191" s="8"/>
    </row>
    <row r="1192" customFormat="false" ht="15" hidden="false" customHeight="false" outlineLevel="0" collapsed="false">
      <c r="A1192" s="4"/>
      <c r="B1192" s="4"/>
      <c r="C1192" s="4"/>
      <c r="D1192" s="8"/>
      <c r="E1192" s="8"/>
      <c r="F1192" s="8"/>
      <c r="G1192" s="8"/>
      <c r="H1192" s="8"/>
      <c r="I1192" s="8"/>
    </row>
    <row r="1193" customFormat="false" ht="15" hidden="false" customHeight="false" outlineLevel="0" collapsed="false">
      <c r="A1193" s="4"/>
      <c r="B1193" s="4"/>
      <c r="C1193" s="4"/>
      <c r="D1193" s="8"/>
      <c r="E1193" s="8"/>
      <c r="F1193" s="8"/>
      <c r="G1193" s="8"/>
      <c r="H1193" s="8"/>
      <c r="I1193" s="8"/>
    </row>
    <row r="1194" customFormat="false" ht="15" hidden="false" customHeight="false" outlineLevel="0" collapsed="false">
      <c r="A1194" s="4"/>
      <c r="B1194" s="4"/>
      <c r="C1194" s="4"/>
      <c r="D1194" s="8"/>
      <c r="E1194" s="8"/>
      <c r="F1194" s="8"/>
      <c r="G1194" s="8"/>
      <c r="H1194" s="8"/>
      <c r="I1194" s="8"/>
    </row>
    <row r="1195" customFormat="false" ht="15" hidden="false" customHeight="false" outlineLevel="0" collapsed="false">
      <c r="A1195" s="4"/>
      <c r="B1195" s="4"/>
      <c r="C1195" s="4"/>
      <c r="D1195" s="8"/>
      <c r="E1195" s="8"/>
      <c r="F1195" s="8"/>
      <c r="G1195" s="8"/>
      <c r="H1195" s="8"/>
      <c r="I1195" s="8"/>
    </row>
    <row r="1196" customFormat="false" ht="15" hidden="false" customHeight="false" outlineLevel="0" collapsed="false">
      <c r="A1196" s="4"/>
      <c r="B1196" s="4"/>
      <c r="C1196" s="4"/>
      <c r="D1196" s="8"/>
      <c r="E1196" s="8"/>
      <c r="F1196" s="8"/>
      <c r="G1196" s="8"/>
      <c r="H1196" s="8"/>
      <c r="I1196" s="8"/>
    </row>
    <row r="1197" customFormat="false" ht="15" hidden="false" customHeight="false" outlineLevel="0" collapsed="false">
      <c r="A1197" s="4"/>
      <c r="B1197" s="4"/>
      <c r="C1197" s="4"/>
      <c r="D1197" s="8"/>
      <c r="E1197" s="8"/>
      <c r="F1197" s="8"/>
      <c r="G1197" s="8"/>
      <c r="H1197" s="8"/>
      <c r="I1197" s="8"/>
    </row>
    <row r="1198" customFormat="false" ht="15" hidden="false" customHeight="false" outlineLevel="0" collapsed="false">
      <c r="A1198" s="4"/>
      <c r="B1198" s="4"/>
      <c r="C1198" s="4"/>
      <c r="D1198" s="8"/>
      <c r="E1198" s="8"/>
      <c r="F1198" s="8"/>
      <c r="G1198" s="8"/>
      <c r="H1198" s="8"/>
      <c r="I1198" s="8"/>
    </row>
    <row r="1199" customFormat="false" ht="15" hidden="false" customHeight="false" outlineLevel="0" collapsed="false">
      <c r="A1199" s="4"/>
      <c r="B1199" s="4"/>
      <c r="C1199" s="4"/>
      <c r="D1199" s="8"/>
      <c r="E1199" s="8"/>
      <c r="F1199" s="8"/>
      <c r="G1199" s="8"/>
      <c r="H1199" s="8"/>
      <c r="I1199" s="8"/>
    </row>
    <row r="1200" customFormat="false" ht="15" hidden="false" customHeight="false" outlineLevel="0" collapsed="false">
      <c r="A1200" s="4"/>
      <c r="B1200" s="4"/>
      <c r="C1200" s="4"/>
      <c r="D1200" s="8"/>
      <c r="E1200" s="8"/>
      <c r="F1200" s="8"/>
      <c r="G1200" s="8"/>
      <c r="H1200" s="8"/>
      <c r="I1200" s="8"/>
    </row>
    <row r="1201" customFormat="false" ht="15" hidden="false" customHeight="false" outlineLevel="0" collapsed="false">
      <c r="A1201" s="4"/>
      <c r="B1201" s="4"/>
      <c r="C1201" s="4"/>
      <c r="D1201" s="8"/>
      <c r="E1201" s="8"/>
      <c r="F1201" s="8"/>
      <c r="G1201" s="8"/>
      <c r="H1201" s="8"/>
      <c r="I1201" s="8"/>
    </row>
    <row r="1202" customFormat="false" ht="15" hidden="false" customHeight="false" outlineLevel="0" collapsed="false">
      <c r="A1202" s="4"/>
      <c r="B1202" s="4"/>
      <c r="C1202" s="4"/>
      <c r="D1202" s="8"/>
      <c r="E1202" s="8"/>
      <c r="F1202" s="8"/>
      <c r="G1202" s="8"/>
      <c r="H1202" s="8"/>
      <c r="I1202" s="8"/>
    </row>
    <row r="1203" customFormat="false" ht="15" hidden="false" customHeight="false" outlineLevel="0" collapsed="false">
      <c r="A1203" s="4"/>
      <c r="B1203" s="4"/>
      <c r="C1203" s="4"/>
      <c r="D1203" s="8"/>
      <c r="E1203" s="8"/>
      <c r="F1203" s="8"/>
      <c r="G1203" s="8"/>
      <c r="H1203" s="8"/>
      <c r="I1203" s="8"/>
    </row>
    <row r="1204" customFormat="false" ht="15" hidden="false" customHeight="false" outlineLevel="0" collapsed="false">
      <c r="A1204" s="4"/>
      <c r="B1204" s="4"/>
      <c r="C1204" s="4"/>
      <c r="D1204" s="8"/>
      <c r="E1204" s="8"/>
      <c r="F1204" s="8"/>
      <c r="G1204" s="8"/>
      <c r="H1204" s="8"/>
      <c r="I1204" s="8"/>
    </row>
    <row r="1205" customFormat="false" ht="15" hidden="false" customHeight="false" outlineLevel="0" collapsed="false">
      <c r="A1205" s="4"/>
      <c r="B1205" s="4"/>
      <c r="C1205" s="4"/>
      <c r="D1205" s="8"/>
      <c r="E1205" s="8"/>
      <c r="F1205" s="8"/>
      <c r="G1205" s="8"/>
      <c r="H1205" s="8"/>
      <c r="I1205" s="8"/>
    </row>
    <row r="1206" customFormat="false" ht="15" hidden="false" customHeight="false" outlineLevel="0" collapsed="false">
      <c r="A1206" s="4"/>
      <c r="B1206" s="4"/>
      <c r="C1206" s="4"/>
      <c r="D1206" s="8"/>
      <c r="E1206" s="8"/>
      <c r="F1206" s="8"/>
      <c r="G1206" s="8"/>
      <c r="H1206" s="8"/>
      <c r="I1206" s="8"/>
    </row>
    <row r="1207" customFormat="false" ht="15" hidden="false" customHeight="false" outlineLevel="0" collapsed="false">
      <c r="A1207" s="4"/>
      <c r="B1207" s="4"/>
      <c r="C1207" s="4"/>
      <c r="D1207" s="8"/>
      <c r="E1207" s="8"/>
      <c r="F1207" s="8"/>
      <c r="G1207" s="8"/>
      <c r="H1207" s="8"/>
      <c r="I1207" s="8"/>
    </row>
    <row r="1208" customFormat="false" ht="15" hidden="false" customHeight="false" outlineLevel="0" collapsed="false">
      <c r="A1208" s="4"/>
      <c r="B1208" s="4"/>
      <c r="C1208" s="4"/>
      <c r="D1208" s="8"/>
      <c r="E1208" s="8"/>
      <c r="F1208" s="8"/>
      <c r="G1208" s="8"/>
      <c r="H1208" s="8"/>
      <c r="I1208" s="8"/>
    </row>
    <row r="1209" customFormat="false" ht="15" hidden="false" customHeight="false" outlineLevel="0" collapsed="false">
      <c r="A1209" s="4"/>
      <c r="B1209" s="4"/>
      <c r="C1209" s="4"/>
      <c r="D1209" s="8"/>
      <c r="E1209" s="8"/>
      <c r="F1209" s="8"/>
      <c r="G1209" s="8"/>
      <c r="H1209" s="8"/>
      <c r="I1209" s="8"/>
    </row>
    <row r="1210" customFormat="false" ht="15" hidden="false" customHeight="false" outlineLevel="0" collapsed="false">
      <c r="A1210" s="4"/>
      <c r="B1210" s="4"/>
      <c r="C1210" s="4"/>
      <c r="D1210" s="8"/>
      <c r="E1210" s="8"/>
      <c r="F1210" s="8"/>
      <c r="G1210" s="8"/>
      <c r="H1210" s="8"/>
      <c r="I1210" s="8"/>
    </row>
    <row r="1211" customFormat="false" ht="15" hidden="false" customHeight="false" outlineLevel="0" collapsed="false">
      <c r="A1211" s="4"/>
      <c r="B1211" s="4"/>
      <c r="C1211" s="4"/>
      <c r="D1211" s="8"/>
      <c r="E1211" s="8"/>
      <c r="F1211" s="8"/>
      <c r="G1211" s="8"/>
      <c r="H1211" s="8"/>
      <c r="I1211" s="8"/>
    </row>
    <row r="1212" customFormat="false" ht="15" hidden="false" customHeight="false" outlineLevel="0" collapsed="false">
      <c r="A1212" s="4"/>
      <c r="B1212" s="4"/>
      <c r="C1212" s="4"/>
      <c r="D1212" s="8"/>
      <c r="E1212" s="8"/>
      <c r="F1212" s="8"/>
      <c r="G1212" s="8"/>
      <c r="H1212" s="8"/>
      <c r="I1212" s="8"/>
    </row>
    <row r="1213" customFormat="false" ht="15" hidden="false" customHeight="false" outlineLevel="0" collapsed="false">
      <c r="A1213" s="4"/>
      <c r="B1213" s="4"/>
      <c r="C1213" s="4"/>
      <c r="D1213" s="8"/>
      <c r="E1213" s="8"/>
      <c r="F1213" s="8"/>
      <c r="G1213" s="8"/>
      <c r="H1213" s="8"/>
      <c r="I1213" s="8"/>
    </row>
    <row r="1214" customFormat="false" ht="15" hidden="false" customHeight="false" outlineLevel="0" collapsed="false">
      <c r="A1214" s="4"/>
      <c r="B1214" s="4"/>
      <c r="C1214" s="4"/>
      <c r="D1214" s="8"/>
      <c r="E1214" s="8"/>
      <c r="F1214" s="8"/>
      <c r="G1214" s="8"/>
      <c r="H1214" s="8"/>
      <c r="I1214" s="8"/>
    </row>
    <row r="1215" customFormat="false" ht="15" hidden="false" customHeight="false" outlineLevel="0" collapsed="false">
      <c r="A1215" s="4"/>
      <c r="B1215" s="4"/>
      <c r="C1215" s="4"/>
      <c r="D1215" s="8"/>
      <c r="E1215" s="8"/>
      <c r="F1215" s="8"/>
      <c r="G1215" s="8"/>
      <c r="H1215" s="8"/>
      <c r="I1215" s="8"/>
    </row>
    <row r="1216" customFormat="false" ht="15" hidden="false" customHeight="false" outlineLevel="0" collapsed="false">
      <c r="A1216" s="4"/>
      <c r="B1216" s="4"/>
      <c r="C1216" s="4"/>
      <c r="D1216" s="8"/>
      <c r="E1216" s="8"/>
      <c r="F1216" s="8"/>
      <c r="G1216" s="8"/>
      <c r="H1216" s="8"/>
      <c r="I1216" s="8"/>
    </row>
    <row r="1217" customFormat="false" ht="15" hidden="false" customHeight="false" outlineLevel="0" collapsed="false">
      <c r="A1217" s="4"/>
      <c r="B1217" s="4"/>
      <c r="C1217" s="4"/>
      <c r="D1217" s="8"/>
      <c r="E1217" s="8"/>
      <c r="F1217" s="8"/>
      <c r="G1217" s="8"/>
      <c r="H1217" s="8"/>
      <c r="I1217" s="8"/>
    </row>
    <row r="1218" customFormat="false" ht="15" hidden="false" customHeight="false" outlineLevel="0" collapsed="false">
      <c r="A1218" s="4"/>
      <c r="B1218" s="4"/>
      <c r="C1218" s="4"/>
      <c r="D1218" s="8"/>
      <c r="E1218" s="8"/>
      <c r="F1218" s="8"/>
      <c r="G1218" s="8"/>
      <c r="H1218" s="8"/>
      <c r="I1218" s="8"/>
    </row>
    <row r="1219" customFormat="false" ht="15" hidden="false" customHeight="false" outlineLevel="0" collapsed="false">
      <c r="A1219" s="4"/>
      <c r="B1219" s="4"/>
      <c r="C1219" s="4"/>
      <c r="D1219" s="8"/>
      <c r="E1219" s="8"/>
      <c r="F1219" s="8"/>
      <c r="G1219" s="8"/>
      <c r="H1219" s="8"/>
      <c r="I1219" s="8"/>
    </row>
    <row r="1220" customFormat="false" ht="15" hidden="false" customHeight="false" outlineLevel="0" collapsed="false">
      <c r="A1220" s="4"/>
      <c r="B1220" s="4"/>
      <c r="C1220" s="4"/>
      <c r="D1220" s="8"/>
      <c r="E1220" s="8"/>
      <c r="F1220" s="8"/>
      <c r="G1220" s="8"/>
      <c r="H1220" s="8"/>
      <c r="I1220" s="8"/>
    </row>
    <row r="1221" customFormat="false" ht="15" hidden="false" customHeight="false" outlineLevel="0" collapsed="false">
      <c r="A1221" s="4"/>
      <c r="B1221" s="4"/>
      <c r="C1221" s="4"/>
      <c r="D1221" s="8"/>
      <c r="E1221" s="8"/>
      <c r="F1221" s="8"/>
      <c r="G1221" s="8"/>
      <c r="H1221" s="8"/>
      <c r="I1221" s="8"/>
    </row>
    <row r="1222" customFormat="false" ht="15" hidden="false" customHeight="false" outlineLevel="0" collapsed="false">
      <c r="A1222" s="4"/>
      <c r="B1222" s="4"/>
      <c r="C1222" s="4"/>
      <c r="D1222" s="8"/>
      <c r="E1222" s="8"/>
      <c r="F1222" s="8"/>
      <c r="G1222" s="8"/>
      <c r="H1222" s="8"/>
      <c r="I1222" s="8"/>
    </row>
    <row r="1223" customFormat="false" ht="15" hidden="false" customHeight="false" outlineLevel="0" collapsed="false">
      <c r="A1223" s="4"/>
      <c r="B1223" s="4"/>
      <c r="C1223" s="4"/>
      <c r="D1223" s="8"/>
      <c r="E1223" s="8"/>
      <c r="F1223" s="8"/>
      <c r="G1223" s="8"/>
      <c r="H1223" s="8"/>
      <c r="I1223" s="8"/>
    </row>
    <row r="1224" customFormat="false" ht="15" hidden="false" customHeight="false" outlineLevel="0" collapsed="false">
      <c r="A1224" s="4"/>
      <c r="B1224" s="4"/>
      <c r="C1224" s="4"/>
      <c r="D1224" s="8"/>
      <c r="E1224" s="8"/>
      <c r="F1224" s="8"/>
      <c r="G1224" s="8"/>
      <c r="H1224" s="8"/>
      <c r="I1224" s="8"/>
    </row>
    <row r="1225" customFormat="false" ht="15" hidden="false" customHeight="false" outlineLevel="0" collapsed="false">
      <c r="A1225" s="4"/>
      <c r="B1225" s="4"/>
      <c r="C1225" s="4"/>
      <c r="D1225" s="8"/>
      <c r="E1225" s="8"/>
      <c r="F1225" s="8"/>
      <c r="G1225" s="8"/>
      <c r="H1225" s="8"/>
      <c r="I1225" s="8"/>
    </row>
    <row r="1226" customFormat="false" ht="15" hidden="false" customHeight="false" outlineLevel="0" collapsed="false">
      <c r="A1226" s="4"/>
      <c r="B1226" s="4"/>
      <c r="C1226" s="4"/>
      <c r="D1226" s="8"/>
      <c r="E1226" s="8"/>
      <c r="F1226" s="8"/>
      <c r="G1226" s="8"/>
      <c r="H1226" s="8"/>
      <c r="I1226" s="8"/>
    </row>
    <row r="1227" customFormat="false" ht="15" hidden="false" customHeight="false" outlineLevel="0" collapsed="false">
      <c r="A1227" s="4"/>
      <c r="B1227" s="4"/>
      <c r="C1227" s="4"/>
      <c r="D1227" s="8"/>
      <c r="E1227" s="8"/>
      <c r="F1227" s="8"/>
      <c r="G1227" s="8"/>
      <c r="H1227" s="8"/>
      <c r="I1227" s="8"/>
    </row>
    <row r="1228" customFormat="false" ht="15" hidden="false" customHeight="false" outlineLevel="0" collapsed="false">
      <c r="A1228" s="4"/>
      <c r="B1228" s="4"/>
      <c r="C1228" s="4"/>
      <c r="D1228" s="8"/>
      <c r="E1228" s="8"/>
      <c r="F1228" s="8"/>
      <c r="G1228" s="8"/>
      <c r="H1228" s="8"/>
      <c r="I1228" s="8"/>
    </row>
    <row r="1229" customFormat="false" ht="15" hidden="false" customHeight="false" outlineLevel="0" collapsed="false">
      <c r="A1229" s="4"/>
      <c r="B1229" s="4"/>
      <c r="C1229" s="4"/>
      <c r="D1229" s="8"/>
      <c r="E1229" s="8"/>
      <c r="F1229" s="8"/>
      <c r="G1229" s="8"/>
      <c r="H1229" s="8"/>
      <c r="I1229" s="8"/>
    </row>
    <row r="1230" customFormat="false" ht="15" hidden="false" customHeight="false" outlineLevel="0" collapsed="false">
      <c r="A1230" s="4"/>
      <c r="B1230" s="4"/>
      <c r="C1230" s="4"/>
      <c r="D1230" s="8"/>
      <c r="E1230" s="8"/>
      <c r="F1230" s="8"/>
      <c r="G1230" s="8"/>
      <c r="H1230" s="8"/>
      <c r="I1230" s="8"/>
    </row>
    <row r="1231" customFormat="false" ht="15" hidden="false" customHeight="false" outlineLevel="0" collapsed="false">
      <c r="A1231" s="4"/>
      <c r="B1231" s="4"/>
      <c r="C1231" s="4"/>
      <c r="D1231" s="8"/>
      <c r="E1231" s="8"/>
      <c r="F1231" s="8"/>
      <c r="G1231" s="8"/>
      <c r="H1231" s="8"/>
      <c r="I1231" s="8"/>
    </row>
    <row r="1232" customFormat="false" ht="15" hidden="false" customHeight="false" outlineLevel="0" collapsed="false">
      <c r="A1232" s="4"/>
      <c r="B1232" s="4"/>
      <c r="C1232" s="4"/>
      <c r="D1232" s="8"/>
      <c r="E1232" s="8"/>
      <c r="F1232" s="8"/>
      <c r="G1232" s="8"/>
      <c r="H1232" s="8"/>
      <c r="I1232" s="8"/>
    </row>
    <row r="1233" customFormat="false" ht="15" hidden="false" customHeight="false" outlineLevel="0" collapsed="false">
      <c r="A1233" s="4"/>
      <c r="B1233" s="4"/>
      <c r="C1233" s="4"/>
      <c r="D1233" s="8"/>
      <c r="E1233" s="8"/>
      <c r="F1233" s="8"/>
      <c r="G1233" s="8"/>
      <c r="H1233" s="8"/>
      <c r="I1233" s="8"/>
    </row>
    <row r="1234" customFormat="false" ht="15" hidden="false" customHeight="false" outlineLevel="0" collapsed="false">
      <c r="A1234" s="4"/>
      <c r="B1234" s="4"/>
      <c r="C1234" s="4"/>
      <c r="D1234" s="8"/>
      <c r="E1234" s="8"/>
      <c r="F1234" s="8"/>
      <c r="G1234" s="8"/>
      <c r="H1234" s="8"/>
      <c r="I1234" s="8"/>
    </row>
    <row r="1235" customFormat="false" ht="15" hidden="false" customHeight="false" outlineLevel="0" collapsed="false">
      <c r="A1235" s="4"/>
      <c r="B1235" s="4"/>
      <c r="C1235" s="4"/>
      <c r="D1235" s="8"/>
      <c r="E1235" s="8"/>
      <c r="F1235" s="8"/>
      <c r="G1235" s="8"/>
      <c r="H1235" s="8"/>
      <c r="I1235" s="8"/>
    </row>
    <row r="1236" customFormat="false" ht="15" hidden="false" customHeight="false" outlineLevel="0" collapsed="false">
      <c r="A1236" s="4"/>
      <c r="B1236" s="4"/>
      <c r="C1236" s="4"/>
      <c r="D1236" s="8"/>
      <c r="E1236" s="8"/>
      <c r="F1236" s="8"/>
      <c r="G1236" s="8"/>
      <c r="H1236" s="8"/>
      <c r="I1236" s="8"/>
    </row>
    <row r="1237" customFormat="false" ht="15" hidden="false" customHeight="false" outlineLevel="0" collapsed="false">
      <c r="A1237" s="4"/>
      <c r="B1237" s="4"/>
      <c r="C1237" s="4"/>
      <c r="D1237" s="8"/>
      <c r="E1237" s="8"/>
      <c r="F1237" s="8"/>
      <c r="G1237" s="8"/>
      <c r="H1237" s="8"/>
      <c r="I1237" s="8"/>
    </row>
    <row r="1238" customFormat="false" ht="15" hidden="false" customHeight="false" outlineLevel="0" collapsed="false">
      <c r="A1238" s="4"/>
      <c r="B1238" s="4"/>
      <c r="C1238" s="4"/>
      <c r="D1238" s="8"/>
      <c r="E1238" s="8"/>
      <c r="F1238" s="8"/>
      <c r="G1238" s="8"/>
      <c r="H1238" s="8"/>
      <c r="I1238" s="8"/>
    </row>
    <row r="1239" customFormat="false" ht="15" hidden="false" customHeight="false" outlineLevel="0" collapsed="false">
      <c r="A1239" s="4"/>
      <c r="B1239" s="4"/>
      <c r="C1239" s="4"/>
      <c r="D1239" s="8"/>
      <c r="E1239" s="8"/>
      <c r="F1239" s="8"/>
      <c r="G1239" s="8"/>
      <c r="H1239" s="8"/>
      <c r="I1239" s="8"/>
    </row>
    <row r="1240" customFormat="false" ht="15" hidden="false" customHeight="false" outlineLevel="0" collapsed="false">
      <c r="A1240" s="4"/>
      <c r="B1240" s="4"/>
      <c r="C1240" s="4"/>
      <c r="D1240" s="8"/>
      <c r="E1240" s="8"/>
      <c r="F1240" s="8"/>
      <c r="G1240" s="8"/>
      <c r="H1240" s="8"/>
      <c r="I1240" s="8"/>
    </row>
    <row r="1241" customFormat="false" ht="15" hidden="false" customHeight="false" outlineLevel="0" collapsed="false">
      <c r="A1241" s="4"/>
      <c r="B1241" s="4"/>
      <c r="C1241" s="4"/>
      <c r="D1241" s="8"/>
      <c r="E1241" s="8"/>
      <c r="F1241" s="8"/>
      <c r="G1241" s="8"/>
      <c r="H1241" s="8"/>
      <c r="I1241" s="8"/>
    </row>
    <row r="1242" customFormat="false" ht="15" hidden="false" customHeight="false" outlineLevel="0" collapsed="false">
      <c r="A1242" s="4"/>
      <c r="B1242" s="4"/>
      <c r="C1242" s="4"/>
      <c r="D1242" s="8"/>
      <c r="E1242" s="8"/>
      <c r="F1242" s="8"/>
      <c r="G1242" s="8"/>
      <c r="H1242" s="8"/>
      <c r="I1242" s="8"/>
    </row>
    <row r="1243" customFormat="false" ht="15" hidden="false" customHeight="false" outlineLevel="0" collapsed="false">
      <c r="A1243" s="4"/>
      <c r="B1243" s="4"/>
      <c r="C1243" s="4"/>
      <c r="D1243" s="8"/>
      <c r="E1243" s="8"/>
      <c r="F1243" s="8"/>
      <c r="G1243" s="8"/>
      <c r="H1243" s="8"/>
      <c r="I1243" s="8"/>
    </row>
    <row r="1244" customFormat="false" ht="15" hidden="false" customHeight="false" outlineLevel="0" collapsed="false">
      <c r="A1244" s="4"/>
      <c r="B1244" s="4"/>
      <c r="C1244" s="4"/>
      <c r="D1244" s="8"/>
      <c r="E1244" s="8"/>
      <c r="F1244" s="8"/>
      <c r="G1244" s="8"/>
      <c r="H1244" s="8"/>
      <c r="I1244" s="8"/>
    </row>
    <row r="1245" customFormat="false" ht="15" hidden="false" customHeight="false" outlineLevel="0" collapsed="false">
      <c r="A1245" s="4"/>
      <c r="B1245" s="4"/>
      <c r="C1245" s="4"/>
      <c r="D1245" s="8"/>
      <c r="E1245" s="8"/>
      <c r="F1245" s="8"/>
      <c r="G1245" s="8"/>
      <c r="H1245" s="8"/>
      <c r="I1245" s="8"/>
    </row>
    <row r="1246" customFormat="false" ht="15" hidden="false" customHeight="false" outlineLevel="0" collapsed="false">
      <c r="A1246" s="4"/>
      <c r="B1246" s="4"/>
      <c r="C1246" s="4"/>
      <c r="D1246" s="8"/>
      <c r="E1246" s="8"/>
      <c r="F1246" s="8"/>
      <c r="G1246" s="8"/>
      <c r="H1246" s="8"/>
      <c r="I1246" s="8"/>
    </row>
    <row r="1247" customFormat="false" ht="15" hidden="false" customHeight="false" outlineLevel="0" collapsed="false">
      <c r="A1247" s="4"/>
      <c r="B1247" s="4"/>
      <c r="C1247" s="4"/>
      <c r="D1247" s="8"/>
      <c r="E1247" s="8"/>
      <c r="F1247" s="8"/>
      <c r="G1247" s="8"/>
      <c r="H1247" s="8"/>
      <c r="I1247" s="8"/>
    </row>
    <row r="1248" customFormat="false" ht="15" hidden="false" customHeight="false" outlineLevel="0" collapsed="false">
      <c r="A1248" s="4"/>
      <c r="B1248" s="4"/>
      <c r="C1248" s="4"/>
      <c r="D1248" s="8"/>
      <c r="E1248" s="8"/>
      <c r="F1248" s="8"/>
      <c r="G1248" s="8"/>
      <c r="H1248" s="8"/>
      <c r="I1248" s="8"/>
    </row>
    <row r="1249" customFormat="false" ht="15" hidden="false" customHeight="false" outlineLevel="0" collapsed="false">
      <c r="A1249" s="4"/>
      <c r="B1249" s="4"/>
      <c r="C1249" s="4"/>
      <c r="D1249" s="8"/>
      <c r="E1249" s="8"/>
      <c r="F1249" s="8"/>
      <c r="G1249" s="8"/>
      <c r="H1249" s="8"/>
      <c r="I1249" s="8"/>
    </row>
    <row r="1250" customFormat="false" ht="15" hidden="false" customHeight="false" outlineLevel="0" collapsed="false">
      <c r="A1250" s="4"/>
      <c r="B1250" s="4"/>
      <c r="C1250" s="4"/>
      <c r="D1250" s="8"/>
      <c r="E1250" s="8"/>
      <c r="F1250" s="8"/>
      <c r="G1250" s="8"/>
      <c r="H1250" s="8"/>
      <c r="I1250" s="8"/>
    </row>
    <row r="1251" customFormat="false" ht="15" hidden="false" customHeight="false" outlineLevel="0" collapsed="false">
      <c r="A1251" s="4"/>
      <c r="B1251" s="4"/>
      <c r="C1251" s="4"/>
      <c r="D1251" s="8"/>
      <c r="E1251" s="8"/>
      <c r="F1251" s="8"/>
      <c r="G1251" s="8"/>
      <c r="H1251" s="8"/>
      <c r="I1251" s="8"/>
    </row>
    <row r="1252" customFormat="false" ht="15" hidden="false" customHeight="false" outlineLevel="0" collapsed="false">
      <c r="A1252" s="4"/>
      <c r="B1252" s="4"/>
      <c r="C1252" s="4"/>
      <c r="D1252" s="8"/>
      <c r="E1252" s="8"/>
      <c r="F1252" s="8"/>
      <c r="G1252" s="8"/>
      <c r="H1252" s="8"/>
      <c r="I1252" s="8"/>
    </row>
    <row r="1253" customFormat="false" ht="15" hidden="false" customHeight="false" outlineLevel="0" collapsed="false">
      <c r="A1253" s="4"/>
      <c r="B1253" s="4"/>
      <c r="C1253" s="4"/>
      <c r="D1253" s="8"/>
      <c r="E1253" s="8"/>
      <c r="F1253" s="8"/>
      <c r="G1253" s="8"/>
      <c r="H1253" s="8"/>
      <c r="I1253" s="8"/>
    </row>
    <row r="1254" customFormat="false" ht="15" hidden="false" customHeight="false" outlineLevel="0" collapsed="false">
      <c r="A1254" s="4"/>
      <c r="B1254" s="4"/>
      <c r="C1254" s="4"/>
      <c r="D1254" s="8"/>
      <c r="E1254" s="8"/>
      <c r="F1254" s="8"/>
      <c r="G1254" s="8"/>
      <c r="H1254" s="8"/>
      <c r="I1254" s="8"/>
    </row>
    <row r="1255" customFormat="false" ht="15" hidden="false" customHeight="false" outlineLevel="0" collapsed="false">
      <c r="A1255" s="4"/>
      <c r="B1255" s="4"/>
      <c r="C1255" s="4"/>
      <c r="D1255" s="8"/>
      <c r="E1255" s="8"/>
      <c r="F1255" s="8"/>
      <c r="G1255" s="8"/>
      <c r="H1255" s="8"/>
      <c r="I1255" s="8"/>
    </row>
    <row r="1256" customFormat="false" ht="15" hidden="false" customHeight="false" outlineLevel="0" collapsed="false">
      <c r="A1256" s="4"/>
      <c r="B1256" s="4"/>
      <c r="C1256" s="4"/>
      <c r="D1256" s="8"/>
      <c r="E1256" s="8"/>
      <c r="F1256" s="8"/>
      <c r="G1256" s="8"/>
      <c r="H1256" s="8"/>
      <c r="I1256" s="8"/>
    </row>
    <row r="1257" customFormat="false" ht="15" hidden="false" customHeight="false" outlineLevel="0" collapsed="false">
      <c r="A1257" s="4"/>
      <c r="B1257" s="4"/>
      <c r="C1257" s="4"/>
      <c r="D1257" s="8"/>
      <c r="E1257" s="8"/>
      <c r="F1257" s="8"/>
      <c r="G1257" s="8"/>
      <c r="H1257" s="8"/>
      <c r="I1257" s="8"/>
    </row>
    <row r="1258" customFormat="false" ht="15" hidden="false" customHeight="false" outlineLevel="0" collapsed="false">
      <c r="A1258" s="4"/>
      <c r="B1258" s="4"/>
      <c r="C1258" s="4"/>
      <c r="D1258" s="8"/>
      <c r="E1258" s="8"/>
      <c r="F1258" s="8"/>
      <c r="G1258" s="8"/>
      <c r="H1258" s="8"/>
      <c r="I1258" s="8"/>
    </row>
    <row r="1259" customFormat="false" ht="15" hidden="false" customHeight="false" outlineLevel="0" collapsed="false">
      <c r="A1259" s="4"/>
      <c r="B1259" s="4"/>
      <c r="C1259" s="4"/>
      <c r="D1259" s="8"/>
      <c r="E1259" s="8"/>
      <c r="F1259" s="8"/>
      <c r="G1259" s="8"/>
      <c r="H1259" s="8"/>
      <c r="I1259" s="8"/>
    </row>
    <row r="1260" customFormat="false" ht="15" hidden="false" customHeight="false" outlineLevel="0" collapsed="false">
      <c r="A1260" s="4"/>
      <c r="B1260" s="4"/>
      <c r="C1260" s="4"/>
      <c r="D1260" s="8"/>
      <c r="E1260" s="8"/>
      <c r="F1260" s="8"/>
      <c r="G1260" s="8"/>
      <c r="H1260" s="8"/>
      <c r="I1260" s="8"/>
    </row>
    <row r="1261" customFormat="false" ht="15" hidden="false" customHeight="false" outlineLevel="0" collapsed="false">
      <c r="A1261" s="4"/>
      <c r="B1261" s="4"/>
      <c r="C1261" s="4"/>
      <c r="D1261" s="8"/>
      <c r="E1261" s="8"/>
      <c r="F1261" s="8"/>
      <c r="G1261" s="8"/>
      <c r="H1261" s="8"/>
      <c r="I1261" s="8"/>
    </row>
    <row r="1262" customFormat="false" ht="15" hidden="false" customHeight="false" outlineLevel="0" collapsed="false">
      <c r="A1262" s="4"/>
      <c r="B1262" s="4"/>
      <c r="C1262" s="4"/>
      <c r="D1262" s="8"/>
      <c r="E1262" s="8"/>
      <c r="F1262" s="8"/>
      <c r="G1262" s="8"/>
      <c r="H1262" s="8"/>
      <c r="I1262" s="8"/>
    </row>
    <row r="1263" customFormat="false" ht="15" hidden="false" customHeight="false" outlineLevel="0" collapsed="false">
      <c r="A1263" s="4"/>
      <c r="B1263" s="4"/>
      <c r="C1263" s="4"/>
      <c r="D1263" s="8"/>
      <c r="E1263" s="8"/>
      <c r="F1263" s="8"/>
      <c r="G1263" s="8"/>
      <c r="H1263" s="8"/>
      <c r="I1263" s="8"/>
    </row>
    <row r="1264" customFormat="false" ht="15" hidden="false" customHeight="false" outlineLevel="0" collapsed="false">
      <c r="A1264" s="4"/>
      <c r="B1264" s="4"/>
      <c r="C1264" s="4"/>
      <c r="D1264" s="8"/>
      <c r="E1264" s="8"/>
      <c r="F1264" s="8"/>
      <c r="G1264" s="8"/>
      <c r="H1264" s="8"/>
      <c r="I1264" s="8"/>
    </row>
    <row r="1265" customFormat="false" ht="15" hidden="false" customHeight="false" outlineLevel="0" collapsed="false">
      <c r="A1265" s="4"/>
      <c r="B1265" s="4"/>
      <c r="C1265" s="4"/>
      <c r="D1265" s="8"/>
      <c r="E1265" s="8"/>
      <c r="F1265" s="8"/>
      <c r="G1265" s="8"/>
      <c r="H1265" s="8"/>
      <c r="I1265" s="8"/>
    </row>
    <row r="1266" customFormat="false" ht="15" hidden="false" customHeight="false" outlineLevel="0" collapsed="false">
      <c r="A1266" s="4"/>
      <c r="B1266" s="4"/>
      <c r="C1266" s="4"/>
      <c r="D1266" s="8"/>
      <c r="E1266" s="8"/>
      <c r="F1266" s="8"/>
      <c r="G1266" s="8"/>
      <c r="H1266" s="8"/>
      <c r="I1266" s="8"/>
    </row>
    <row r="1267" customFormat="false" ht="15" hidden="false" customHeight="false" outlineLevel="0" collapsed="false">
      <c r="A1267" s="4"/>
      <c r="B1267" s="4"/>
      <c r="C1267" s="4"/>
      <c r="D1267" s="8"/>
      <c r="E1267" s="8"/>
      <c r="F1267" s="8"/>
      <c r="G1267" s="8"/>
      <c r="H1267" s="8"/>
      <c r="I1267" s="8"/>
    </row>
    <row r="1268" customFormat="false" ht="15" hidden="false" customHeight="false" outlineLevel="0" collapsed="false">
      <c r="A1268" s="4"/>
      <c r="B1268" s="4"/>
      <c r="C1268" s="4"/>
      <c r="D1268" s="8"/>
      <c r="E1268" s="8"/>
      <c r="F1268" s="8"/>
      <c r="G1268" s="8"/>
      <c r="H1268" s="8"/>
      <c r="I1268" s="8"/>
    </row>
    <row r="1269" customFormat="false" ht="15" hidden="false" customHeight="false" outlineLevel="0" collapsed="false">
      <c r="A1269" s="4"/>
      <c r="B1269" s="4"/>
      <c r="C1269" s="4"/>
      <c r="D1269" s="8"/>
      <c r="E1269" s="8"/>
      <c r="F1269" s="8"/>
      <c r="G1269" s="8"/>
      <c r="H1269" s="8"/>
      <c r="I1269" s="8"/>
    </row>
    <row r="1270" customFormat="false" ht="15" hidden="false" customHeight="false" outlineLevel="0" collapsed="false">
      <c r="A1270" s="4"/>
      <c r="B1270" s="4"/>
      <c r="C1270" s="4"/>
      <c r="D1270" s="8"/>
      <c r="E1270" s="8"/>
      <c r="F1270" s="8"/>
      <c r="G1270" s="8"/>
      <c r="H1270" s="8"/>
      <c r="I1270" s="8"/>
    </row>
    <row r="1271" customFormat="false" ht="15" hidden="false" customHeight="false" outlineLevel="0" collapsed="false">
      <c r="A1271" s="4"/>
      <c r="B1271" s="4"/>
      <c r="C1271" s="4"/>
      <c r="D1271" s="8"/>
      <c r="E1271" s="8"/>
      <c r="F1271" s="8"/>
      <c r="G1271" s="8"/>
      <c r="H1271" s="8"/>
      <c r="I1271" s="8"/>
    </row>
    <row r="1272" customFormat="false" ht="15" hidden="false" customHeight="false" outlineLevel="0" collapsed="false">
      <c r="A1272" s="4"/>
      <c r="B1272" s="4"/>
      <c r="C1272" s="4"/>
      <c r="D1272" s="8"/>
      <c r="E1272" s="8"/>
      <c r="F1272" s="8"/>
      <c r="G1272" s="8"/>
      <c r="H1272" s="8"/>
      <c r="I1272" s="8"/>
    </row>
    <row r="1273" customFormat="false" ht="15" hidden="false" customHeight="false" outlineLevel="0" collapsed="false">
      <c r="A1273" s="4"/>
      <c r="B1273" s="4"/>
      <c r="C1273" s="4"/>
      <c r="D1273" s="8"/>
      <c r="E1273" s="8"/>
      <c r="F1273" s="8"/>
      <c r="G1273" s="8"/>
      <c r="H1273" s="8"/>
      <c r="I1273" s="8"/>
    </row>
    <row r="1274" customFormat="false" ht="15" hidden="false" customHeight="false" outlineLevel="0" collapsed="false">
      <c r="A1274" s="4"/>
      <c r="B1274" s="4"/>
      <c r="C1274" s="4"/>
      <c r="D1274" s="8"/>
      <c r="E1274" s="8"/>
      <c r="F1274" s="8"/>
      <c r="G1274" s="8"/>
      <c r="H1274" s="8"/>
      <c r="I1274" s="8"/>
    </row>
    <row r="1275" customFormat="false" ht="15" hidden="false" customHeight="false" outlineLevel="0" collapsed="false">
      <c r="A1275" s="4"/>
      <c r="B1275" s="4"/>
      <c r="C1275" s="4"/>
      <c r="D1275" s="8"/>
      <c r="E1275" s="8"/>
      <c r="F1275" s="8"/>
      <c r="G1275" s="8"/>
      <c r="H1275" s="8"/>
      <c r="I1275" s="8"/>
    </row>
    <row r="1276" customFormat="false" ht="15" hidden="false" customHeight="false" outlineLevel="0" collapsed="false">
      <c r="A1276" s="4"/>
      <c r="B1276" s="4"/>
      <c r="C1276" s="4"/>
      <c r="D1276" s="8"/>
      <c r="E1276" s="8"/>
      <c r="F1276" s="8"/>
      <c r="G1276" s="8"/>
      <c r="H1276" s="8"/>
      <c r="I1276" s="8"/>
    </row>
    <row r="1277" customFormat="false" ht="15" hidden="false" customHeight="false" outlineLevel="0" collapsed="false">
      <c r="A1277" s="4"/>
      <c r="B1277" s="4"/>
      <c r="C1277" s="4"/>
      <c r="D1277" s="8"/>
      <c r="E1277" s="8"/>
      <c r="F1277" s="8"/>
      <c r="G1277" s="8"/>
      <c r="H1277" s="8"/>
      <c r="I1277" s="8"/>
    </row>
    <row r="1278" customFormat="false" ht="15" hidden="false" customHeight="false" outlineLevel="0" collapsed="false">
      <c r="A1278" s="4"/>
      <c r="B1278" s="4"/>
      <c r="C1278" s="4"/>
      <c r="D1278" s="8"/>
      <c r="E1278" s="8"/>
      <c r="F1278" s="8"/>
      <c r="G1278" s="8"/>
      <c r="H1278" s="8"/>
      <c r="I1278" s="8"/>
    </row>
    <row r="1279" customFormat="false" ht="15" hidden="false" customHeight="false" outlineLevel="0" collapsed="false">
      <c r="A1279" s="4"/>
      <c r="B1279" s="4"/>
      <c r="C1279" s="4"/>
      <c r="D1279" s="8"/>
      <c r="E1279" s="8"/>
      <c r="F1279" s="8"/>
      <c r="G1279" s="8"/>
      <c r="H1279" s="8"/>
      <c r="I1279" s="8"/>
    </row>
    <row r="1280" customFormat="false" ht="15" hidden="false" customHeight="false" outlineLevel="0" collapsed="false">
      <c r="A1280" s="4"/>
      <c r="B1280" s="4"/>
      <c r="C1280" s="4"/>
      <c r="D1280" s="8"/>
      <c r="E1280" s="8"/>
      <c r="F1280" s="8"/>
      <c r="G1280" s="8"/>
      <c r="H1280" s="8"/>
      <c r="I1280" s="8"/>
    </row>
    <row r="1281" customFormat="false" ht="15" hidden="false" customHeight="false" outlineLevel="0" collapsed="false">
      <c r="A1281" s="4"/>
      <c r="B1281" s="4"/>
      <c r="C1281" s="4"/>
      <c r="D1281" s="8"/>
      <c r="E1281" s="8"/>
      <c r="F1281" s="8"/>
      <c r="G1281" s="8"/>
      <c r="H1281" s="8"/>
      <c r="I1281" s="8"/>
    </row>
    <row r="1282" customFormat="false" ht="15" hidden="false" customHeight="false" outlineLevel="0" collapsed="false">
      <c r="A1282" s="4"/>
      <c r="B1282" s="4"/>
      <c r="C1282" s="4"/>
      <c r="D1282" s="8"/>
      <c r="E1282" s="8"/>
      <c r="F1282" s="8"/>
      <c r="G1282" s="8"/>
      <c r="H1282" s="8"/>
      <c r="I1282" s="8"/>
    </row>
    <row r="1283" customFormat="false" ht="15" hidden="false" customHeight="false" outlineLevel="0" collapsed="false">
      <c r="A1283" s="4"/>
      <c r="B1283" s="4"/>
      <c r="C1283" s="4"/>
      <c r="D1283" s="8"/>
      <c r="E1283" s="8"/>
      <c r="F1283" s="8"/>
      <c r="G1283" s="8"/>
      <c r="H1283" s="8"/>
      <c r="I1283" s="8"/>
    </row>
    <row r="1284" customFormat="false" ht="15" hidden="false" customHeight="false" outlineLevel="0" collapsed="false">
      <c r="A1284" s="4"/>
      <c r="B1284" s="4"/>
      <c r="C1284" s="4"/>
      <c r="D1284" s="8"/>
      <c r="E1284" s="8"/>
      <c r="F1284" s="8"/>
      <c r="G1284" s="8"/>
      <c r="H1284" s="8"/>
      <c r="I1284" s="8"/>
    </row>
    <row r="1285" customFormat="false" ht="15" hidden="false" customHeight="false" outlineLevel="0" collapsed="false">
      <c r="A1285" s="4"/>
      <c r="B1285" s="4"/>
      <c r="C1285" s="4"/>
      <c r="D1285" s="8"/>
      <c r="E1285" s="8"/>
      <c r="F1285" s="8"/>
      <c r="G1285" s="8"/>
      <c r="H1285" s="8"/>
      <c r="I1285" s="8"/>
    </row>
    <row r="1286" customFormat="false" ht="15" hidden="false" customHeight="false" outlineLevel="0" collapsed="false">
      <c r="A1286" s="4"/>
      <c r="B1286" s="4"/>
      <c r="C1286" s="4"/>
      <c r="D1286" s="8"/>
      <c r="E1286" s="8"/>
      <c r="F1286" s="8"/>
      <c r="G1286" s="8"/>
      <c r="H1286" s="8"/>
      <c r="I1286" s="8"/>
    </row>
    <row r="1287" customFormat="false" ht="15" hidden="false" customHeight="false" outlineLevel="0" collapsed="false">
      <c r="A1287" s="4"/>
      <c r="B1287" s="4"/>
      <c r="C1287" s="4"/>
      <c r="D1287" s="8"/>
      <c r="E1287" s="8"/>
      <c r="F1287" s="8"/>
      <c r="G1287" s="8"/>
      <c r="H1287" s="8"/>
      <c r="I1287" s="8"/>
    </row>
    <row r="1288" customFormat="false" ht="15" hidden="false" customHeight="false" outlineLevel="0" collapsed="false">
      <c r="A1288" s="4"/>
      <c r="B1288" s="4"/>
      <c r="C1288" s="4"/>
      <c r="D1288" s="8"/>
      <c r="E1288" s="8"/>
      <c r="F1288" s="8"/>
      <c r="G1288" s="8"/>
      <c r="H1288" s="8"/>
      <c r="I1288" s="8"/>
    </row>
    <row r="1289" customFormat="false" ht="15" hidden="false" customHeight="false" outlineLevel="0" collapsed="false">
      <c r="A1289" s="4"/>
      <c r="B1289" s="4"/>
      <c r="C1289" s="4"/>
      <c r="D1289" s="8"/>
      <c r="E1289" s="8"/>
      <c r="F1289" s="8"/>
      <c r="G1289" s="8"/>
      <c r="H1289" s="8"/>
      <c r="I1289" s="8"/>
    </row>
    <row r="1290" customFormat="false" ht="15" hidden="false" customHeight="false" outlineLevel="0" collapsed="false">
      <c r="A1290" s="4"/>
      <c r="B1290" s="4"/>
      <c r="C1290" s="4"/>
      <c r="D1290" s="8"/>
      <c r="E1290" s="8"/>
      <c r="F1290" s="8"/>
      <c r="G1290" s="8"/>
      <c r="H1290" s="8"/>
      <c r="I1290" s="8"/>
    </row>
    <row r="1291" customFormat="false" ht="15" hidden="false" customHeight="false" outlineLevel="0" collapsed="false">
      <c r="A1291" s="4"/>
      <c r="B1291" s="4"/>
      <c r="C1291" s="4"/>
      <c r="D1291" s="8"/>
      <c r="E1291" s="8"/>
      <c r="F1291" s="8"/>
      <c r="G1291" s="8"/>
      <c r="H1291" s="8"/>
      <c r="I1291" s="8"/>
    </row>
    <row r="1292" customFormat="false" ht="15" hidden="false" customHeight="false" outlineLevel="0" collapsed="false">
      <c r="A1292" s="4"/>
      <c r="B1292" s="4"/>
      <c r="C1292" s="4"/>
      <c r="D1292" s="8"/>
      <c r="E1292" s="8"/>
      <c r="F1292" s="8"/>
      <c r="G1292" s="8"/>
      <c r="H1292" s="8"/>
      <c r="I1292" s="8"/>
    </row>
    <row r="1293" customFormat="false" ht="15" hidden="false" customHeight="false" outlineLevel="0" collapsed="false">
      <c r="A1293" s="4"/>
      <c r="B1293" s="4"/>
      <c r="C1293" s="4"/>
      <c r="D1293" s="8"/>
      <c r="E1293" s="8"/>
      <c r="F1293" s="8"/>
      <c r="G1293" s="8"/>
      <c r="H1293" s="8"/>
      <c r="I1293" s="8"/>
    </row>
    <row r="1294" customFormat="false" ht="15" hidden="false" customHeight="false" outlineLevel="0" collapsed="false">
      <c r="A1294" s="4"/>
      <c r="B1294" s="4"/>
      <c r="C1294" s="4"/>
      <c r="D1294" s="8"/>
      <c r="E1294" s="8"/>
      <c r="F1294" s="8"/>
      <c r="G1294" s="8"/>
      <c r="H1294" s="8"/>
      <c r="I1294" s="8"/>
    </row>
    <row r="1295" customFormat="false" ht="15" hidden="false" customHeight="false" outlineLevel="0" collapsed="false">
      <c r="A1295" s="4"/>
      <c r="B1295" s="4"/>
      <c r="C1295" s="4"/>
      <c r="D1295" s="8"/>
      <c r="E1295" s="8"/>
      <c r="F1295" s="8"/>
      <c r="G1295" s="8"/>
      <c r="H1295" s="8"/>
      <c r="I1295" s="8"/>
    </row>
    <row r="1296" customFormat="false" ht="15" hidden="false" customHeight="false" outlineLevel="0" collapsed="false">
      <c r="A1296" s="4"/>
      <c r="B1296" s="4"/>
      <c r="C1296" s="4"/>
      <c r="D1296" s="8"/>
      <c r="E1296" s="8"/>
      <c r="F1296" s="8"/>
      <c r="G1296" s="8"/>
      <c r="H1296" s="8"/>
      <c r="I1296" s="8"/>
    </row>
    <row r="1297" customFormat="false" ht="15" hidden="false" customHeight="false" outlineLevel="0" collapsed="false">
      <c r="A1297" s="4"/>
      <c r="B1297" s="4"/>
      <c r="C1297" s="4"/>
      <c r="D1297" s="8"/>
      <c r="E1297" s="8"/>
      <c r="F1297" s="8"/>
      <c r="G1297" s="8"/>
      <c r="H1297" s="8"/>
      <c r="I1297" s="8"/>
    </row>
    <row r="1298" customFormat="false" ht="15" hidden="false" customHeight="false" outlineLevel="0" collapsed="false">
      <c r="A1298" s="4"/>
      <c r="B1298" s="4"/>
      <c r="C1298" s="4"/>
      <c r="D1298" s="8"/>
      <c r="E1298" s="8"/>
      <c r="F1298" s="8"/>
      <c r="G1298" s="8"/>
      <c r="H1298" s="8"/>
      <c r="I1298" s="8"/>
    </row>
    <row r="1299" customFormat="false" ht="15" hidden="false" customHeight="false" outlineLevel="0" collapsed="false">
      <c r="A1299" s="4"/>
      <c r="B1299" s="4"/>
      <c r="C1299" s="4"/>
      <c r="D1299" s="8"/>
      <c r="E1299" s="8"/>
      <c r="F1299" s="8"/>
      <c r="G1299" s="8"/>
      <c r="H1299" s="8"/>
      <c r="I1299" s="8"/>
    </row>
    <row r="1300" customFormat="false" ht="15" hidden="false" customHeight="false" outlineLevel="0" collapsed="false">
      <c r="A1300" s="4"/>
      <c r="B1300" s="4"/>
      <c r="C1300" s="4"/>
      <c r="D1300" s="8"/>
      <c r="E1300" s="8"/>
      <c r="F1300" s="8"/>
      <c r="G1300" s="8"/>
      <c r="H1300" s="8"/>
      <c r="I1300" s="8"/>
    </row>
    <row r="1301" customFormat="false" ht="15" hidden="false" customHeight="false" outlineLevel="0" collapsed="false">
      <c r="A1301" s="4"/>
      <c r="B1301" s="4"/>
      <c r="C1301" s="4"/>
      <c r="D1301" s="8"/>
      <c r="E1301" s="8"/>
      <c r="F1301" s="8"/>
      <c r="G1301" s="8"/>
      <c r="H1301" s="8"/>
      <c r="I1301" s="8"/>
    </row>
    <row r="1302" customFormat="false" ht="15" hidden="false" customHeight="false" outlineLevel="0" collapsed="false">
      <c r="A1302" s="4"/>
      <c r="B1302" s="4"/>
      <c r="C1302" s="4"/>
      <c r="D1302" s="8"/>
      <c r="E1302" s="8"/>
      <c r="F1302" s="8"/>
      <c r="G1302" s="8"/>
      <c r="H1302" s="8"/>
      <c r="I1302" s="8"/>
    </row>
    <row r="1303" customFormat="false" ht="15" hidden="false" customHeight="false" outlineLevel="0" collapsed="false">
      <c r="A1303" s="4"/>
      <c r="B1303" s="4"/>
      <c r="C1303" s="4"/>
      <c r="D1303" s="8"/>
      <c r="E1303" s="8"/>
      <c r="F1303" s="8"/>
      <c r="G1303" s="8"/>
      <c r="H1303" s="8"/>
      <c r="I1303" s="8"/>
    </row>
    <row r="1304" customFormat="false" ht="15" hidden="false" customHeight="false" outlineLevel="0" collapsed="false">
      <c r="A1304" s="4"/>
      <c r="B1304" s="4"/>
      <c r="C1304" s="4"/>
      <c r="D1304" s="8"/>
      <c r="E1304" s="8"/>
      <c r="F1304" s="8"/>
      <c r="G1304" s="8"/>
      <c r="H1304" s="8"/>
      <c r="I1304" s="8"/>
    </row>
    <row r="1305" customFormat="false" ht="15" hidden="false" customHeight="false" outlineLevel="0" collapsed="false">
      <c r="A1305" s="4"/>
      <c r="B1305" s="4"/>
      <c r="C1305" s="4"/>
      <c r="D1305" s="8"/>
      <c r="E1305" s="8"/>
      <c r="F1305" s="8"/>
      <c r="G1305" s="8"/>
      <c r="H1305" s="8"/>
      <c r="I1305" s="8"/>
    </row>
    <row r="1306" customFormat="false" ht="15" hidden="false" customHeight="false" outlineLevel="0" collapsed="false">
      <c r="A1306" s="4"/>
      <c r="B1306" s="4"/>
      <c r="C1306" s="4"/>
      <c r="D1306" s="8"/>
      <c r="E1306" s="8"/>
      <c r="F1306" s="8"/>
      <c r="G1306" s="8"/>
      <c r="H1306" s="8"/>
      <c r="I1306" s="8"/>
    </row>
    <row r="1307" customFormat="false" ht="15" hidden="false" customHeight="false" outlineLevel="0" collapsed="false">
      <c r="A1307" s="4"/>
      <c r="B1307" s="4"/>
      <c r="C1307" s="4"/>
      <c r="D1307" s="8"/>
      <c r="E1307" s="8"/>
      <c r="F1307" s="8"/>
      <c r="G1307" s="8"/>
      <c r="H1307" s="8"/>
      <c r="I1307" s="8"/>
    </row>
    <row r="1308" customFormat="false" ht="15" hidden="false" customHeight="false" outlineLevel="0" collapsed="false">
      <c r="A1308" s="4"/>
      <c r="B1308" s="4"/>
      <c r="C1308" s="4"/>
      <c r="D1308" s="8"/>
      <c r="E1308" s="8"/>
      <c r="F1308" s="8"/>
      <c r="G1308" s="8"/>
      <c r="H1308" s="8"/>
      <c r="I1308" s="8"/>
    </row>
    <row r="1309" customFormat="false" ht="15" hidden="false" customHeight="false" outlineLevel="0" collapsed="false">
      <c r="A1309" s="4"/>
      <c r="B1309" s="4"/>
      <c r="C1309" s="4"/>
      <c r="D1309" s="8"/>
      <c r="E1309" s="8"/>
      <c r="F1309" s="8"/>
      <c r="G1309" s="8"/>
      <c r="H1309" s="8"/>
      <c r="I1309" s="8"/>
    </row>
    <row r="1310" customFormat="false" ht="15" hidden="false" customHeight="false" outlineLevel="0" collapsed="false">
      <c r="A1310" s="4"/>
      <c r="B1310" s="4"/>
      <c r="C1310" s="4"/>
      <c r="D1310" s="8"/>
      <c r="E1310" s="8"/>
      <c r="F1310" s="8"/>
      <c r="G1310" s="8"/>
      <c r="H1310" s="8"/>
      <c r="I1310" s="8"/>
    </row>
    <row r="1311" customFormat="false" ht="15" hidden="false" customHeight="false" outlineLevel="0" collapsed="false">
      <c r="A1311" s="4"/>
      <c r="B1311" s="4"/>
      <c r="C1311" s="4"/>
      <c r="D1311" s="8"/>
      <c r="E1311" s="8"/>
      <c r="F1311" s="8"/>
      <c r="G1311" s="8"/>
      <c r="H1311" s="8"/>
      <c r="I1311" s="8"/>
    </row>
    <row r="1312" customFormat="false" ht="15" hidden="false" customHeight="false" outlineLevel="0" collapsed="false">
      <c r="A1312" s="4"/>
      <c r="B1312" s="4"/>
      <c r="C1312" s="4"/>
      <c r="D1312" s="8"/>
      <c r="E1312" s="8"/>
      <c r="F1312" s="8"/>
      <c r="G1312" s="8"/>
      <c r="H1312" s="8"/>
      <c r="I1312" s="8"/>
    </row>
    <row r="1313" customFormat="false" ht="15" hidden="false" customHeight="false" outlineLevel="0" collapsed="false">
      <c r="A1313" s="4"/>
      <c r="B1313" s="4"/>
      <c r="C1313" s="4"/>
      <c r="D1313" s="8"/>
      <c r="E1313" s="8"/>
      <c r="F1313" s="8"/>
      <c r="G1313" s="8"/>
      <c r="H1313" s="8"/>
      <c r="I1313" s="8"/>
    </row>
    <row r="1314" customFormat="false" ht="15" hidden="false" customHeight="false" outlineLevel="0" collapsed="false">
      <c r="A1314" s="4"/>
      <c r="B1314" s="4"/>
      <c r="C1314" s="4"/>
      <c r="D1314" s="8"/>
      <c r="E1314" s="8"/>
      <c r="F1314" s="8"/>
      <c r="G1314" s="8"/>
      <c r="H1314" s="8"/>
      <c r="I1314" s="8"/>
    </row>
    <row r="1315" customFormat="false" ht="15" hidden="false" customHeight="false" outlineLevel="0" collapsed="false">
      <c r="A1315" s="4"/>
      <c r="B1315" s="4"/>
      <c r="C1315" s="4"/>
      <c r="D1315" s="8"/>
      <c r="E1315" s="8"/>
      <c r="F1315" s="8"/>
      <c r="G1315" s="8"/>
      <c r="H1315" s="8"/>
      <c r="I1315" s="8"/>
    </row>
    <row r="1316" customFormat="false" ht="15" hidden="false" customHeight="false" outlineLevel="0" collapsed="false">
      <c r="A1316" s="4"/>
      <c r="B1316" s="4"/>
      <c r="C1316" s="4"/>
      <c r="D1316" s="8"/>
      <c r="E1316" s="8"/>
      <c r="F1316" s="8"/>
      <c r="G1316" s="8"/>
      <c r="H1316" s="8"/>
      <c r="I1316" s="8"/>
    </row>
    <row r="1317" customFormat="false" ht="15" hidden="false" customHeight="false" outlineLevel="0" collapsed="false">
      <c r="A1317" s="4"/>
      <c r="B1317" s="4"/>
      <c r="C1317" s="4"/>
      <c r="D1317" s="8"/>
      <c r="E1317" s="8"/>
      <c r="F1317" s="8"/>
      <c r="G1317" s="8"/>
      <c r="H1317" s="8"/>
      <c r="I1317" s="8"/>
    </row>
    <row r="1318" customFormat="false" ht="15" hidden="false" customHeight="false" outlineLevel="0" collapsed="false">
      <c r="A1318" s="4"/>
      <c r="B1318" s="4"/>
      <c r="C1318" s="4"/>
      <c r="D1318" s="8"/>
      <c r="E1318" s="8"/>
      <c r="F1318" s="8"/>
      <c r="G1318" s="8"/>
      <c r="H1318" s="8"/>
      <c r="I1318" s="8"/>
    </row>
    <row r="1319" customFormat="false" ht="15" hidden="false" customHeight="false" outlineLevel="0" collapsed="false">
      <c r="A1319" s="4"/>
      <c r="B1319" s="4"/>
      <c r="C1319" s="4"/>
      <c r="D1319" s="8"/>
      <c r="E1319" s="8"/>
      <c r="F1319" s="8"/>
      <c r="G1319" s="8"/>
      <c r="H1319" s="8"/>
      <c r="I1319" s="8"/>
    </row>
    <row r="1320" customFormat="false" ht="15" hidden="false" customHeight="false" outlineLevel="0" collapsed="false">
      <c r="A1320" s="4"/>
      <c r="B1320" s="4"/>
      <c r="C1320" s="4"/>
      <c r="D1320" s="8"/>
      <c r="E1320" s="8"/>
      <c r="F1320" s="8"/>
      <c r="G1320" s="8"/>
      <c r="H1320" s="8"/>
      <c r="I1320" s="8"/>
    </row>
    <row r="1321" customFormat="false" ht="15" hidden="false" customHeight="false" outlineLevel="0" collapsed="false">
      <c r="A1321" s="4"/>
      <c r="B1321" s="4"/>
      <c r="C1321" s="4"/>
      <c r="D1321" s="8"/>
      <c r="E1321" s="8"/>
      <c r="F1321" s="8"/>
      <c r="G1321" s="8"/>
      <c r="H1321" s="8"/>
      <c r="I1321" s="8"/>
    </row>
    <row r="1322" customFormat="false" ht="15" hidden="false" customHeight="false" outlineLevel="0" collapsed="false">
      <c r="A1322" s="4"/>
      <c r="B1322" s="4"/>
      <c r="C1322" s="4"/>
      <c r="D1322" s="8"/>
      <c r="E1322" s="8"/>
      <c r="F1322" s="8"/>
      <c r="G1322" s="8"/>
      <c r="H1322" s="8"/>
      <c r="I1322" s="8"/>
    </row>
    <row r="1323" customFormat="false" ht="15" hidden="false" customHeight="false" outlineLevel="0" collapsed="false">
      <c r="A1323" s="4"/>
      <c r="B1323" s="4"/>
      <c r="C1323" s="4"/>
      <c r="D1323" s="8"/>
      <c r="E1323" s="8"/>
      <c r="F1323" s="8"/>
      <c r="G1323" s="8"/>
      <c r="H1323" s="8"/>
      <c r="I1323" s="8"/>
    </row>
    <row r="1324" customFormat="false" ht="15" hidden="false" customHeight="false" outlineLevel="0" collapsed="false">
      <c r="A1324" s="4"/>
      <c r="B1324" s="4"/>
      <c r="C1324" s="4"/>
      <c r="D1324" s="8"/>
      <c r="E1324" s="8"/>
      <c r="F1324" s="8"/>
      <c r="G1324" s="8"/>
      <c r="H1324" s="8"/>
      <c r="I1324" s="8"/>
    </row>
    <row r="1325" customFormat="false" ht="15" hidden="false" customHeight="false" outlineLevel="0" collapsed="false">
      <c r="A1325" s="4"/>
      <c r="B1325" s="4"/>
      <c r="C1325" s="4"/>
      <c r="D1325" s="8"/>
      <c r="E1325" s="8"/>
      <c r="F1325" s="8"/>
      <c r="G1325" s="8"/>
      <c r="H1325" s="8"/>
      <c r="I1325" s="8"/>
    </row>
    <row r="1326" customFormat="false" ht="15" hidden="false" customHeight="false" outlineLevel="0" collapsed="false">
      <c r="A1326" s="4"/>
      <c r="B1326" s="4"/>
      <c r="C1326" s="4"/>
      <c r="D1326" s="8"/>
      <c r="E1326" s="8"/>
      <c r="F1326" s="8"/>
      <c r="G1326" s="8"/>
      <c r="H1326" s="8"/>
      <c r="I1326" s="8"/>
    </row>
    <row r="1327" customFormat="false" ht="15" hidden="false" customHeight="false" outlineLevel="0" collapsed="false">
      <c r="A1327" s="4"/>
      <c r="B1327" s="4"/>
      <c r="C1327" s="4"/>
      <c r="D1327" s="8"/>
      <c r="E1327" s="8"/>
      <c r="F1327" s="8"/>
      <c r="G1327" s="8"/>
      <c r="H1327" s="8"/>
      <c r="I1327" s="8"/>
    </row>
    <row r="1328" customFormat="false" ht="15" hidden="false" customHeight="false" outlineLevel="0" collapsed="false">
      <c r="A1328" s="4"/>
      <c r="B1328" s="4"/>
      <c r="C1328" s="4"/>
      <c r="D1328" s="8"/>
      <c r="E1328" s="8"/>
      <c r="F1328" s="8"/>
      <c r="G1328" s="8"/>
      <c r="H1328" s="8"/>
      <c r="I1328" s="8"/>
    </row>
    <row r="1329" customFormat="false" ht="15" hidden="false" customHeight="false" outlineLevel="0" collapsed="false">
      <c r="A1329" s="4"/>
      <c r="B1329" s="4"/>
      <c r="C1329" s="4"/>
      <c r="D1329" s="8"/>
      <c r="E1329" s="8"/>
      <c r="F1329" s="8"/>
      <c r="G1329" s="8"/>
      <c r="H1329" s="8"/>
      <c r="I1329" s="8"/>
    </row>
    <row r="1330" customFormat="false" ht="15" hidden="false" customHeight="false" outlineLevel="0" collapsed="false">
      <c r="A1330" s="4"/>
      <c r="B1330" s="4"/>
      <c r="C1330" s="4"/>
      <c r="D1330" s="8"/>
      <c r="E1330" s="8"/>
      <c r="F1330" s="8"/>
      <c r="G1330" s="8"/>
      <c r="H1330" s="8"/>
      <c r="I1330" s="8"/>
    </row>
    <row r="1331" customFormat="false" ht="15" hidden="false" customHeight="false" outlineLevel="0" collapsed="false">
      <c r="A1331" s="4"/>
      <c r="B1331" s="4"/>
      <c r="C1331" s="4"/>
      <c r="D1331" s="8"/>
      <c r="E1331" s="8"/>
      <c r="F1331" s="8"/>
      <c r="G1331" s="8"/>
      <c r="H1331" s="8"/>
      <c r="I1331" s="8"/>
    </row>
    <row r="1332" customFormat="false" ht="15" hidden="false" customHeight="false" outlineLevel="0" collapsed="false">
      <c r="A1332" s="4"/>
      <c r="B1332" s="4"/>
      <c r="C1332" s="4"/>
      <c r="D1332" s="8"/>
      <c r="E1332" s="8"/>
      <c r="F1332" s="8"/>
      <c r="G1332" s="8"/>
      <c r="H1332" s="8"/>
      <c r="I1332" s="8"/>
    </row>
    <row r="1333" customFormat="false" ht="15" hidden="false" customHeight="false" outlineLevel="0" collapsed="false">
      <c r="A1333" s="4"/>
      <c r="B1333" s="4"/>
      <c r="C1333" s="4"/>
      <c r="D1333" s="8"/>
      <c r="E1333" s="8"/>
      <c r="F1333" s="8"/>
      <c r="G1333" s="8"/>
      <c r="H1333" s="8"/>
      <c r="I1333" s="8"/>
    </row>
    <row r="1334" customFormat="false" ht="15" hidden="false" customHeight="false" outlineLevel="0" collapsed="false">
      <c r="A1334" s="4"/>
      <c r="B1334" s="4"/>
      <c r="C1334" s="4"/>
      <c r="D1334" s="8"/>
      <c r="E1334" s="8"/>
      <c r="F1334" s="8"/>
      <c r="G1334" s="8"/>
      <c r="H1334" s="8"/>
      <c r="I1334" s="8"/>
    </row>
    <row r="1335" customFormat="false" ht="15" hidden="false" customHeight="false" outlineLevel="0" collapsed="false">
      <c r="A1335" s="4"/>
      <c r="B1335" s="4"/>
      <c r="C1335" s="4"/>
      <c r="D1335" s="8"/>
      <c r="E1335" s="8"/>
      <c r="F1335" s="8"/>
      <c r="G1335" s="8"/>
      <c r="H1335" s="8"/>
      <c r="I1335" s="8"/>
    </row>
    <row r="1336" customFormat="false" ht="15" hidden="false" customHeight="false" outlineLevel="0" collapsed="false">
      <c r="A1336" s="4"/>
      <c r="B1336" s="4"/>
      <c r="C1336" s="4"/>
      <c r="D1336" s="8"/>
      <c r="E1336" s="8"/>
      <c r="F1336" s="8"/>
      <c r="G1336" s="8"/>
      <c r="H1336" s="8"/>
      <c r="I1336" s="8"/>
    </row>
    <row r="1337" customFormat="false" ht="15" hidden="false" customHeight="false" outlineLevel="0" collapsed="false">
      <c r="A1337" s="4"/>
      <c r="B1337" s="4"/>
      <c r="C1337" s="4"/>
      <c r="D1337" s="8"/>
      <c r="E1337" s="8"/>
      <c r="F1337" s="8"/>
      <c r="G1337" s="8"/>
      <c r="H1337" s="8"/>
      <c r="I1337" s="8"/>
    </row>
    <row r="1338" customFormat="false" ht="15" hidden="false" customHeight="false" outlineLevel="0" collapsed="false">
      <c r="A1338" s="4"/>
      <c r="B1338" s="4"/>
      <c r="C1338" s="4"/>
      <c r="D1338" s="8"/>
      <c r="E1338" s="8"/>
      <c r="F1338" s="8"/>
      <c r="G1338" s="8"/>
      <c r="H1338" s="8"/>
      <c r="I1338" s="8"/>
    </row>
    <row r="1339" customFormat="false" ht="15" hidden="false" customHeight="false" outlineLevel="0" collapsed="false">
      <c r="A1339" s="4"/>
      <c r="B1339" s="4"/>
      <c r="C1339" s="4"/>
      <c r="D1339" s="8"/>
      <c r="E1339" s="8"/>
      <c r="F1339" s="8"/>
      <c r="G1339" s="8"/>
      <c r="H1339" s="8"/>
      <c r="I1339" s="8"/>
    </row>
    <row r="1340" customFormat="false" ht="15" hidden="false" customHeight="false" outlineLevel="0" collapsed="false">
      <c r="A1340" s="4"/>
      <c r="B1340" s="4"/>
      <c r="C1340" s="4"/>
      <c r="D1340" s="8"/>
      <c r="E1340" s="8"/>
      <c r="F1340" s="8"/>
      <c r="G1340" s="8"/>
      <c r="H1340" s="8"/>
      <c r="I1340" s="8"/>
    </row>
    <row r="1341" customFormat="false" ht="15" hidden="false" customHeight="false" outlineLevel="0" collapsed="false">
      <c r="A1341" s="4"/>
      <c r="B1341" s="4"/>
      <c r="C1341" s="4"/>
      <c r="D1341" s="8"/>
      <c r="E1341" s="8"/>
      <c r="F1341" s="8"/>
      <c r="G1341" s="8"/>
      <c r="H1341" s="8"/>
      <c r="I1341" s="8"/>
    </row>
    <row r="1342" customFormat="false" ht="15" hidden="false" customHeight="false" outlineLevel="0" collapsed="false">
      <c r="A1342" s="4"/>
      <c r="B1342" s="4"/>
      <c r="C1342" s="4"/>
      <c r="D1342" s="8"/>
      <c r="E1342" s="8"/>
      <c r="F1342" s="8"/>
      <c r="G1342" s="8"/>
      <c r="H1342" s="8"/>
      <c r="I1342" s="8"/>
    </row>
    <row r="1343" customFormat="false" ht="15" hidden="false" customHeight="false" outlineLevel="0" collapsed="false">
      <c r="A1343" s="4"/>
      <c r="B1343" s="4"/>
      <c r="C1343" s="4"/>
      <c r="D1343" s="8"/>
      <c r="E1343" s="8"/>
      <c r="F1343" s="8"/>
      <c r="G1343" s="8"/>
      <c r="H1343" s="8"/>
      <c r="I1343" s="8"/>
    </row>
    <row r="1344" customFormat="false" ht="15" hidden="false" customHeight="false" outlineLevel="0" collapsed="false">
      <c r="A1344" s="4"/>
      <c r="B1344" s="4"/>
      <c r="C1344" s="4"/>
      <c r="D1344" s="8"/>
      <c r="E1344" s="8"/>
      <c r="F1344" s="8"/>
      <c r="G1344" s="8"/>
      <c r="H1344" s="8"/>
      <c r="I1344" s="8"/>
    </row>
    <row r="1345" customFormat="false" ht="15" hidden="false" customHeight="false" outlineLevel="0" collapsed="false">
      <c r="A1345" s="4"/>
      <c r="B1345" s="4"/>
      <c r="C1345" s="4"/>
      <c r="D1345" s="8"/>
      <c r="E1345" s="8"/>
      <c r="F1345" s="8"/>
      <c r="G1345" s="8"/>
      <c r="H1345" s="8"/>
      <c r="I1345" s="8"/>
    </row>
    <row r="1346" customFormat="false" ht="15" hidden="false" customHeight="false" outlineLevel="0" collapsed="false">
      <c r="A1346" s="4"/>
      <c r="B1346" s="4"/>
      <c r="C1346" s="4"/>
      <c r="D1346" s="8"/>
      <c r="E1346" s="8"/>
      <c r="F1346" s="8"/>
      <c r="G1346" s="8"/>
      <c r="H1346" s="8"/>
      <c r="I1346" s="8"/>
    </row>
    <row r="1347" customFormat="false" ht="15" hidden="false" customHeight="false" outlineLevel="0" collapsed="false">
      <c r="A1347" s="4"/>
      <c r="B1347" s="4"/>
      <c r="C1347" s="4"/>
      <c r="D1347" s="8"/>
      <c r="E1347" s="8"/>
      <c r="F1347" s="8"/>
      <c r="G1347" s="8"/>
      <c r="H1347" s="8"/>
      <c r="I1347" s="8"/>
    </row>
    <row r="1348" customFormat="false" ht="15" hidden="false" customHeight="false" outlineLevel="0" collapsed="false">
      <c r="A1348" s="4"/>
      <c r="B1348" s="4"/>
      <c r="C1348" s="4"/>
      <c r="D1348" s="8"/>
      <c r="E1348" s="8"/>
      <c r="F1348" s="8"/>
      <c r="G1348" s="8"/>
      <c r="H1348" s="8"/>
      <c r="I1348" s="8"/>
    </row>
    <row r="1349" customFormat="false" ht="15" hidden="false" customHeight="false" outlineLevel="0" collapsed="false">
      <c r="A1349" s="4"/>
      <c r="B1349" s="4"/>
      <c r="C1349" s="4"/>
      <c r="D1349" s="8"/>
      <c r="E1349" s="8"/>
      <c r="F1349" s="8"/>
      <c r="G1349" s="8"/>
      <c r="H1349" s="8"/>
      <c r="I1349" s="8"/>
    </row>
    <row r="1350" customFormat="false" ht="15" hidden="false" customHeight="false" outlineLevel="0" collapsed="false">
      <c r="A1350" s="4"/>
      <c r="B1350" s="4"/>
      <c r="C1350" s="4"/>
      <c r="D1350" s="8"/>
      <c r="E1350" s="8"/>
      <c r="F1350" s="8"/>
      <c r="G1350" s="8"/>
      <c r="H1350" s="8"/>
      <c r="I1350" s="8"/>
    </row>
    <row r="1351" customFormat="false" ht="15" hidden="false" customHeight="false" outlineLevel="0" collapsed="false">
      <c r="A1351" s="4"/>
      <c r="B1351" s="4"/>
      <c r="C1351" s="4"/>
      <c r="D1351" s="8"/>
      <c r="E1351" s="8"/>
      <c r="F1351" s="8"/>
      <c r="G1351" s="8"/>
      <c r="H1351" s="8"/>
      <c r="I1351" s="8"/>
    </row>
    <row r="1352" customFormat="false" ht="15" hidden="false" customHeight="false" outlineLevel="0" collapsed="false">
      <c r="A1352" s="4"/>
      <c r="B1352" s="4"/>
      <c r="C1352" s="4"/>
      <c r="D1352" s="8"/>
      <c r="E1352" s="8"/>
      <c r="F1352" s="8"/>
      <c r="G1352" s="8"/>
      <c r="H1352" s="8"/>
      <c r="I1352" s="8"/>
    </row>
    <row r="1353" customFormat="false" ht="15" hidden="false" customHeight="false" outlineLevel="0" collapsed="false">
      <c r="A1353" s="4"/>
      <c r="B1353" s="4"/>
      <c r="C1353" s="4"/>
      <c r="D1353" s="8"/>
      <c r="E1353" s="8"/>
      <c r="F1353" s="8"/>
      <c r="G1353" s="8"/>
      <c r="H1353" s="8"/>
      <c r="I1353" s="8"/>
    </row>
    <row r="1354" customFormat="false" ht="15" hidden="false" customHeight="false" outlineLevel="0" collapsed="false">
      <c r="A1354" s="4"/>
      <c r="B1354" s="4"/>
      <c r="C1354" s="4"/>
      <c r="D1354" s="8"/>
      <c r="E1354" s="8"/>
      <c r="F1354" s="8"/>
      <c r="G1354" s="8"/>
      <c r="H1354" s="8"/>
      <c r="I1354" s="8"/>
    </row>
    <row r="1355" customFormat="false" ht="15" hidden="false" customHeight="false" outlineLevel="0" collapsed="false">
      <c r="A1355" s="4"/>
      <c r="B1355" s="4"/>
      <c r="C1355" s="4"/>
      <c r="D1355" s="8"/>
      <c r="E1355" s="8"/>
      <c r="F1355" s="8"/>
      <c r="G1355" s="8"/>
      <c r="H1355" s="8"/>
      <c r="I1355" s="8"/>
    </row>
    <row r="1356" customFormat="false" ht="15" hidden="false" customHeight="false" outlineLevel="0" collapsed="false">
      <c r="A1356" s="4"/>
      <c r="B1356" s="4"/>
      <c r="C1356" s="4"/>
      <c r="D1356" s="8"/>
      <c r="E1356" s="8"/>
      <c r="F1356" s="8"/>
      <c r="G1356" s="8"/>
      <c r="H1356" s="8"/>
      <c r="I1356" s="8"/>
    </row>
    <row r="1357" customFormat="false" ht="15" hidden="false" customHeight="false" outlineLevel="0" collapsed="false">
      <c r="A1357" s="4"/>
      <c r="B1357" s="4"/>
      <c r="C1357" s="4"/>
      <c r="D1357" s="8"/>
      <c r="E1357" s="8"/>
      <c r="F1357" s="8"/>
      <c r="G1357" s="8"/>
      <c r="H1357" s="8"/>
      <c r="I1357" s="8"/>
    </row>
    <row r="1358" customFormat="false" ht="15" hidden="false" customHeight="false" outlineLevel="0" collapsed="false">
      <c r="A1358" s="4"/>
      <c r="B1358" s="4"/>
      <c r="C1358" s="4"/>
      <c r="D1358" s="8"/>
      <c r="E1358" s="8"/>
      <c r="F1358" s="8"/>
      <c r="G1358" s="8"/>
      <c r="H1358" s="8"/>
      <c r="I1358" s="8"/>
    </row>
    <row r="1359" customFormat="false" ht="15" hidden="false" customHeight="false" outlineLevel="0" collapsed="false">
      <c r="A1359" s="4"/>
      <c r="B1359" s="4"/>
      <c r="C1359" s="4"/>
      <c r="D1359" s="8"/>
      <c r="E1359" s="8"/>
      <c r="F1359" s="8"/>
      <c r="G1359" s="8"/>
      <c r="H1359" s="8"/>
      <c r="I1359" s="8"/>
    </row>
    <row r="1360" customFormat="false" ht="15" hidden="false" customHeight="false" outlineLevel="0" collapsed="false">
      <c r="A1360" s="4"/>
      <c r="B1360" s="4"/>
      <c r="C1360" s="4"/>
      <c r="D1360" s="8"/>
      <c r="E1360" s="8"/>
      <c r="F1360" s="8"/>
      <c r="G1360" s="8"/>
      <c r="H1360" s="8"/>
      <c r="I1360" s="8"/>
    </row>
    <row r="1361" customFormat="false" ht="15" hidden="false" customHeight="false" outlineLevel="0" collapsed="false">
      <c r="A1361" s="4"/>
      <c r="B1361" s="4"/>
      <c r="C1361" s="4"/>
      <c r="D1361" s="8"/>
      <c r="E1361" s="8"/>
      <c r="F1361" s="8"/>
      <c r="G1361" s="8"/>
      <c r="H1361" s="8"/>
      <c r="I1361" s="8"/>
    </row>
    <row r="1362" customFormat="false" ht="15" hidden="false" customHeight="false" outlineLevel="0" collapsed="false">
      <c r="A1362" s="4"/>
      <c r="B1362" s="4"/>
      <c r="C1362" s="4"/>
      <c r="D1362" s="8"/>
      <c r="E1362" s="8"/>
      <c r="F1362" s="8"/>
      <c r="G1362" s="8"/>
      <c r="H1362" s="8"/>
      <c r="I1362" s="8"/>
    </row>
    <row r="1363" customFormat="false" ht="15" hidden="false" customHeight="false" outlineLevel="0" collapsed="false">
      <c r="A1363" s="4"/>
      <c r="B1363" s="4"/>
      <c r="C1363" s="4"/>
      <c r="D1363" s="8"/>
      <c r="E1363" s="8"/>
      <c r="F1363" s="8"/>
      <c r="G1363" s="8"/>
      <c r="H1363" s="8"/>
      <c r="I1363" s="8"/>
    </row>
    <row r="1364" customFormat="false" ht="15" hidden="false" customHeight="false" outlineLevel="0" collapsed="false">
      <c r="A1364" s="4"/>
      <c r="B1364" s="4"/>
      <c r="C1364" s="4"/>
      <c r="D1364" s="8"/>
      <c r="E1364" s="8"/>
      <c r="F1364" s="8"/>
      <c r="G1364" s="8"/>
      <c r="H1364" s="8"/>
      <c r="I1364" s="8"/>
    </row>
    <row r="1365" customFormat="false" ht="15" hidden="false" customHeight="false" outlineLevel="0" collapsed="false">
      <c r="A1365" s="4"/>
      <c r="B1365" s="4"/>
      <c r="C1365" s="4"/>
      <c r="D1365" s="8"/>
      <c r="E1365" s="8"/>
      <c r="F1365" s="8"/>
      <c r="G1365" s="8"/>
      <c r="H1365" s="8"/>
      <c r="I1365" s="8"/>
    </row>
    <row r="1366" customFormat="false" ht="15" hidden="false" customHeight="false" outlineLevel="0" collapsed="false">
      <c r="A1366" s="4"/>
      <c r="B1366" s="4"/>
      <c r="C1366" s="4"/>
      <c r="D1366" s="8"/>
      <c r="E1366" s="8"/>
      <c r="F1366" s="8"/>
      <c r="G1366" s="8"/>
      <c r="H1366" s="8"/>
      <c r="I1366" s="8"/>
    </row>
    <row r="1367" customFormat="false" ht="15" hidden="false" customHeight="false" outlineLevel="0" collapsed="false">
      <c r="A1367" s="4"/>
      <c r="B1367" s="4"/>
      <c r="C1367" s="4"/>
      <c r="D1367" s="8"/>
      <c r="E1367" s="8"/>
      <c r="F1367" s="8"/>
      <c r="G1367" s="8"/>
      <c r="H1367" s="8"/>
      <c r="I1367" s="8"/>
    </row>
    <row r="1368" customFormat="false" ht="15" hidden="false" customHeight="false" outlineLevel="0" collapsed="false">
      <c r="A1368" s="4"/>
      <c r="B1368" s="4"/>
      <c r="C1368" s="4"/>
      <c r="D1368" s="8"/>
      <c r="E1368" s="8"/>
      <c r="F1368" s="8"/>
      <c r="G1368" s="8"/>
      <c r="H1368" s="8"/>
      <c r="I1368" s="8"/>
    </row>
    <row r="1369" customFormat="false" ht="15" hidden="false" customHeight="false" outlineLevel="0" collapsed="false">
      <c r="A1369" s="4"/>
      <c r="B1369" s="4"/>
      <c r="C1369" s="4"/>
      <c r="D1369" s="8"/>
      <c r="E1369" s="8"/>
      <c r="F1369" s="8"/>
      <c r="G1369" s="8"/>
      <c r="H1369" s="8"/>
      <c r="I1369" s="8"/>
    </row>
    <row r="1370" customFormat="false" ht="15" hidden="false" customHeight="false" outlineLevel="0" collapsed="false">
      <c r="A1370" s="4"/>
      <c r="B1370" s="4"/>
      <c r="C1370" s="4"/>
      <c r="D1370" s="8"/>
      <c r="E1370" s="8"/>
      <c r="F1370" s="8"/>
      <c r="G1370" s="8"/>
      <c r="H1370" s="8"/>
      <c r="I1370" s="8"/>
    </row>
    <row r="1371" customFormat="false" ht="15" hidden="false" customHeight="false" outlineLevel="0" collapsed="false">
      <c r="A1371" s="4"/>
      <c r="B1371" s="4"/>
      <c r="C1371" s="4"/>
      <c r="D1371" s="8"/>
      <c r="E1371" s="8"/>
      <c r="F1371" s="8"/>
      <c r="G1371" s="8"/>
      <c r="H1371" s="8"/>
      <c r="I1371" s="8"/>
    </row>
    <row r="1372" customFormat="false" ht="15" hidden="false" customHeight="false" outlineLevel="0" collapsed="false">
      <c r="A1372" s="4"/>
      <c r="B1372" s="4"/>
      <c r="C1372" s="4"/>
      <c r="D1372" s="8"/>
      <c r="E1372" s="8"/>
      <c r="F1372" s="8"/>
      <c r="G1372" s="8"/>
      <c r="H1372" s="8"/>
      <c r="I1372" s="8"/>
    </row>
    <row r="1373" customFormat="false" ht="15" hidden="false" customHeight="false" outlineLevel="0" collapsed="false">
      <c r="A1373" s="4"/>
      <c r="B1373" s="4"/>
      <c r="C1373" s="4"/>
      <c r="D1373" s="8"/>
      <c r="E1373" s="8"/>
      <c r="F1373" s="8"/>
      <c r="G1373" s="8"/>
      <c r="H1373" s="8"/>
      <c r="I1373" s="8"/>
    </row>
    <row r="1374" customFormat="false" ht="15" hidden="false" customHeight="false" outlineLevel="0" collapsed="false">
      <c r="A1374" s="4"/>
      <c r="B1374" s="4"/>
      <c r="C1374" s="4"/>
      <c r="D1374" s="8"/>
      <c r="E1374" s="8"/>
      <c r="F1374" s="8"/>
      <c r="G1374" s="8"/>
      <c r="H1374" s="8"/>
      <c r="I1374" s="8"/>
    </row>
    <row r="1375" customFormat="false" ht="15" hidden="false" customHeight="false" outlineLevel="0" collapsed="false">
      <c r="A1375" s="4"/>
      <c r="B1375" s="4"/>
      <c r="C1375" s="4"/>
      <c r="D1375" s="8"/>
      <c r="E1375" s="8"/>
      <c r="F1375" s="8"/>
      <c r="G1375" s="8"/>
      <c r="H1375" s="8"/>
      <c r="I1375" s="8"/>
    </row>
    <row r="1376" customFormat="false" ht="15" hidden="false" customHeight="false" outlineLevel="0" collapsed="false">
      <c r="A1376" s="4"/>
      <c r="B1376" s="4"/>
      <c r="C1376" s="4"/>
      <c r="D1376" s="8"/>
      <c r="E1376" s="8"/>
      <c r="F1376" s="8"/>
      <c r="G1376" s="8"/>
      <c r="H1376" s="8"/>
      <c r="I1376" s="8"/>
    </row>
    <row r="1377" customFormat="false" ht="15" hidden="false" customHeight="false" outlineLevel="0" collapsed="false">
      <c r="A1377" s="4"/>
      <c r="B1377" s="4"/>
      <c r="C1377" s="4"/>
      <c r="D1377" s="8"/>
      <c r="E1377" s="8"/>
      <c r="F1377" s="8"/>
      <c r="G1377" s="8"/>
      <c r="H1377" s="8"/>
      <c r="I1377" s="8"/>
    </row>
    <row r="1378" customFormat="false" ht="15" hidden="false" customHeight="false" outlineLevel="0" collapsed="false">
      <c r="A1378" s="4"/>
      <c r="B1378" s="4"/>
      <c r="C1378" s="4"/>
      <c r="D1378" s="8"/>
      <c r="E1378" s="8"/>
      <c r="F1378" s="8"/>
      <c r="G1378" s="8"/>
      <c r="H1378" s="8"/>
      <c r="I1378" s="8"/>
    </row>
    <row r="1379" customFormat="false" ht="15" hidden="false" customHeight="false" outlineLevel="0" collapsed="false">
      <c r="A1379" s="4"/>
      <c r="B1379" s="4"/>
      <c r="C1379" s="4"/>
      <c r="D1379" s="8"/>
      <c r="E1379" s="8"/>
      <c r="F1379" s="8"/>
      <c r="G1379" s="8"/>
      <c r="H1379" s="8"/>
      <c r="I1379" s="8"/>
    </row>
    <row r="1380" customFormat="false" ht="15" hidden="false" customHeight="false" outlineLevel="0" collapsed="false">
      <c r="A1380" s="4"/>
      <c r="B1380" s="4"/>
      <c r="C1380" s="4"/>
      <c r="D1380" s="8"/>
      <c r="E1380" s="8"/>
      <c r="F1380" s="8"/>
      <c r="G1380" s="8"/>
      <c r="H1380" s="8"/>
      <c r="I1380" s="8"/>
    </row>
    <row r="1381" customFormat="false" ht="15" hidden="false" customHeight="false" outlineLevel="0" collapsed="false">
      <c r="A1381" s="4"/>
      <c r="B1381" s="4"/>
      <c r="C1381" s="4"/>
      <c r="D1381" s="8"/>
      <c r="E1381" s="8"/>
      <c r="F1381" s="8"/>
      <c r="G1381" s="8"/>
      <c r="H1381" s="8"/>
      <c r="I1381" s="8"/>
    </row>
    <row r="1382" customFormat="false" ht="15" hidden="false" customHeight="false" outlineLevel="0" collapsed="false">
      <c r="A1382" s="4"/>
      <c r="B1382" s="4"/>
      <c r="C1382" s="4"/>
      <c r="D1382" s="8"/>
      <c r="E1382" s="8"/>
      <c r="F1382" s="8"/>
      <c r="G1382" s="8"/>
      <c r="H1382" s="8"/>
      <c r="I1382" s="8"/>
    </row>
    <row r="1383" customFormat="false" ht="15" hidden="false" customHeight="false" outlineLevel="0" collapsed="false">
      <c r="A1383" s="4"/>
      <c r="B1383" s="4"/>
      <c r="C1383" s="4"/>
      <c r="D1383" s="8"/>
      <c r="E1383" s="8"/>
      <c r="F1383" s="8"/>
      <c r="G1383" s="8"/>
      <c r="H1383" s="8"/>
      <c r="I1383" s="8"/>
    </row>
    <row r="1384" customFormat="false" ht="15" hidden="false" customHeight="false" outlineLevel="0" collapsed="false">
      <c r="A1384" s="4"/>
      <c r="B1384" s="4"/>
      <c r="C1384" s="4"/>
      <c r="D1384" s="8"/>
      <c r="E1384" s="8"/>
      <c r="F1384" s="8"/>
      <c r="G1384" s="8"/>
      <c r="H1384" s="8"/>
      <c r="I1384" s="8"/>
    </row>
    <row r="1385" customFormat="false" ht="15" hidden="false" customHeight="false" outlineLevel="0" collapsed="false">
      <c r="A1385" s="4"/>
      <c r="B1385" s="4"/>
      <c r="C1385" s="4"/>
      <c r="D1385" s="8"/>
      <c r="E1385" s="8"/>
      <c r="F1385" s="8"/>
      <c r="G1385" s="8"/>
      <c r="H1385" s="8"/>
      <c r="I1385" s="8"/>
    </row>
    <row r="1386" customFormat="false" ht="15" hidden="false" customHeight="false" outlineLevel="0" collapsed="false">
      <c r="A1386" s="4"/>
      <c r="B1386" s="4"/>
      <c r="C1386" s="4"/>
      <c r="D1386" s="8"/>
      <c r="E1386" s="8"/>
      <c r="F1386" s="8"/>
      <c r="G1386" s="8"/>
      <c r="H1386" s="8"/>
      <c r="I1386" s="8"/>
    </row>
    <row r="1387" customFormat="false" ht="15" hidden="false" customHeight="false" outlineLevel="0" collapsed="false">
      <c r="A1387" s="4"/>
      <c r="B1387" s="4"/>
      <c r="C1387" s="4"/>
      <c r="D1387" s="8"/>
      <c r="E1387" s="8"/>
      <c r="F1387" s="8"/>
      <c r="G1387" s="8"/>
      <c r="H1387" s="8"/>
      <c r="I1387" s="8"/>
    </row>
    <row r="1388" customFormat="false" ht="15" hidden="false" customHeight="false" outlineLevel="0" collapsed="false">
      <c r="A1388" s="4"/>
      <c r="B1388" s="4"/>
      <c r="C1388" s="4"/>
      <c r="D1388" s="8"/>
      <c r="E1388" s="8"/>
      <c r="F1388" s="8"/>
      <c r="G1388" s="8"/>
      <c r="H1388" s="8"/>
      <c r="I1388" s="8"/>
    </row>
    <row r="1389" customFormat="false" ht="15" hidden="false" customHeight="false" outlineLevel="0" collapsed="false">
      <c r="A1389" s="4"/>
      <c r="B1389" s="4"/>
      <c r="C1389" s="4"/>
      <c r="D1389" s="8"/>
      <c r="E1389" s="8"/>
      <c r="F1389" s="8"/>
      <c r="G1389" s="8"/>
      <c r="H1389" s="8"/>
      <c r="I1389" s="8"/>
    </row>
    <row r="1390" customFormat="false" ht="15" hidden="false" customHeight="false" outlineLevel="0" collapsed="false">
      <c r="A1390" s="4"/>
      <c r="B1390" s="4"/>
      <c r="C1390" s="4"/>
      <c r="D1390" s="8"/>
      <c r="E1390" s="8"/>
      <c r="F1390" s="8"/>
      <c r="G1390" s="8"/>
      <c r="H1390" s="8"/>
      <c r="I1390" s="8"/>
    </row>
    <row r="1391" customFormat="false" ht="15" hidden="false" customHeight="false" outlineLevel="0" collapsed="false">
      <c r="A1391" s="4"/>
      <c r="B1391" s="4"/>
      <c r="C1391" s="4"/>
      <c r="D1391" s="8"/>
      <c r="E1391" s="8"/>
      <c r="F1391" s="8"/>
      <c r="G1391" s="8"/>
      <c r="H1391" s="8"/>
      <c r="I1391" s="8"/>
    </row>
    <row r="1392" customFormat="false" ht="15" hidden="false" customHeight="false" outlineLevel="0" collapsed="false">
      <c r="A1392" s="4"/>
      <c r="B1392" s="4"/>
      <c r="C1392" s="4"/>
      <c r="D1392" s="8"/>
      <c r="E1392" s="8"/>
      <c r="F1392" s="8"/>
      <c r="G1392" s="8"/>
      <c r="H1392" s="8"/>
      <c r="I1392" s="8"/>
    </row>
    <row r="1393" customFormat="false" ht="15" hidden="false" customHeight="false" outlineLevel="0" collapsed="false">
      <c r="A1393" s="4"/>
      <c r="B1393" s="4"/>
      <c r="C1393" s="4"/>
      <c r="D1393" s="8"/>
      <c r="E1393" s="8"/>
      <c r="F1393" s="8"/>
      <c r="G1393" s="8"/>
      <c r="H1393" s="8"/>
      <c r="I1393" s="8"/>
    </row>
    <row r="1394" customFormat="false" ht="15" hidden="false" customHeight="false" outlineLevel="0" collapsed="false">
      <c r="A1394" s="4"/>
      <c r="B1394" s="4"/>
      <c r="C1394" s="4"/>
      <c r="D1394" s="8"/>
      <c r="E1394" s="8"/>
      <c r="F1394" s="8"/>
      <c r="G1394" s="8"/>
      <c r="H1394" s="8"/>
      <c r="I1394" s="8"/>
    </row>
    <row r="1395" customFormat="false" ht="15" hidden="false" customHeight="false" outlineLevel="0" collapsed="false">
      <c r="A1395" s="4"/>
      <c r="B1395" s="4"/>
      <c r="C1395" s="4"/>
      <c r="D1395" s="8"/>
      <c r="E1395" s="8"/>
      <c r="F1395" s="8"/>
      <c r="G1395" s="8"/>
      <c r="H1395" s="8"/>
      <c r="I1395" s="8"/>
    </row>
    <row r="1396" customFormat="false" ht="15" hidden="false" customHeight="false" outlineLevel="0" collapsed="false">
      <c r="A1396" s="4"/>
      <c r="B1396" s="4"/>
      <c r="C1396" s="4"/>
      <c r="D1396" s="8"/>
      <c r="E1396" s="8"/>
      <c r="F1396" s="8"/>
      <c r="G1396" s="8"/>
      <c r="H1396" s="8"/>
      <c r="I1396" s="8"/>
    </row>
    <row r="1397" customFormat="false" ht="15" hidden="false" customHeight="false" outlineLevel="0" collapsed="false">
      <c r="A1397" s="4"/>
      <c r="B1397" s="4"/>
      <c r="C1397" s="4"/>
      <c r="D1397" s="8"/>
      <c r="E1397" s="8"/>
      <c r="F1397" s="8"/>
      <c r="G1397" s="8"/>
      <c r="H1397" s="8"/>
      <c r="I1397" s="8"/>
    </row>
    <row r="1398" customFormat="false" ht="15" hidden="false" customHeight="false" outlineLevel="0" collapsed="false">
      <c r="A1398" s="4"/>
      <c r="B1398" s="4"/>
      <c r="C1398" s="4"/>
      <c r="D1398" s="8"/>
      <c r="E1398" s="8"/>
      <c r="F1398" s="8"/>
      <c r="G1398" s="8"/>
      <c r="H1398" s="8"/>
      <c r="I1398" s="8"/>
    </row>
    <row r="1399" customFormat="false" ht="15" hidden="false" customHeight="false" outlineLevel="0" collapsed="false">
      <c r="A1399" s="4"/>
      <c r="B1399" s="4"/>
      <c r="C1399" s="4"/>
      <c r="D1399" s="8"/>
      <c r="E1399" s="8"/>
      <c r="F1399" s="8"/>
      <c r="G1399" s="8"/>
      <c r="H1399" s="8"/>
      <c r="I1399" s="8"/>
    </row>
    <row r="1400" customFormat="false" ht="15" hidden="false" customHeight="false" outlineLevel="0" collapsed="false">
      <c r="A1400" s="4"/>
      <c r="B1400" s="4"/>
      <c r="C1400" s="4"/>
      <c r="D1400" s="8"/>
      <c r="E1400" s="8"/>
      <c r="F1400" s="8"/>
      <c r="G1400" s="8"/>
      <c r="H1400" s="8"/>
      <c r="I1400" s="8"/>
    </row>
    <row r="1401" customFormat="false" ht="15" hidden="false" customHeight="false" outlineLevel="0" collapsed="false">
      <c r="A1401" s="4"/>
      <c r="B1401" s="4"/>
      <c r="C1401" s="4"/>
      <c r="D1401" s="8"/>
      <c r="E1401" s="8"/>
      <c r="F1401" s="8"/>
      <c r="G1401" s="8"/>
      <c r="H1401" s="8"/>
      <c r="I1401" s="8"/>
    </row>
    <row r="1402" customFormat="false" ht="15" hidden="false" customHeight="false" outlineLevel="0" collapsed="false">
      <c r="A1402" s="4"/>
      <c r="B1402" s="4"/>
      <c r="C1402" s="4"/>
      <c r="D1402" s="8"/>
      <c r="E1402" s="8"/>
      <c r="F1402" s="8"/>
      <c r="G1402" s="8"/>
      <c r="H1402" s="8"/>
      <c r="I1402" s="8"/>
    </row>
    <row r="1403" customFormat="false" ht="15" hidden="false" customHeight="false" outlineLevel="0" collapsed="false">
      <c r="A1403" s="4"/>
      <c r="B1403" s="4"/>
      <c r="C1403" s="4"/>
      <c r="D1403" s="8"/>
      <c r="E1403" s="8"/>
      <c r="F1403" s="8"/>
      <c r="G1403" s="8"/>
      <c r="H1403" s="8"/>
      <c r="I1403" s="8"/>
    </row>
    <row r="1404" customFormat="false" ht="15" hidden="false" customHeight="false" outlineLevel="0" collapsed="false">
      <c r="A1404" s="4"/>
      <c r="B1404" s="4"/>
      <c r="C1404" s="4"/>
      <c r="D1404" s="8"/>
      <c r="E1404" s="8"/>
      <c r="F1404" s="8"/>
      <c r="G1404" s="8"/>
      <c r="H1404" s="8"/>
      <c r="I1404" s="8"/>
    </row>
    <row r="1405" customFormat="false" ht="15" hidden="false" customHeight="false" outlineLevel="0" collapsed="false">
      <c r="A1405" s="4"/>
      <c r="B1405" s="4"/>
      <c r="C1405" s="4"/>
      <c r="D1405" s="8"/>
      <c r="E1405" s="8"/>
      <c r="F1405" s="8"/>
      <c r="G1405" s="8"/>
      <c r="H1405" s="8"/>
      <c r="I1405" s="8"/>
    </row>
    <row r="1406" customFormat="false" ht="15" hidden="false" customHeight="false" outlineLevel="0" collapsed="false">
      <c r="A1406" s="4"/>
      <c r="B1406" s="4"/>
      <c r="C1406" s="4"/>
      <c r="D1406" s="8"/>
      <c r="E1406" s="8"/>
      <c r="F1406" s="8"/>
      <c r="G1406" s="8"/>
      <c r="H1406" s="8"/>
      <c r="I1406" s="8"/>
    </row>
    <row r="1407" customFormat="false" ht="15" hidden="false" customHeight="false" outlineLevel="0" collapsed="false">
      <c r="A1407" s="4"/>
      <c r="B1407" s="4"/>
      <c r="C1407" s="4"/>
      <c r="D1407" s="8"/>
      <c r="E1407" s="8"/>
      <c r="F1407" s="8"/>
      <c r="G1407" s="8"/>
      <c r="H1407" s="8"/>
      <c r="I1407" s="8"/>
    </row>
    <row r="1408" customFormat="false" ht="15" hidden="false" customHeight="false" outlineLevel="0" collapsed="false">
      <c r="A1408" s="4"/>
      <c r="B1408" s="4"/>
      <c r="C1408" s="4"/>
      <c r="D1408" s="8"/>
      <c r="E1408" s="8"/>
      <c r="F1408" s="8"/>
      <c r="G1408" s="8"/>
      <c r="H1408" s="8"/>
      <c r="I1408" s="8"/>
    </row>
    <row r="1409" customFormat="false" ht="15" hidden="false" customHeight="false" outlineLevel="0" collapsed="false">
      <c r="A1409" s="4"/>
      <c r="B1409" s="4"/>
      <c r="C1409" s="4"/>
      <c r="D1409" s="8"/>
      <c r="E1409" s="8"/>
      <c r="F1409" s="8"/>
      <c r="G1409" s="8"/>
      <c r="H1409" s="8"/>
      <c r="I1409" s="8"/>
    </row>
    <row r="1410" customFormat="false" ht="15" hidden="false" customHeight="false" outlineLevel="0" collapsed="false">
      <c r="A1410" s="4"/>
      <c r="B1410" s="4"/>
      <c r="C1410" s="4"/>
      <c r="D1410" s="8"/>
      <c r="E1410" s="8"/>
      <c r="F1410" s="8"/>
      <c r="G1410" s="8"/>
      <c r="H1410" s="8"/>
      <c r="I1410" s="8"/>
    </row>
    <row r="1411" customFormat="false" ht="15" hidden="false" customHeight="false" outlineLevel="0" collapsed="false">
      <c r="A1411" s="4"/>
      <c r="B1411" s="4"/>
      <c r="C1411" s="4"/>
      <c r="D1411" s="8"/>
      <c r="E1411" s="8"/>
      <c r="F1411" s="8"/>
      <c r="G1411" s="8"/>
      <c r="H1411" s="8"/>
      <c r="I1411" s="8"/>
    </row>
    <row r="1412" customFormat="false" ht="15" hidden="false" customHeight="false" outlineLevel="0" collapsed="false">
      <c r="A1412" s="4"/>
      <c r="B1412" s="4"/>
      <c r="C1412" s="4"/>
      <c r="D1412" s="8"/>
      <c r="E1412" s="8"/>
      <c r="F1412" s="8"/>
      <c r="G1412" s="8"/>
      <c r="H1412" s="8"/>
      <c r="I1412" s="8"/>
    </row>
    <row r="1413" customFormat="false" ht="15" hidden="false" customHeight="false" outlineLevel="0" collapsed="false">
      <c r="A1413" s="4"/>
      <c r="B1413" s="4"/>
      <c r="C1413" s="4"/>
      <c r="D1413" s="8"/>
      <c r="E1413" s="8"/>
      <c r="F1413" s="8"/>
      <c r="G1413" s="8"/>
      <c r="H1413" s="8"/>
      <c r="I1413" s="8"/>
    </row>
    <row r="1414" customFormat="false" ht="15" hidden="false" customHeight="false" outlineLevel="0" collapsed="false">
      <c r="A1414" s="4"/>
      <c r="B1414" s="4"/>
      <c r="C1414" s="4"/>
      <c r="D1414" s="8"/>
      <c r="E1414" s="8"/>
      <c r="F1414" s="8"/>
      <c r="G1414" s="8"/>
      <c r="H1414" s="8"/>
      <c r="I1414" s="8"/>
    </row>
    <row r="1415" customFormat="false" ht="15" hidden="false" customHeight="false" outlineLevel="0" collapsed="false">
      <c r="A1415" s="4"/>
      <c r="B1415" s="4"/>
      <c r="C1415" s="4"/>
      <c r="D1415" s="8"/>
      <c r="E1415" s="8"/>
      <c r="F1415" s="8"/>
      <c r="G1415" s="8"/>
      <c r="H1415" s="8"/>
      <c r="I1415" s="8"/>
    </row>
    <row r="1416" customFormat="false" ht="15" hidden="false" customHeight="false" outlineLevel="0" collapsed="false">
      <c r="A1416" s="4"/>
      <c r="B1416" s="4"/>
      <c r="C1416" s="4"/>
      <c r="D1416" s="8"/>
      <c r="E1416" s="8"/>
      <c r="F1416" s="8"/>
      <c r="G1416" s="8"/>
      <c r="H1416" s="8"/>
      <c r="I1416" s="8"/>
    </row>
    <row r="1417" customFormat="false" ht="15" hidden="false" customHeight="false" outlineLevel="0" collapsed="false">
      <c r="A1417" s="4"/>
      <c r="B1417" s="4"/>
      <c r="C1417" s="4"/>
      <c r="D1417" s="8"/>
      <c r="E1417" s="8"/>
      <c r="F1417" s="8"/>
      <c r="G1417" s="8"/>
      <c r="H1417" s="8"/>
      <c r="I1417" s="8"/>
    </row>
    <row r="1418" customFormat="false" ht="15" hidden="false" customHeight="false" outlineLevel="0" collapsed="false">
      <c r="A1418" s="4"/>
      <c r="B1418" s="4"/>
      <c r="C1418" s="4"/>
      <c r="D1418" s="8"/>
      <c r="E1418" s="8"/>
      <c r="F1418" s="8"/>
      <c r="G1418" s="8"/>
      <c r="H1418" s="8"/>
      <c r="I1418" s="8"/>
    </row>
    <row r="1419" customFormat="false" ht="15" hidden="false" customHeight="false" outlineLevel="0" collapsed="false">
      <c r="A1419" s="4"/>
      <c r="B1419" s="4"/>
      <c r="C1419" s="4"/>
      <c r="D1419" s="8"/>
      <c r="E1419" s="8"/>
      <c r="F1419" s="8"/>
      <c r="G1419" s="8"/>
      <c r="H1419" s="8"/>
      <c r="I1419" s="8"/>
    </row>
    <row r="1420" customFormat="false" ht="15" hidden="false" customHeight="false" outlineLevel="0" collapsed="false">
      <c r="A1420" s="4"/>
      <c r="B1420" s="4"/>
      <c r="C1420" s="4"/>
      <c r="D1420" s="8"/>
      <c r="E1420" s="8"/>
      <c r="F1420" s="8"/>
      <c r="G1420" s="8"/>
      <c r="H1420" s="8"/>
      <c r="I1420" s="8"/>
    </row>
    <row r="1421" customFormat="false" ht="15" hidden="false" customHeight="false" outlineLevel="0" collapsed="false">
      <c r="A1421" s="4"/>
      <c r="B1421" s="4"/>
      <c r="C1421" s="4"/>
      <c r="D1421" s="8"/>
      <c r="E1421" s="8"/>
      <c r="F1421" s="8"/>
      <c r="G1421" s="8"/>
      <c r="H1421" s="8"/>
      <c r="I1421" s="8"/>
    </row>
    <row r="1422" customFormat="false" ht="15" hidden="false" customHeight="false" outlineLevel="0" collapsed="false">
      <c r="A1422" s="4"/>
      <c r="B1422" s="4"/>
      <c r="C1422" s="4"/>
      <c r="D1422" s="8"/>
      <c r="E1422" s="8"/>
      <c r="F1422" s="8"/>
      <c r="G1422" s="8"/>
      <c r="H1422" s="8"/>
      <c r="I1422" s="8"/>
    </row>
    <row r="1423" customFormat="false" ht="15" hidden="false" customHeight="false" outlineLevel="0" collapsed="false">
      <c r="A1423" s="4"/>
      <c r="B1423" s="4"/>
      <c r="C1423" s="4"/>
      <c r="D1423" s="8"/>
      <c r="E1423" s="8"/>
      <c r="F1423" s="8"/>
      <c r="G1423" s="8"/>
      <c r="H1423" s="8"/>
      <c r="I1423" s="8"/>
    </row>
    <row r="1424" customFormat="false" ht="15" hidden="false" customHeight="false" outlineLevel="0" collapsed="false">
      <c r="A1424" s="4"/>
      <c r="B1424" s="4"/>
      <c r="C1424" s="4"/>
      <c r="D1424" s="8"/>
      <c r="E1424" s="8"/>
      <c r="F1424" s="8"/>
      <c r="G1424" s="8"/>
      <c r="H1424" s="8"/>
      <c r="I1424" s="8"/>
    </row>
    <row r="1425" customFormat="false" ht="15" hidden="false" customHeight="false" outlineLevel="0" collapsed="false">
      <c r="A1425" s="4"/>
      <c r="B1425" s="4"/>
      <c r="C1425" s="4"/>
      <c r="D1425" s="8"/>
      <c r="E1425" s="8"/>
      <c r="F1425" s="8"/>
      <c r="G1425" s="8"/>
      <c r="H1425" s="8"/>
      <c r="I1425" s="8"/>
    </row>
    <row r="1426" customFormat="false" ht="15" hidden="false" customHeight="false" outlineLevel="0" collapsed="false">
      <c r="A1426" s="4"/>
      <c r="B1426" s="4"/>
      <c r="C1426" s="4"/>
      <c r="D1426" s="8"/>
      <c r="E1426" s="8"/>
      <c r="F1426" s="8"/>
      <c r="G1426" s="8"/>
      <c r="H1426" s="8"/>
      <c r="I1426" s="8"/>
    </row>
    <row r="1427" customFormat="false" ht="15" hidden="false" customHeight="false" outlineLevel="0" collapsed="false">
      <c r="A1427" s="4"/>
      <c r="B1427" s="4"/>
      <c r="C1427" s="4"/>
      <c r="D1427" s="8"/>
      <c r="E1427" s="8"/>
      <c r="F1427" s="8"/>
      <c r="G1427" s="8"/>
      <c r="H1427" s="8"/>
      <c r="I1427" s="8"/>
    </row>
    <row r="1428" customFormat="false" ht="15" hidden="false" customHeight="false" outlineLevel="0" collapsed="false">
      <c r="A1428" s="4"/>
      <c r="B1428" s="4"/>
      <c r="C1428" s="4"/>
      <c r="D1428" s="8"/>
      <c r="E1428" s="8"/>
      <c r="F1428" s="8"/>
      <c r="G1428" s="8"/>
      <c r="H1428" s="8"/>
      <c r="I1428" s="8"/>
    </row>
    <row r="1429" customFormat="false" ht="15" hidden="false" customHeight="false" outlineLevel="0" collapsed="false">
      <c r="A1429" s="4"/>
      <c r="B1429" s="4"/>
      <c r="C1429" s="4"/>
      <c r="D1429" s="8"/>
      <c r="E1429" s="8"/>
      <c r="F1429" s="8"/>
      <c r="G1429" s="8"/>
      <c r="H1429" s="8"/>
      <c r="I1429" s="8"/>
    </row>
    <row r="1430" customFormat="false" ht="15" hidden="false" customHeight="false" outlineLevel="0" collapsed="false">
      <c r="A1430" s="4"/>
      <c r="B1430" s="4"/>
      <c r="C1430" s="4"/>
      <c r="D1430" s="8"/>
      <c r="E1430" s="8"/>
      <c r="F1430" s="8"/>
      <c r="G1430" s="8"/>
      <c r="H1430" s="8"/>
      <c r="I1430" s="8"/>
    </row>
    <row r="1431" customFormat="false" ht="15" hidden="false" customHeight="false" outlineLevel="0" collapsed="false">
      <c r="A1431" s="4"/>
      <c r="B1431" s="4"/>
      <c r="C1431" s="4"/>
      <c r="D1431" s="8"/>
      <c r="E1431" s="8"/>
      <c r="F1431" s="8"/>
      <c r="G1431" s="8"/>
      <c r="H1431" s="8"/>
      <c r="I1431" s="8"/>
    </row>
    <row r="1432" customFormat="false" ht="15" hidden="false" customHeight="false" outlineLevel="0" collapsed="false">
      <c r="A1432" s="4"/>
      <c r="B1432" s="4"/>
      <c r="C1432" s="4"/>
      <c r="D1432" s="8"/>
      <c r="E1432" s="8"/>
      <c r="F1432" s="8"/>
      <c r="G1432" s="8"/>
      <c r="H1432" s="8"/>
      <c r="I1432" s="8"/>
    </row>
    <row r="1433" customFormat="false" ht="15" hidden="false" customHeight="false" outlineLevel="0" collapsed="false">
      <c r="A1433" s="4"/>
      <c r="B1433" s="4"/>
      <c r="C1433" s="4"/>
      <c r="D1433" s="8"/>
      <c r="E1433" s="8"/>
      <c r="F1433" s="8"/>
      <c r="G1433" s="8"/>
      <c r="H1433" s="8"/>
      <c r="I1433" s="8"/>
    </row>
    <row r="1434" customFormat="false" ht="15" hidden="false" customHeight="false" outlineLevel="0" collapsed="false">
      <c r="A1434" s="4"/>
      <c r="B1434" s="4"/>
      <c r="C1434" s="4"/>
      <c r="D1434" s="8"/>
      <c r="E1434" s="8"/>
      <c r="F1434" s="8"/>
      <c r="G1434" s="8"/>
      <c r="H1434" s="8"/>
      <c r="I1434" s="8"/>
    </row>
    <row r="1435" customFormat="false" ht="15" hidden="false" customHeight="false" outlineLevel="0" collapsed="false">
      <c r="A1435" s="4"/>
      <c r="B1435" s="4"/>
      <c r="C1435" s="4"/>
      <c r="D1435" s="8"/>
      <c r="E1435" s="8"/>
      <c r="F1435" s="8"/>
      <c r="G1435" s="8"/>
      <c r="H1435" s="8"/>
      <c r="I1435" s="8"/>
    </row>
    <row r="1436" customFormat="false" ht="15" hidden="false" customHeight="false" outlineLevel="0" collapsed="false">
      <c r="A1436" s="4"/>
      <c r="B1436" s="4"/>
      <c r="C1436" s="4"/>
      <c r="D1436" s="8"/>
      <c r="E1436" s="8"/>
      <c r="F1436" s="8"/>
      <c r="G1436" s="8"/>
      <c r="H1436" s="8"/>
      <c r="I1436" s="8"/>
    </row>
    <row r="1437" customFormat="false" ht="15" hidden="false" customHeight="false" outlineLevel="0" collapsed="false">
      <c r="A1437" s="4"/>
      <c r="B1437" s="4"/>
      <c r="C1437" s="4"/>
      <c r="D1437" s="8"/>
      <c r="E1437" s="8"/>
      <c r="F1437" s="8"/>
      <c r="G1437" s="8"/>
      <c r="H1437" s="8"/>
      <c r="I1437" s="8"/>
    </row>
    <row r="1438" customFormat="false" ht="15" hidden="false" customHeight="false" outlineLevel="0" collapsed="false">
      <c r="A1438" s="4"/>
      <c r="B1438" s="4"/>
      <c r="C1438" s="4"/>
      <c r="D1438" s="8"/>
      <c r="E1438" s="8"/>
      <c r="F1438" s="8"/>
      <c r="G1438" s="8"/>
      <c r="H1438" s="8"/>
      <c r="I1438" s="8"/>
    </row>
    <row r="1439" customFormat="false" ht="15" hidden="false" customHeight="false" outlineLevel="0" collapsed="false">
      <c r="A1439" s="4"/>
      <c r="B1439" s="4"/>
      <c r="C1439" s="4"/>
      <c r="D1439" s="8"/>
      <c r="E1439" s="8"/>
      <c r="F1439" s="8"/>
      <c r="G1439" s="8"/>
      <c r="H1439" s="8"/>
      <c r="I1439" s="8"/>
    </row>
    <row r="1440" customFormat="false" ht="15" hidden="false" customHeight="false" outlineLevel="0" collapsed="false">
      <c r="A1440" s="4"/>
      <c r="B1440" s="4"/>
      <c r="C1440" s="4"/>
      <c r="D1440" s="8"/>
      <c r="E1440" s="8"/>
      <c r="F1440" s="8"/>
      <c r="G1440" s="8"/>
      <c r="H1440" s="8"/>
      <c r="I1440" s="8"/>
    </row>
    <row r="1441" customFormat="false" ht="15" hidden="false" customHeight="false" outlineLevel="0" collapsed="false">
      <c r="A1441" s="4"/>
      <c r="B1441" s="4"/>
      <c r="C1441" s="4"/>
      <c r="D1441" s="8"/>
      <c r="E1441" s="8"/>
      <c r="F1441" s="8"/>
      <c r="G1441" s="8"/>
      <c r="H1441" s="8"/>
      <c r="I1441" s="8"/>
    </row>
    <row r="1442" customFormat="false" ht="15" hidden="false" customHeight="false" outlineLevel="0" collapsed="false">
      <c r="A1442" s="4"/>
      <c r="B1442" s="4"/>
      <c r="C1442" s="4"/>
      <c r="D1442" s="8"/>
      <c r="E1442" s="8"/>
      <c r="F1442" s="8"/>
      <c r="G1442" s="8"/>
      <c r="H1442" s="8"/>
      <c r="I1442" s="8"/>
    </row>
    <row r="1443" customFormat="false" ht="15" hidden="false" customHeight="false" outlineLevel="0" collapsed="false">
      <c r="A1443" s="4"/>
      <c r="B1443" s="4"/>
      <c r="C1443" s="4"/>
      <c r="D1443" s="8"/>
      <c r="E1443" s="8"/>
      <c r="F1443" s="8"/>
      <c r="G1443" s="8"/>
      <c r="H1443" s="8"/>
      <c r="I1443" s="8"/>
    </row>
    <row r="1444" customFormat="false" ht="15" hidden="false" customHeight="false" outlineLevel="0" collapsed="false">
      <c r="A1444" s="4"/>
      <c r="B1444" s="4"/>
      <c r="C1444" s="4"/>
      <c r="D1444" s="8"/>
      <c r="E1444" s="8"/>
      <c r="F1444" s="8"/>
      <c r="G1444" s="8"/>
      <c r="H1444" s="8"/>
      <c r="I1444" s="8"/>
    </row>
    <row r="1445" customFormat="false" ht="15" hidden="false" customHeight="false" outlineLevel="0" collapsed="false">
      <c r="A1445" s="4"/>
      <c r="B1445" s="4"/>
      <c r="C1445" s="4"/>
      <c r="D1445" s="8"/>
      <c r="E1445" s="8"/>
      <c r="F1445" s="8"/>
      <c r="G1445" s="8"/>
      <c r="H1445" s="8"/>
      <c r="I1445" s="8"/>
    </row>
    <row r="1446" customFormat="false" ht="15" hidden="false" customHeight="false" outlineLevel="0" collapsed="false">
      <c r="A1446" s="4"/>
      <c r="B1446" s="4"/>
      <c r="C1446" s="4"/>
      <c r="D1446" s="8"/>
      <c r="E1446" s="8"/>
      <c r="F1446" s="8"/>
      <c r="G1446" s="8"/>
      <c r="H1446" s="8"/>
      <c r="I1446" s="8"/>
    </row>
    <row r="1447" customFormat="false" ht="15" hidden="false" customHeight="false" outlineLevel="0" collapsed="false">
      <c r="A1447" s="4"/>
      <c r="B1447" s="4"/>
      <c r="C1447" s="4"/>
      <c r="D1447" s="8"/>
      <c r="E1447" s="8"/>
      <c r="F1447" s="8"/>
      <c r="G1447" s="8"/>
      <c r="H1447" s="8"/>
      <c r="I1447" s="8"/>
    </row>
    <row r="1448" customFormat="false" ht="15" hidden="false" customHeight="false" outlineLevel="0" collapsed="false">
      <c r="A1448" s="4"/>
      <c r="B1448" s="4"/>
      <c r="C1448" s="4"/>
      <c r="D1448" s="8"/>
      <c r="E1448" s="8"/>
      <c r="F1448" s="8"/>
      <c r="G1448" s="8"/>
      <c r="H1448" s="8"/>
      <c r="I1448" s="8"/>
    </row>
    <row r="1449" customFormat="false" ht="15" hidden="false" customHeight="false" outlineLevel="0" collapsed="false">
      <c r="A1449" s="4"/>
      <c r="B1449" s="4"/>
      <c r="C1449" s="4"/>
      <c r="D1449" s="8"/>
      <c r="E1449" s="8"/>
      <c r="F1449" s="8"/>
      <c r="G1449" s="8"/>
      <c r="H1449" s="8"/>
      <c r="I1449" s="8"/>
    </row>
    <row r="1450" customFormat="false" ht="15" hidden="false" customHeight="false" outlineLevel="0" collapsed="false">
      <c r="A1450" s="4"/>
      <c r="B1450" s="4"/>
      <c r="C1450" s="4"/>
      <c r="D1450" s="8"/>
      <c r="E1450" s="8"/>
      <c r="F1450" s="8"/>
      <c r="G1450" s="8"/>
      <c r="H1450" s="8"/>
      <c r="I1450" s="8"/>
    </row>
    <row r="1451" customFormat="false" ht="15" hidden="false" customHeight="false" outlineLevel="0" collapsed="false">
      <c r="A1451" s="4"/>
      <c r="B1451" s="4"/>
      <c r="C1451" s="4"/>
      <c r="D1451" s="8"/>
      <c r="E1451" s="8"/>
      <c r="F1451" s="8"/>
      <c r="G1451" s="8"/>
      <c r="H1451" s="8"/>
      <c r="I1451" s="8"/>
    </row>
    <row r="1452" customFormat="false" ht="15" hidden="false" customHeight="false" outlineLevel="0" collapsed="false">
      <c r="A1452" s="4"/>
      <c r="B1452" s="4"/>
      <c r="C1452" s="4"/>
      <c r="D1452" s="8"/>
      <c r="E1452" s="8"/>
      <c r="F1452" s="8"/>
      <c r="G1452" s="8"/>
      <c r="H1452" s="8"/>
      <c r="I1452" s="8"/>
    </row>
    <row r="1453" customFormat="false" ht="15" hidden="false" customHeight="false" outlineLevel="0" collapsed="false">
      <c r="A1453" s="4"/>
      <c r="B1453" s="4"/>
      <c r="C1453" s="4"/>
      <c r="D1453" s="8"/>
      <c r="E1453" s="8"/>
      <c r="F1453" s="8"/>
      <c r="G1453" s="8"/>
      <c r="H1453" s="8"/>
      <c r="I1453" s="8"/>
    </row>
    <row r="1454" customFormat="false" ht="15" hidden="false" customHeight="false" outlineLevel="0" collapsed="false">
      <c r="A1454" s="4"/>
      <c r="B1454" s="4"/>
      <c r="C1454" s="4"/>
      <c r="D1454" s="8"/>
      <c r="E1454" s="8"/>
      <c r="F1454" s="8"/>
      <c r="G1454" s="8"/>
      <c r="H1454" s="8"/>
      <c r="I1454" s="8"/>
    </row>
    <row r="1455" customFormat="false" ht="15" hidden="false" customHeight="false" outlineLevel="0" collapsed="false">
      <c r="A1455" s="4"/>
      <c r="B1455" s="4"/>
      <c r="C1455" s="4"/>
      <c r="D1455" s="8"/>
      <c r="E1455" s="8"/>
      <c r="F1455" s="8"/>
      <c r="G1455" s="8"/>
      <c r="H1455" s="8"/>
      <c r="I1455" s="8"/>
    </row>
    <row r="1456" customFormat="false" ht="15" hidden="false" customHeight="false" outlineLevel="0" collapsed="false">
      <c r="A1456" s="4"/>
      <c r="B1456" s="4"/>
      <c r="C1456" s="4"/>
      <c r="D1456" s="8"/>
      <c r="E1456" s="8"/>
      <c r="F1456" s="8"/>
      <c r="G1456" s="8"/>
      <c r="H1456" s="8"/>
      <c r="I1456" s="8"/>
    </row>
    <row r="1457" customFormat="false" ht="15" hidden="false" customHeight="false" outlineLevel="0" collapsed="false">
      <c r="A1457" s="4"/>
      <c r="B1457" s="4"/>
      <c r="C1457" s="4"/>
      <c r="D1457" s="8"/>
      <c r="E1457" s="8"/>
      <c r="F1457" s="8"/>
      <c r="G1457" s="8"/>
      <c r="H1457" s="8"/>
      <c r="I1457" s="8"/>
    </row>
    <row r="1458" customFormat="false" ht="15" hidden="false" customHeight="false" outlineLevel="0" collapsed="false">
      <c r="A1458" s="4"/>
      <c r="B1458" s="4"/>
      <c r="C1458" s="4"/>
      <c r="D1458" s="8"/>
      <c r="E1458" s="8"/>
      <c r="F1458" s="8"/>
      <c r="G1458" s="8"/>
      <c r="H1458" s="8"/>
      <c r="I1458" s="8"/>
    </row>
    <row r="1459" customFormat="false" ht="15" hidden="false" customHeight="false" outlineLevel="0" collapsed="false">
      <c r="A1459" s="4"/>
      <c r="B1459" s="4"/>
      <c r="C1459" s="4"/>
      <c r="D1459" s="8"/>
      <c r="E1459" s="8"/>
      <c r="F1459" s="8"/>
      <c r="G1459" s="8"/>
      <c r="H1459" s="8"/>
      <c r="I1459" s="8"/>
    </row>
    <row r="1460" customFormat="false" ht="15" hidden="false" customHeight="false" outlineLevel="0" collapsed="false">
      <c r="A1460" s="4"/>
      <c r="B1460" s="4"/>
      <c r="C1460" s="4"/>
      <c r="D1460" s="8"/>
      <c r="E1460" s="8"/>
      <c r="F1460" s="8"/>
      <c r="G1460" s="8"/>
      <c r="H1460" s="8"/>
      <c r="I1460" s="8"/>
    </row>
    <row r="1461" customFormat="false" ht="15" hidden="false" customHeight="false" outlineLevel="0" collapsed="false">
      <c r="A1461" s="4"/>
      <c r="B1461" s="4"/>
      <c r="C1461" s="4"/>
      <c r="D1461" s="8"/>
      <c r="E1461" s="8"/>
      <c r="F1461" s="8"/>
      <c r="G1461" s="8"/>
      <c r="H1461" s="8"/>
      <c r="I1461" s="8"/>
    </row>
    <row r="1462" customFormat="false" ht="15" hidden="false" customHeight="false" outlineLevel="0" collapsed="false">
      <c r="A1462" s="4"/>
      <c r="B1462" s="4"/>
      <c r="C1462" s="4"/>
      <c r="D1462" s="8"/>
      <c r="E1462" s="8"/>
      <c r="F1462" s="8"/>
      <c r="G1462" s="8"/>
      <c r="H1462" s="8"/>
      <c r="I1462" s="8"/>
    </row>
    <row r="1463" customFormat="false" ht="15" hidden="false" customHeight="false" outlineLevel="0" collapsed="false">
      <c r="A1463" s="4"/>
      <c r="B1463" s="4"/>
      <c r="C1463" s="4"/>
      <c r="D1463" s="8"/>
      <c r="E1463" s="8"/>
      <c r="F1463" s="8"/>
      <c r="G1463" s="8"/>
      <c r="H1463" s="8"/>
      <c r="I1463" s="8"/>
    </row>
    <row r="1464" customFormat="false" ht="15" hidden="false" customHeight="false" outlineLevel="0" collapsed="false">
      <c r="A1464" s="4"/>
      <c r="B1464" s="4"/>
      <c r="C1464" s="4"/>
      <c r="D1464" s="8"/>
      <c r="E1464" s="8"/>
      <c r="F1464" s="8"/>
      <c r="G1464" s="8"/>
      <c r="H1464" s="8"/>
      <c r="I1464" s="8"/>
    </row>
    <row r="1465" customFormat="false" ht="15" hidden="false" customHeight="false" outlineLevel="0" collapsed="false">
      <c r="A1465" s="4"/>
      <c r="B1465" s="4"/>
      <c r="C1465" s="4"/>
      <c r="D1465" s="8"/>
      <c r="E1465" s="8"/>
      <c r="F1465" s="8"/>
      <c r="G1465" s="8"/>
      <c r="H1465" s="8"/>
      <c r="I1465" s="8"/>
    </row>
    <row r="1466" customFormat="false" ht="15" hidden="false" customHeight="false" outlineLevel="0" collapsed="false">
      <c r="A1466" s="4"/>
      <c r="B1466" s="4"/>
      <c r="C1466" s="4"/>
      <c r="D1466" s="8"/>
      <c r="E1466" s="8"/>
      <c r="F1466" s="8"/>
      <c r="G1466" s="8"/>
      <c r="H1466" s="8"/>
      <c r="I1466" s="8"/>
    </row>
    <row r="1467" customFormat="false" ht="15" hidden="false" customHeight="false" outlineLevel="0" collapsed="false">
      <c r="A1467" s="4"/>
      <c r="B1467" s="4"/>
      <c r="C1467" s="4"/>
      <c r="D1467" s="8"/>
      <c r="E1467" s="8"/>
      <c r="F1467" s="8"/>
      <c r="G1467" s="8"/>
      <c r="H1467" s="8"/>
      <c r="I1467" s="8"/>
    </row>
    <row r="1468" customFormat="false" ht="15" hidden="false" customHeight="false" outlineLevel="0" collapsed="false">
      <c r="A1468" s="4"/>
      <c r="B1468" s="4"/>
      <c r="C1468" s="4"/>
      <c r="D1468" s="8"/>
      <c r="E1468" s="8"/>
      <c r="F1468" s="8"/>
      <c r="G1468" s="8"/>
      <c r="H1468" s="8"/>
      <c r="I1468" s="8"/>
    </row>
    <row r="1469" customFormat="false" ht="15" hidden="false" customHeight="false" outlineLevel="0" collapsed="false">
      <c r="A1469" s="4"/>
      <c r="B1469" s="4"/>
      <c r="C1469" s="4"/>
      <c r="D1469" s="8"/>
      <c r="E1469" s="8"/>
      <c r="F1469" s="8"/>
      <c r="G1469" s="8"/>
      <c r="H1469" s="8"/>
      <c r="I1469" s="8"/>
    </row>
    <row r="1470" customFormat="false" ht="15" hidden="false" customHeight="false" outlineLevel="0" collapsed="false">
      <c r="A1470" s="4"/>
      <c r="B1470" s="4"/>
      <c r="C1470" s="4"/>
      <c r="D1470" s="8"/>
      <c r="E1470" s="8"/>
      <c r="F1470" s="8"/>
      <c r="G1470" s="8"/>
      <c r="H1470" s="8"/>
      <c r="I1470" s="8"/>
    </row>
    <row r="1471" customFormat="false" ht="15" hidden="false" customHeight="false" outlineLevel="0" collapsed="false">
      <c r="A1471" s="4"/>
      <c r="B1471" s="4"/>
      <c r="C1471" s="4"/>
      <c r="D1471" s="8"/>
      <c r="E1471" s="8"/>
      <c r="F1471" s="8"/>
      <c r="G1471" s="8"/>
      <c r="H1471" s="8"/>
      <c r="I1471" s="8"/>
    </row>
    <row r="1472" customFormat="false" ht="15" hidden="false" customHeight="false" outlineLevel="0" collapsed="false">
      <c r="A1472" s="4"/>
      <c r="B1472" s="4"/>
      <c r="C1472" s="4"/>
      <c r="D1472" s="8"/>
      <c r="E1472" s="8"/>
      <c r="F1472" s="8"/>
      <c r="G1472" s="8"/>
      <c r="H1472" s="8"/>
      <c r="I1472" s="8"/>
    </row>
    <row r="1473" customFormat="false" ht="15" hidden="false" customHeight="false" outlineLevel="0" collapsed="false">
      <c r="A1473" s="4"/>
      <c r="B1473" s="4"/>
      <c r="C1473" s="4"/>
      <c r="D1473" s="8"/>
      <c r="E1473" s="8"/>
      <c r="F1473" s="8"/>
      <c r="G1473" s="8"/>
      <c r="H1473" s="8"/>
      <c r="I1473" s="8"/>
    </row>
    <row r="1474" customFormat="false" ht="15" hidden="false" customHeight="false" outlineLevel="0" collapsed="false">
      <c r="A1474" s="4"/>
      <c r="B1474" s="4"/>
      <c r="C1474" s="4"/>
      <c r="D1474" s="8"/>
      <c r="E1474" s="8"/>
      <c r="F1474" s="8"/>
      <c r="G1474" s="8"/>
      <c r="H1474" s="8"/>
      <c r="I1474" s="8"/>
    </row>
    <row r="1475" customFormat="false" ht="15" hidden="false" customHeight="false" outlineLevel="0" collapsed="false">
      <c r="A1475" s="4"/>
      <c r="B1475" s="4"/>
      <c r="C1475" s="4"/>
      <c r="D1475" s="8"/>
      <c r="E1475" s="8"/>
      <c r="F1475" s="8"/>
      <c r="G1475" s="8"/>
      <c r="H1475" s="8"/>
      <c r="I1475" s="8"/>
    </row>
    <row r="1476" customFormat="false" ht="15" hidden="false" customHeight="false" outlineLevel="0" collapsed="false">
      <c r="A1476" s="4"/>
      <c r="B1476" s="4"/>
      <c r="C1476" s="4"/>
      <c r="D1476" s="8"/>
      <c r="E1476" s="8"/>
      <c r="F1476" s="8"/>
      <c r="G1476" s="8"/>
      <c r="H1476" s="8"/>
      <c r="I1476" s="8"/>
    </row>
    <row r="1477" customFormat="false" ht="15" hidden="false" customHeight="false" outlineLevel="0" collapsed="false">
      <c r="A1477" s="4"/>
      <c r="B1477" s="4"/>
      <c r="C1477" s="4"/>
      <c r="D1477" s="8"/>
      <c r="E1477" s="8"/>
      <c r="F1477" s="8"/>
      <c r="G1477" s="8"/>
      <c r="H1477" s="8"/>
      <c r="I1477" s="8"/>
    </row>
    <row r="1478" customFormat="false" ht="15" hidden="false" customHeight="false" outlineLevel="0" collapsed="false">
      <c r="A1478" s="4"/>
      <c r="B1478" s="4"/>
      <c r="C1478" s="4"/>
      <c r="D1478" s="8"/>
      <c r="E1478" s="8"/>
      <c r="F1478" s="8"/>
      <c r="G1478" s="8"/>
      <c r="H1478" s="8"/>
      <c r="I1478" s="8"/>
    </row>
    <row r="1479" customFormat="false" ht="15" hidden="false" customHeight="false" outlineLevel="0" collapsed="false">
      <c r="A1479" s="4"/>
      <c r="B1479" s="4"/>
      <c r="C1479" s="4"/>
      <c r="D1479" s="8"/>
      <c r="E1479" s="8"/>
      <c r="F1479" s="8"/>
      <c r="G1479" s="8"/>
      <c r="H1479" s="8"/>
      <c r="I1479" s="8"/>
    </row>
    <row r="1480" customFormat="false" ht="15" hidden="false" customHeight="false" outlineLevel="0" collapsed="false">
      <c r="A1480" s="4"/>
      <c r="B1480" s="4"/>
      <c r="C1480" s="4"/>
      <c r="D1480" s="8"/>
      <c r="E1480" s="8"/>
      <c r="F1480" s="8"/>
      <c r="G1480" s="8"/>
      <c r="H1480" s="8"/>
      <c r="I1480" s="8"/>
    </row>
    <row r="1481" customFormat="false" ht="15" hidden="false" customHeight="false" outlineLevel="0" collapsed="false">
      <c r="A1481" s="4"/>
      <c r="B1481" s="4"/>
      <c r="C1481" s="4"/>
      <c r="D1481" s="8"/>
      <c r="E1481" s="8"/>
      <c r="F1481" s="8"/>
      <c r="G1481" s="8"/>
      <c r="H1481" s="8"/>
      <c r="I1481" s="8"/>
    </row>
    <row r="1482" customFormat="false" ht="15" hidden="false" customHeight="false" outlineLevel="0" collapsed="false">
      <c r="A1482" s="4"/>
      <c r="B1482" s="4"/>
      <c r="C1482" s="4"/>
      <c r="D1482" s="8"/>
      <c r="E1482" s="8"/>
      <c r="F1482" s="8"/>
      <c r="G1482" s="8"/>
      <c r="H1482" s="8"/>
      <c r="I1482" s="8"/>
    </row>
    <row r="1483" customFormat="false" ht="15" hidden="false" customHeight="false" outlineLevel="0" collapsed="false">
      <c r="A1483" s="4"/>
      <c r="B1483" s="4"/>
      <c r="C1483" s="4"/>
      <c r="D1483" s="8"/>
      <c r="E1483" s="8"/>
      <c r="F1483" s="8"/>
      <c r="G1483" s="8"/>
      <c r="H1483" s="8"/>
      <c r="I1483" s="8"/>
    </row>
    <row r="1484" customFormat="false" ht="15" hidden="false" customHeight="false" outlineLevel="0" collapsed="false">
      <c r="A1484" s="4"/>
      <c r="B1484" s="4"/>
      <c r="C1484" s="4"/>
      <c r="D1484" s="8"/>
      <c r="E1484" s="8"/>
      <c r="F1484" s="8"/>
      <c r="G1484" s="8"/>
      <c r="H1484" s="8"/>
      <c r="I1484" s="8"/>
    </row>
    <row r="1485" customFormat="false" ht="15" hidden="false" customHeight="false" outlineLevel="0" collapsed="false">
      <c r="A1485" s="4"/>
      <c r="B1485" s="4"/>
      <c r="C1485" s="4"/>
      <c r="D1485" s="8"/>
      <c r="E1485" s="8"/>
      <c r="F1485" s="8"/>
      <c r="G1485" s="8"/>
      <c r="H1485" s="8"/>
      <c r="I1485" s="8"/>
    </row>
    <row r="1486" customFormat="false" ht="15" hidden="false" customHeight="false" outlineLevel="0" collapsed="false">
      <c r="A1486" s="4"/>
      <c r="B1486" s="4"/>
      <c r="C1486" s="4"/>
      <c r="D1486" s="8"/>
      <c r="E1486" s="8"/>
      <c r="F1486" s="8"/>
      <c r="G1486" s="8"/>
      <c r="H1486" s="8"/>
      <c r="I1486" s="8"/>
    </row>
    <row r="1487" customFormat="false" ht="15" hidden="false" customHeight="false" outlineLevel="0" collapsed="false">
      <c r="A1487" s="4"/>
      <c r="B1487" s="4"/>
      <c r="C1487" s="4"/>
      <c r="D1487" s="8"/>
      <c r="E1487" s="8"/>
      <c r="F1487" s="8"/>
      <c r="G1487" s="8"/>
      <c r="H1487" s="8"/>
      <c r="I1487" s="8"/>
    </row>
    <row r="1488" customFormat="false" ht="15" hidden="false" customHeight="false" outlineLevel="0" collapsed="false">
      <c r="A1488" s="4"/>
      <c r="B1488" s="4"/>
      <c r="C1488" s="4"/>
      <c r="D1488" s="8"/>
      <c r="E1488" s="8"/>
      <c r="F1488" s="8"/>
      <c r="G1488" s="8"/>
      <c r="H1488" s="8"/>
      <c r="I1488" s="8"/>
    </row>
    <row r="1489" customFormat="false" ht="15" hidden="false" customHeight="false" outlineLevel="0" collapsed="false">
      <c r="A1489" s="4"/>
      <c r="B1489" s="4"/>
      <c r="C1489" s="4"/>
      <c r="D1489" s="8"/>
      <c r="E1489" s="8"/>
      <c r="F1489" s="8"/>
      <c r="G1489" s="8"/>
      <c r="H1489" s="8"/>
      <c r="I1489" s="8"/>
    </row>
    <row r="1490" customFormat="false" ht="15" hidden="false" customHeight="false" outlineLevel="0" collapsed="false">
      <c r="A1490" s="4"/>
      <c r="B1490" s="4"/>
      <c r="C1490" s="4"/>
      <c r="D1490" s="8"/>
      <c r="E1490" s="8"/>
      <c r="F1490" s="8"/>
      <c r="G1490" s="8"/>
      <c r="H1490" s="8"/>
      <c r="I1490" s="8"/>
    </row>
    <row r="1491" customFormat="false" ht="15" hidden="false" customHeight="false" outlineLevel="0" collapsed="false">
      <c r="A1491" s="4"/>
      <c r="B1491" s="4"/>
      <c r="C1491" s="4"/>
      <c r="D1491" s="8"/>
      <c r="E1491" s="8"/>
      <c r="F1491" s="8"/>
      <c r="G1491" s="8"/>
      <c r="H1491" s="8"/>
      <c r="I1491" s="8"/>
    </row>
    <row r="1492" customFormat="false" ht="15" hidden="false" customHeight="false" outlineLevel="0" collapsed="false">
      <c r="A1492" s="4"/>
      <c r="B1492" s="4"/>
      <c r="C1492" s="4"/>
      <c r="D1492" s="8"/>
      <c r="E1492" s="8"/>
      <c r="F1492" s="8"/>
      <c r="G1492" s="8"/>
      <c r="H1492" s="8"/>
      <c r="I1492" s="8"/>
    </row>
    <row r="1493" customFormat="false" ht="15" hidden="false" customHeight="false" outlineLevel="0" collapsed="false">
      <c r="A1493" s="4"/>
      <c r="B1493" s="4"/>
      <c r="C1493" s="4"/>
      <c r="D1493" s="8"/>
      <c r="E1493" s="8"/>
      <c r="F1493" s="8"/>
      <c r="G1493" s="8"/>
      <c r="H1493" s="8"/>
      <c r="I1493" s="8"/>
    </row>
    <row r="1494" customFormat="false" ht="15" hidden="false" customHeight="false" outlineLevel="0" collapsed="false">
      <c r="A1494" s="4"/>
      <c r="B1494" s="4"/>
      <c r="C1494" s="4"/>
      <c r="D1494" s="8"/>
      <c r="E1494" s="8"/>
      <c r="F1494" s="8"/>
      <c r="G1494" s="8"/>
      <c r="H1494" s="8"/>
      <c r="I1494" s="8"/>
    </row>
    <row r="1495" customFormat="false" ht="15" hidden="false" customHeight="false" outlineLevel="0" collapsed="false">
      <c r="A1495" s="4"/>
      <c r="B1495" s="4"/>
      <c r="C1495" s="4"/>
      <c r="D1495" s="8"/>
      <c r="E1495" s="8"/>
      <c r="F1495" s="8"/>
      <c r="G1495" s="8"/>
      <c r="H1495" s="8"/>
      <c r="I1495" s="8"/>
    </row>
    <row r="1496" customFormat="false" ht="15" hidden="false" customHeight="false" outlineLevel="0" collapsed="false">
      <c r="A1496" s="4"/>
      <c r="B1496" s="4"/>
      <c r="C1496" s="4"/>
      <c r="D1496" s="8"/>
      <c r="E1496" s="8"/>
      <c r="F1496" s="8"/>
      <c r="G1496" s="8"/>
      <c r="H1496" s="8"/>
      <c r="I1496" s="8"/>
    </row>
    <row r="1497" customFormat="false" ht="15" hidden="false" customHeight="false" outlineLevel="0" collapsed="false">
      <c r="A1497" s="4"/>
      <c r="B1497" s="4"/>
      <c r="C1497" s="4"/>
      <c r="D1497" s="8"/>
      <c r="E1497" s="8"/>
      <c r="F1497" s="8"/>
      <c r="G1497" s="8"/>
      <c r="H1497" s="8"/>
      <c r="I1497" s="8"/>
    </row>
    <row r="1498" customFormat="false" ht="15" hidden="false" customHeight="false" outlineLevel="0" collapsed="false">
      <c r="A1498" s="4"/>
      <c r="B1498" s="4"/>
      <c r="C1498" s="4"/>
      <c r="D1498" s="8"/>
      <c r="E1498" s="8"/>
      <c r="F1498" s="8"/>
      <c r="G1498" s="8"/>
      <c r="H1498" s="8"/>
      <c r="I1498" s="8"/>
    </row>
    <row r="1499" customFormat="false" ht="15" hidden="false" customHeight="false" outlineLevel="0" collapsed="false">
      <c r="A1499" s="4"/>
      <c r="B1499" s="4"/>
      <c r="C1499" s="4"/>
      <c r="D1499" s="8"/>
      <c r="E1499" s="8"/>
      <c r="F1499" s="8"/>
      <c r="G1499" s="8"/>
      <c r="H1499" s="8"/>
      <c r="I1499" s="8"/>
    </row>
    <row r="1500" customFormat="false" ht="15" hidden="false" customHeight="false" outlineLevel="0" collapsed="false">
      <c r="A1500" s="4"/>
      <c r="B1500" s="4"/>
      <c r="C1500" s="4"/>
      <c r="D1500" s="8"/>
      <c r="E1500" s="8"/>
      <c r="F1500" s="8"/>
      <c r="G1500" s="8"/>
      <c r="H1500" s="8"/>
      <c r="I1500" s="8"/>
    </row>
  </sheetData>
  <autoFilter ref="A1:I1500"/>
  <dataValidations count="1">
    <dataValidation allowBlank="true" error="Choose a value from the Status list (Lists sheet), or leave blank." errorStyle="stop" errorTitle="Not on the list" operator="between" showDropDown="false" showErrorMessage="true" showInputMessage="false" sqref="H2:H1500" type="list">
      <formula1>Lists!$E$2:$E$6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22"/>
    <col collapsed="false" customWidth="true" hidden="false" outlineLevel="0" max="4" min="4" style="0" width="10"/>
    <col collapsed="false" customWidth="true" hidden="false" outlineLevel="0" max="5" min="5" style="0" width="16"/>
    <col collapsed="false" customWidth="true" hidden="false" outlineLevel="0" max="6" min="6" style="0" width="22"/>
    <col collapsed="false" customWidth="true" hidden="false" outlineLevel="0" max="7" min="7" style="0" width="10"/>
    <col collapsed="false" customWidth="true" hidden="false" outlineLevel="0" max="8" min="8" style="0" width="16"/>
    <col collapsed="false" customWidth="true" hidden="false" outlineLevel="0" max="9" min="9" style="0" width="22"/>
    <col collapsed="false" customWidth="true" hidden="false" outlineLevel="0" max="11" min="10" style="0" width="10"/>
    <col collapsed="false" customWidth="true" hidden="false" outlineLevel="0" max="12" min="12" style="0" width="30"/>
  </cols>
  <sheetData>
    <row r="1" customFormat="false" ht="31.5" hidden="false" customHeight="true" outlineLevel="0" collapsed="false">
      <c r="A1" s="7" t="s">
        <v>10343</v>
      </c>
      <c r="B1" s="7" t="s">
        <v>10344</v>
      </c>
      <c r="C1" s="7" t="s">
        <v>93</v>
      </c>
      <c r="D1" s="7" t="s">
        <v>10345</v>
      </c>
      <c r="E1" s="7" t="s">
        <v>10346</v>
      </c>
      <c r="F1" s="7" t="s">
        <v>93</v>
      </c>
      <c r="G1" s="7" t="s">
        <v>10345</v>
      </c>
      <c r="H1" s="7" t="s">
        <v>10347</v>
      </c>
      <c r="I1" s="7" t="s">
        <v>93</v>
      </c>
      <c r="J1" s="7" t="s">
        <v>10345</v>
      </c>
      <c r="K1" s="7" t="s">
        <v>5</v>
      </c>
      <c r="L1" s="7" t="s">
        <v>97</v>
      </c>
    </row>
    <row r="2" customFormat="false" ht="15" hidden="false" customHeight="false" outlineLevel="0" collapsed="false">
      <c r="A2" s="9" t="s">
        <v>10348</v>
      </c>
      <c r="B2" s="9"/>
      <c r="C2" s="9"/>
      <c r="D2" s="9"/>
      <c r="E2" s="9"/>
      <c r="F2" s="9"/>
      <c r="G2" s="9"/>
      <c r="H2" s="9"/>
      <c r="I2" s="9"/>
      <c r="J2" s="9"/>
      <c r="K2" s="9"/>
      <c r="L2" s="9"/>
    </row>
    <row r="3" customFormat="false" ht="15" hidden="false" customHeight="false" outlineLevel="0" collapsed="false">
      <c r="A3" s="8" t="s">
        <v>10349</v>
      </c>
      <c r="B3" s="8" t="s">
        <v>8285</v>
      </c>
      <c r="C3" s="8" t="s">
        <v>8286</v>
      </c>
      <c r="D3" s="8" t="n">
        <v>1</v>
      </c>
      <c r="E3" s="8" t="s">
        <v>10350</v>
      </c>
      <c r="F3" s="8" t="s">
        <v>10351</v>
      </c>
      <c r="G3" s="8" t="n">
        <v>150</v>
      </c>
      <c r="H3" s="8" t="s">
        <v>181</v>
      </c>
      <c r="I3" s="8" t="s">
        <v>182</v>
      </c>
      <c r="J3" s="8" t="n">
        <v>287</v>
      </c>
      <c r="K3" s="8" t="s">
        <v>62</v>
      </c>
      <c r="L3" s="8"/>
    </row>
    <row r="4" customFormat="false" ht="15" hidden="false" customHeight="false" outlineLevel="0" collapsed="false">
      <c r="A4" s="8" t="s">
        <v>10352</v>
      </c>
      <c r="B4" s="8" t="s">
        <v>3786</v>
      </c>
      <c r="C4" s="8" t="s">
        <v>3787</v>
      </c>
      <c r="D4" s="8" t="n">
        <v>2747</v>
      </c>
      <c r="E4" s="8" t="s">
        <v>8749</v>
      </c>
      <c r="F4" s="8" t="s">
        <v>10353</v>
      </c>
      <c r="G4" s="8" t="n">
        <v>269</v>
      </c>
      <c r="H4" s="8" t="s">
        <v>10354</v>
      </c>
      <c r="I4" s="8" t="s">
        <v>82</v>
      </c>
      <c r="J4" s="8" t="n">
        <v>175</v>
      </c>
      <c r="K4" s="8" t="s">
        <v>62</v>
      </c>
      <c r="L4" s="8"/>
    </row>
    <row r="5" customFormat="false" ht="15" hidden="false" customHeight="false" outlineLevel="0" collapsed="false">
      <c r="A5" s="8" t="s">
        <v>10355</v>
      </c>
      <c r="B5" s="8" t="s">
        <v>8361</v>
      </c>
      <c r="C5" s="8" t="s">
        <v>10356</v>
      </c>
      <c r="D5" s="8" t="n">
        <v>33</v>
      </c>
      <c r="E5" s="8" t="s">
        <v>6517</v>
      </c>
      <c r="F5" s="8" t="s">
        <v>6518</v>
      </c>
      <c r="G5" s="8" t="n">
        <v>24</v>
      </c>
      <c r="H5" s="8" t="s">
        <v>9435</v>
      </c>
      <c r="I5" s="8" t="s">
        <v>9436</v>
      </c>
      <c r="J5" s="8" t="n">
        <v>997</v>
      </c>
      <c r="K5" s="8" t="s">
        <v>62</v>
      </c>
      <c r="L5" s="8"/>
    </row>
    <row r="6" customFormat="false" ht="15" hidden="false" customHeight="false" outlineLevel="0" collapsed="false">
      <c r="A6" s="8" t="s">
        <v>10357</v>
      </c>
      <c r="B6" s="8" t="s">
        <v>8459</v>
      </c>
      <c r="C6" s="8" t="s">
        <v>8460</v>
      </c>
      <c r="D6" s="8" t="n">
        <v>87</v>
      </c>
      <c r="E6" s="8" t="s">
        <v>6467</v>
      </c>
      <c r="F6" s="8" t="s">
        <v>10358</v>
      </c>
      <c r="G6" s="8" t="n">
        <v>160</v>
      </c>
      <c r="H6" s="8" t="s">
        <v>5912</v>
      </c>
      <c r="I6" s="8" t="s">
        <v>5913</v>
      </c>
      <c r="J6" s="8" t="n">
        <v>121</v>
      </c>
      <c r="K6" s="8" t="s">
        <v>62</v>
      </c>
      <c r="L6" s="8"/>
    </row>
    <row r="7" customFormat="false" ht="15" hidden="false" customHeight="false" outlineLevel="0" collapsed="false">
      <c r="A7" s="8" t="s">
        <v>10359</v>
      </c>
      <c r="B7" s="8" t="s">
        <v>10360</v>
      </c>
      <c r="C7" s="8" t="s">
        <v>10361</v>
      </c>
      <c r="D7" s="8" t="n">
        <v>73</v>
      </c>
      <c r="E7" s="8" t="s">
        <v>8379</v>
      </c>
      <c r="F7" s="8" t="s">
        <v>8380</v>
      </c>
      <c r="G7" s="8" t="n">
        <v>47</v>
      </c>
      <c r="H7" s="8" t="s">
        <v>8623</v>
      </c>
      <c r="I7" s="8" t="s">
        <v>8624</v>
      </c>
      <c r="J7" s="8" t="n">
        <v>186</v>
      </c>
      <c r="K7" s="8" t="s">
        <v>62</v>
      </c>
      <c r="L7" s="8"/>
    </row>
    <row r="8" customFormat="false" ht="15" hidden="false" customHeight="false" outlineLevel="0" collapsed="false">
      <c r="A8" s="8" t="s">
        <v>10362</v>
      </c>
      <c r="B8" s="8" t="s">
        <v>10363</v>
      </c>
      <c r="C8" s="8" t="s">
        <v>10364</v>
      </c>
      <c r="D8" s="8" t="n">
        <v>21</v>
      </c>
      <c r="E8" s="8" t="s">
        <v>8489</v>
      </c>
      <c r="F8" s="8" t="s">
        <v>8490</v>
      </c>
      <c r="G8" s="8" t="n">
        <v>105</v>
      </c>
      <c r="H8" s="8" t="s">
        <v>9311</v>
      </c>
      <c r="I8" s="8" t="s">
        <v>10365</v>
      </c>
      <c r="J8" s="8" t="n">
        <v>859</v>
      </c>
      <c r="K8" s="8" t="s">
        <v>62</v>
      </c>
      <c r="L8" s="8"/>
    </row>
    <row r="9" customFormat="false" ht="15" hidden="false" customHeight="false" outlineLevel="0" collapsed="false">
      <c r="A9" s="8" t="s">
        <v>10366</v>
      </c>
      <c r="B9" s="8" t="s">
        <v>7093</v>
      </c>
      <c r="C9" s="8" t="s">
        <v>10367</v>
      </c>
      <c r="D9" s="8" t="n">
        <v>39</v>
      </c>
      <c r="E9" s="8" t="s">
        <v>10368</v>
      </c>
      <c r="F9" s="8" t="s">
        <v>9154</v>
      </c>
      <c r="G9" s="8" t="n">
        <v>664</v>
      </c>
      <c r="H9" s="8" t="s">
        <v>2202</v>
      </c>
      <c r="I9" s="8" t="s">
        <v>10369</v>
      </c>
      <c r="J9" s="8" t="n">
        <v>302</v>
      </c>
      <c r="K9" s="8" t="s">
        <v>62</v>
      </c>
      <c r="L9" s="8"/>
    </row>
    <row r="10" customFormat="false" ht="15" hidden="false" customHeight="false" outlineLevel="0" collapsed="false">
      <c r="A10" s="8" t="s">
        <v>10370</v>
      </c>
      <c r="B10" s="8" t="s">
        <v>7103</v>
      </c>
      <c r="C10" s="8" t="s">
        <v>7104</v>
      </c>
      <c r="D10" s="8" t="n">
        <v>58</v>
      </c>
      <c r="E10" s="8" t="s">
        <v>1274</v>
      </c>
      <c r="F10" s="8" t="s">
        <v>1275</v>
      </c>
      <c r="G10" s="8" t="n">
        <v>163</v>
      </c>
      <c r="H10" s="8" t="s">
        <v>8469</v>
      </c>
      <c r="I10" s="8" t="s">
        <v>10371</v>
      </c>
      <c r="J10" s="8" t="n">
        <v>95</v>
      </c>
      <c r="K10" s="8" t="s">
        <v>62</v>
      </c>
      <c r="L10" s="8"/>
    </row>
    <row r="11" customFormat="false" ht="15" hidden="false" customHeight="false" outlineLevel="0" collapsed="false">
      <c r="A11" s="8" t="s">
        <v>10372</v>
      </c>
      <c r="B11" s="8" t="s">
        <v>6785</v>
      </c>
      <c r="C11" s="8" t="s">
        <v>6786</v>
      </c>
      <c r="D11" s="8" t="n">
        <v>1085</v>
      </c>
      <c r="E11" s="8" t="s">
        <v>613</v>
      </c>
      <c r="F11" s="8" t="s">
        <v>614</v>
      </c>
      <c r="G11" s="8" t="n">
        <v>386</v>
      </c>
      <c r="H11" s="8" t="s">
        <v>10373</v>
      </c>
      <c r="I11" s="8" t="s">
        <v>10374</v>
      </c>
      <c r="J11" s="8" t="n">
        <v>4176</v>
      </c>
      <c r="K11" s="8" t="s">
        <v>62</v>
      </c>
      <c r="L11" s="8"/>
    </row>
    <row r="12" customFormat="false" ht="15" hidden="false" customHeight="false" outlineLevel="0" collapsed="false">
      <c r="A12" s="8" t="s">
        <v>10375</v>
      </c>
      <c r="B12" s="8" t="s">
        <v>7097</v>
      </c>
      <c r="C12" s="8" t="s">
        <v>7098</v>
      </c>
      <c r="D12" s="8" t="n">
        <v>63</v>
      </c>
      <c r="E12" s="8" t="s">
        <v>8942</v>
      </c>
      <c r="F12" s="8" t="s">
        <v>6795</v>
      </c>
      <c r="G12" s="8" t="n">
        <v>424</v>
      </c>
      <c r="H12" s="8" t="s">
        <v>1541</v>
      </c>
      <c r="I12" s="8" t="s">
        <v>1542</v>
      </c>
      <c r="J12" s="8" t="n">
        <v>913</v>
      </c>
      <c r="K12" s="8" t="s">
        <v>62</v>
      </c>
      <c r="L12" s="8"/>
    </row>
    <row r="13" customFormat="false" ht="15" hidden="false" customHeight="false" outlineLevel="0" collapsed="false">
      <c r="A13" s="9" t="s">
        <v>10376</v>
      </c>
      <c r="B13" s="9"/>
      <c r="C13" s="9"/>
      <c r="D13" s="9"/>
      <c r="E13" s="9"/>
      <c r="F13" s="9"/>
      <c r="G13" s="9"/>
      <c r="H13" s="9"/>
      <c r="I13" s="9"/>
      <c r="J13" s="9"/>
      <c r="K13" s="9"/>
      <c r="L13" s="9"/>
    </row>
    <row r="14" customFormat="false" ht="15" hidden="false" customHeight="false" outlineLevel="0" collapsed="false">
      <c r="A14" s="8" t="s">
        <v>10377</v>
      </c>
      <c r="B14" s="8" t="s">
        <v>8416</v>
      </c>
      <c r="C14" s="8" t="s">
        <v>8417</v>
      </c>
      <c r="D14" s="8" t="n">
        <v>66</v>
      </c>
      <c r="E14" s="8" t="s">
        <v>708</v>
      </c>
      <c r="F14" s="8" t="s">
        <v>10378</v>
      </c>
      <c r="G14" s="8" t="n">
        <v>1274</v>
      </c>
      <c r="H14" s="8" t="s">
        <v>135</v>
      </c>
      <c r="I14" s="8" t="s">
        <v>10379</v>
      </c>
      <c r="J14" s="8" t="n">
        <v>602</v>
      </c>
      <c r="K14" s="8" t="s">
        <v>62</v>
      </c>
      <c r="L14" s="8"/>
    </row>
    <row r="15" customFormat="false" ht="15" hidden="false" customHeight="false" outlineLevel="0" collapsed="false">
      <c r="A15" s="8" t="s">
        <v>10380</v>
      </c>
      <c r="B15" s="8" t="s">
        <v>4341</v>
      </c>
      <c r="C15" s="8" t="s">
        <v>9271</v>
      </c>
      <c r="D15" s="8" t="n">
        <v>815</v>
      </c>
      <c r="E15" s="8" t="s">
        <v>328</v>
      </c>
      <c r="F15" s="8" t="s">
        <v>329</v>
      </c>
      <c r="G15" s="8" t="n">
        <v>629</v>
      </c>
      <c r="H15" s="8" t="s">
        <v>203</v>
      </c>
      <c r="I15" s="8" t="s">
        <v>204</v>
      </c>
      <c r="J15" s="8" t="n">
        <v>134</v>
      </c>
      <c r="K15" s="8" t="s">
        <v>62</v>
      </c>
      <c r="L15" s="8"/>
    </row>
    <row r="16" customFormat="false" ht="15" hidden="false" customHeight="false" outlineLevel="0" collapsed="false">
      <c r="A16" s="8" t="s">
        <v>10381</v>
      </c>
      <c r="B16" s="8" t="s">
        <v>8833</v>
      </c>
      <c r="C16" s="8" t="s">
        <v>10382</v>
      </c>
      <c r="D16" s="8" t="n">
        <v>332</v>
      </c>
      <c r="E16" s="8" t="s">
        <v>8734</v>
      </c>
      <c r="F16" s="8" t="s">
        <v>10383</v>
      </c>
      <c r="G16" s="8" t="n">
        <v>260</v>
      </c>
      <c r="H16" s="8" t="s">
        <v>8481</v>
      </c>
      <c r="I16" s="8" t="s">
        <v>6374</v>
      </c>
      <c r="J16" s="8" t="n">
        <v>101</v>
      </c>
      <c r="K16" s="8" t="s">
        <v>62</v>
      </c>
      <c r="L16" s="8"/>
    </row>
    <row r="17" customFormat="false" ht="15" hidden="false" customHeight="false" outlineLevel="0" collapsed="false">
      <c r="A17" s="9" t="s">
        <v>10384</v>
      </c>
      <c r="B17" s="9"/>
      <c r="C17" s="9"/>
      <c r="D17" s="9"/>
      <c r="E17" s="9"/>
      <c r="F17" s="9"/>
      <c r="G17" s="9"/>
      <c r="H17" s="9"/>
      <c r="I17" s="9"/>
      <c r="J17" s="9"/>
      <c r="K17" s="9"/>
      <c r="L17" s="9"/>
    </row>
    <row r="18" customFormat="false" ht="15" hidden="false" customHeight="false" outlineLevel="0" collapsed="false">
      <c r="A18" s="8" t="s">
        <v>10385</v>
      </c>
      <c r="B18" s="8" t="s">
        <v>3188</v>
      </c>
      <c r="C18" s="8" t="s">
        <v>3189</v>
      </c>
      <c r="D18" s="8" t="n">
        <v>576</v>
      </c>
      <c r="E18" s="8" t="s">
        <v>8721</v>
      </c>
      <c r="F18" s="8" t="s">
        <v>10386</v>
      </c>
      <c r="G18" s="8" t="s">
        <v>10387</v>
      </c>
      <c r="H18" s="8" t="s">
        <v>9430</v>
      </c>
      <c r="I18" s="8" t="s">
        <v>9431</v>
      </c>
      <c r="J18" s="8" t="n">
        <v>976</v>
      </c>
      <c r="K18" s="8" t="s">
        <v>62</v>
      </c>
      <c r="L18" s="8"/>
    </row>
    <row r="19" customFormat="false" ht="15" hidden="false" customHeight="false" outlineLevel="0" collapsed="false">
      <c r="A19" s="8"/>
      <c r="B19" s="8" t="s">
        <v>8620</v>
      </c>
      <c r="C19" s="8" t="s">
        <v>8621</v>
      </c>
      <c r="D19" s="8" t="n">
        <v>185</v>
      </c>
      <c r="E19" s="8" t="s">
        <v>197</v>
      </c>
      <c r="F19" s="8" t="s">
        <v>10388</v>
      </c>
      <c r="G19" s="8" t="s">
        <v>10389</v>
      </c>
      <c r="H19" s="8" t="s">
        <v>10390</v>
      </c>
      <c r="I19" s="8" t="s">
        <v>93</v>
      </c>
      <c r="J19" s="8" t="n">
        <v>409</v>
      </c>
      <c r="K19" s="8" t="s">
        <v>62</v>
      </c>
      <c r="L19" s="8"/>
    </row>
    <row r="20" customFormat="false" ht="15" hidden="false" customHeight="false" outlineLevel="0" collapsed="false">
      <c r="A20" s="8" t="s">
        <v>10391</v>
      </c>
      <c r="B20" s="8" t="s">
        <v>708</v>
      </c>
      <c r="C20" s="8" t="s">
        <v>10392</v>
      </c>
      <c r="D20" s="8" t="n">
        <v>478</v>
      </c>
      <c r="E20" s="8" t="s">
        <v>2572</v>
      </c>
      <c r="F20" s="8" t="s">
        <v>10393</v>
      </c>
      <c r="G20" s="8" t="s">
        <v>10394</v>
      </c>
      <c r="H20" s="8" t="s">
        <v>10350</v>
      </c>
      <c r="I20" s="8" t="s">
        <v>10351</v>
      </c>
      <c r="J20" s="8" t="n">
        <v>213</v>
      </c>
      <c r="K20" s="8" t="s">
        <v>62</v>
      </c>
      <c r="L20" s="8"/>
    </row>
    <row r="21" customFormat="false" ht="15" hidden="false" customHeight="false" outlineLevel="0" collapsed="false">
      <c r="A21" s="8"/>
      <c r="B21" s="8" t="s">
        <v>8793</v>
      </c>
      <c r="C21" s="8" t="s">
        <v>10395</v>
      </c>
      <c r="D21" s="8" t="n">
        <v>300</v>
      </c>
      <c r="E21" s="8" t="s">
        <v>10354</v>
      </c>
      <c r="F21" s="8" t="s">
        <v>82</v>
      </c>
      <c r="G21" s="8" t="s">
        <v>10396</v>
      </c>
      <c r="H21" s="8" t="s">
        <v>8711</v>
      </c>
      <c r="I21" s="8" t="s">
        <v>8712</v>
      </c>
      <c r="J21" s="8" t="n">
        <v>242</v>
      </c>
      <c r="K21" s="8" t="s">
        <v>62</v>
      </c>
      <c r="L21" s="8"/>
    </row>
    <row r="22" customFormat="false" ht="15" hidden="false" customHeight="false" outlineLevel="0" collapsed="false">
      <c r="A22" s="8" t="s">
        <v>10397</v>
      </c>
      <c r="B22" s="8" t="s">
        <v>8464</v>
      </c>
      <c r="C22" s="8" t="s">
        <v>10398</v>
      </c>
      <c r="D22" s="8" t="s">
        <v>10399</v>
      </c>
      <c r="E22" s="8" t="s">
        <v>2965</v>
      </c>
      <c r="F22" s="8" t="s">
        <v>2966</v>
      </c>
      <c r="G22" s="8" t="s">
        <v>10400</v>
      </c>
      <c r="H22" s="8" t="s">
        <v>8714</v>
      </c>
      <c r="I22" s="8" t="s">
        <v>8715</v>
      </c>
      <c r="J22" s="8" t="n">
        <v>243</v>
      </c>
      <c r="K22" s="8" t="s">
        <v>62</v>
      </c>
      <c r="L22" s="8"/>
    </row>
    <row r="23" customFormat="false" ht="15" hidden="false" customHeight="false" outlineLevel="0" collapsed="false">
      <c r="A23" s="8"/>
      <c r="B23" s="8" t="s">
        <v>8573</v>
      </c>
      <c r="C23" s="8" t="s">
        <v>8574</v>
      </c>
      <c r="D23" s="8" t="s">
        <v>10401</v>
      </c>
      <c r="E23" s="8" t="s">
        <v>328</v>
      </c>
      <c r="F23" s="8" t="s">
        <v>329</v>
      </c>
      <c r="G23" s="8" t="s">
        <v>10402</v>
      </c>
      <c r="H23" s="8" t="s">
        <v>9110</v>
      </c>
      <c r="I23" s="8" t="s">
        <v>9111</v>
      </c>
      <c r="J23" s="8" t="n">
        <v>624</v>
      </c>
      <c r="K23" s="8" t="s">
        <v>62</v>
      </c>
      <c r="L23" s="8"/>
    </row>
    <row r="24" customFormat="false" ht="15" hidden="false" customHeight="false" outlineLevel="0" collapsed="false">
      <c r="A24" s="8" t="s">
        <v>10403</v>
      </c>
      <c r="B24" s="8" t="s">
        <v>8714</v>
      </c>
      <c r="C24" s="8" t="s">
        <v>8715</v>
      </c>
      <c r="D24" s="8" t="s">
        <v>10404</v>
      </c>
      <c r="E24" s="8" t="s">
        <v>9906</v>
      </c>
      <c r="F24" s="8" t="s">
        <v>9907</v>
      </c>
      <c r="G24" s="8" t="s">
        <v>10405</v>
      </c>
      <c r="H24" s="8" t="s">
        <v>374</v>
      </c>
      <c r="I24" s="8" t="s">
        <v>375</v>
      </c>
      <c r="J24" s="8" t="n">
        <v>381</v>
      </c>
      <c r="K24" s="8" t="s">
        <v>62</v>
      </c>
      <c r="L24" s="8"/>
    </row>
    <row r="25" customFormat="false" ht="15" hidden="false" customHeight="false" outlineLevel="0" collapsed="false">
      <c r="A25" s="8"/>
      <c r="B25" s="8" t="s">
        <v>356</v>
      </c>
      <c r="C25" s="8" t="s">
        <v>357</v>
      </c>
      <c r="D25" s="8" t="n">
        <v>200</v>
      </c>
      <c r="E25" s="8" t="s">
        <v>9179</v>
      </c>
      <c r="F25" s="8" t="s">
        <v>9180</v>
      </c>
      <c r="G25" s="8" t="n">
        <v>691</v>
      </c>
      <c r="H25" s="8" t="s">
        <v>9096</v>
      </c>
      <c r="I25" s="8" t="s">
        <v>10406</v>
      </c>
      <c r="J25" s="8" t="n">
        <v>317</v>
      </c>
      <c r="K25" s="8" t="s">
        <v>62</v>
      </c>
      <c r="L25" s="8"/>
    </row>
    <row r="26" customFormat="false" ht="15" hidden="false" customHeight="false" outlineLevel="0" collapsed="false">
      <c r="A26" s="8" t="s">
        <v>10407</v>
      </c>
      <c r="B26" s="8" t="s">
        <v>1514</v>
      </c>
      <c r="C26" s="8" t="s">
        <v>1515</v>
      </c>
      <c r="D26" s="8" t="n">
        <v>82</v>
      </c>
      <c r="E26" s="8" t="s">
        <v>9528</v>
      </c>
      <c r="F26" s="8" t="s">
        <v>10408</v>
      </c>
      <c r="G26" s="8" t="n">
        <v>1133</v>
      </c>
      <c r="H26" s="8" t="s">
        <v>117</v>
      </c>
      <c r="I26" s="8" t="s">
        <v>118</v>
      </c>
      <c r="J26" s="8" t="n">
        <v>2</v>
      </c>
      <c r="K26" s="8" t="s">
        <v>62</v>
      </c>
      <c r="L26" s="8"/>
    </row>
    <row r="27" customFormat="false" ht="15" hidden="false" customHeight="false" outlineLevel="0" collapsed="false">
      <c r="A27" s="8"/>
      <c r="B27" s="8" t="s">
        <v>9818</v>
      </c>
      <c r="C27" s="8" t="s">
        <v>9819</v>
      </c>
      <c r="D27" s="8" t="n">
        <v>1593</v>
      </c>
      <c r="E27" s="8" t="s">
        <v>3752</v>
      </c>
      <c r="F27" s="8" t="s">
        <v>3753</v>
      </c>
      <c r="G27" s="8" t="n">
        <v>1886</v>
      </c>
      <c r="H27" s="8" t="s">
        <v>8451</v>
      </c>
      <c r="I27" s="8" t="s">
        <v>10409</v>
      </c>
      <c r="J27" s="8" t="n">
        <v>83</v>
      </c>
      <c r="K27" s="8" t="s">
        <v>62</v>
      </c>
      <c r="L27" s="8"/>
    </row>
    <row r="28" customFormat="false" ht="15" hidden="false" customHeight="false" outlineLevel="0" collapsed="false">
      <c r="A28" s="8" t="s">
        <v>10410</v>
      </c>
      <c r="B28" s="8" t="s">
        <v>1984</v>
      </c>
      <c r="C28" s="8" t="s">
        <v>10411</v>
      </c>
      <c r="D28" s="8" t="s">
        <v>10412</v>
      </c>
      <c r="E28" s="8" t="s">
        <v>10413</v>
      </c>
      <c r="F28" s="8" t="s">
        <v>10414</v>
      </c>
      <c r="G28" s="8" t="s">
        <v>10412</v>
      </c>
      <c r="H28" s="8" t="s">
        <v>10415</v>
      </c>
      <c r="I28" s="8" t="s">
        <v>10416</v>
      </c>
      <c r="J28" s="8" t="s">
        <v>10417</v>
      </c>
      <c r="K28" s="8" t="s">
        <v>62</v>
      </c>
      <c r="L28" s="8"/>
    </row>
    <row r="29" customFormat="false" ht="15" hidden="false" customHeight="false" outlineLevel="0" collapsed="false">
      <c r="A29" s="8"/>
      <c r="B29" s="8" t="s">
        <v>10418</v>
      </c>
      <c r="C29" s="8" t="s">
        <v>10419</v>
      </c>
      <c r="D29" s="8" t="s">
        <v>10412</v>
      </c>
      <c r="E29" s="8" t="s">
        <v>10420</v>
      </c>
      <c r="F29" s="8" t="s">
        <v>10421</v>
      </c>
      <c r="G29" s="8" t="n">
        <v>454</v>
      </c>
      <c r="H29" s="8" t="s">
        <v>10422</v>
      </c>
      <c r="I29" s="8" t="s">
        <v>10423</v>
      </c>
      <c r="J29" s="8" t="n">
        <v>1573</v>
      </c>
      <c r="K29" s="8" t="s">
        <v>62</v>
      </c>
      <c r="L29" s="8"/>
    </row>
    <row r="30" customFormat="false" ht="15" hidden="false" customHeight="false" outlineLevel="0" collapsed="false">
      <c r="A30" s="8" t="s">
        <v>10424</v>
      </c>
      <c r="B30" s="8" t="s">
        <v>4788</v>
      </c>
      <c r="C30" s="8" t="s">
        <v>10425</v>
      </c>
      <c r="D30" s="8" t="s">
        <v>10426</v>
      </c>
      <c r="E30" s="8" t="s">
        <v>8489</v>
      </c>
      <c r="F30" s="8" t="s">
        <v>8490</v>
      </c>
      <c r="G30" s="8" t="s">
        <v>10427</v>
      </c>
      <c r="H30" s="8" t="s">
        <v>8587</v>
      </c>
      <c r="I30" s="8" t="s">
        <v>8588</v>
      </c>
      <c r="J30" s="8" t="n">
        <v>164</v>
      </c>
      <c r="K30" s="8" t="s">
        <v>62</v>
      </c>
      <c r="L30" s="8"/>
    </row>
    <row r="31" customFormat="false" ht="15" hidden="false" customHeight="false" outlineLevel="0" collapsed="false">
      <c r="A31" s="8"/>
      <c r="B31" s="8" t="s">
        <v>704</v>
      </c>
      <c r="C31" s="8" t="s">
        <v>7057</v>
      </c>
      <c r="D31" s="8" t="s">
        <v>10428</v>
      </c>
      <c r="E31" s="8" t="s">
        <v>1591</v>
      </c>
      <c r="F31" s="8" t="s">
        <v>9020</v>
      </c>
      <c r="G31" s="8" t="n">
        <v>501</v>
      </c>
      <c r="H31" s="8" t="s">
        <v>8662</v>
      </c>
      <c r="I31" s="8" t="s">
        <v>10429</v>
      </c>
      <c r="J31" s="8" t="n">
        <v>206</v>
      </c>
      <c r="K31" s="8" t="s">
        <v>62</v>
      </c>
      <c r="L31" s="8"/>
    </row>
    <row r="32" customFormat="false" ht="15" hidden="false" customHeight="false" outlineLevel="0" collapsed="false">
      <c r="A32" s="8" t="s">
        <v>10430</v>
      </c>
      <c r="B32" s="8" t="s">
        <v>7106</v>
      </c>
      <c r="C32" s="8" t="s">
        <v>10431</v>
      </c>
      <c r="D32" s="8" t="n">
        <v>127</v>
      </c>
      <c r="E32" s="8" t="s">
        <v>603</v>
      </c>
      <c r="F32" s="8" t="s">
        <v>10432</v>
      </c>
      <c r="G32" s="8" t="s">
        <v>10433</v>
      </c>
      <c r="H32" s="8" t="s">
        <v>1222</v>
      </c>
      <c r="I32" s="8" t="s">
        <v>8397</v>
      </c>
      <c r="J32" s="8" t="n">
        <v>55</v>
      </c>
      <c r="K32" s="8" t="s">
        <v>62</v>
      </c>
      <c r="L32" s="8"/>
    </row>
    <row r="33" customFormat="false" ht="15" hidden="false" customHeight="false" outlineLevel="0" collapsed="false">
      <c r="A33" s="8"/>
      <c r="B33" s="8" t="s">
        <v>8838</v>
      </c>
      <c r="C33" s="8" t="s">
        <v>10434</v>
      </c>
      <c r="D33" s="8" t="s">
        <v>10435</v>
      </c>
      <c r="E33" s="8" t="s">
        <v>10436</v>
      </c>
      <c r="F33" s="8" t="s">
        <v>2352</v>
      </c>
      <c r="G33" s="8" t="s">
        <v>10437</v>
      </c>
      <c r="H33" s="8" t="s">
        <v>9084</v>
      </c>
      <c r="I33" s="8" t="s">
        <v>10438</v>
      </c>
      <c r="J33" s="8" t="n">
        <v>594</v>
      </c>
      <c r="K33" s="8" t="s">
        <v>62</v>
      </c>
      <c r="L33" s="8"/>
    </row>
    <row r="34" customFormat="false" ht="15" hidden="false" customHeight="false" outlineLevel="0" collapsed="false">
      <c r="A34" s="8" t="s">
        <v>10439</v>
      </c>
      <c r="B34" s="8" t="s">
        <v>8481</v>
      </c>
      <c r="C34" s="8" t="s">
        <v>6374</v>
      </c>
      <c r="D34" s="8" t="n">
        <v>101</v>
      </c>
      <c r="E34" s="8" t="s">
        <v>9488</v>
      </c>
      <c r="F34" s="8" t="s">
        <v>6807</v>
      </c>
      <c r="G34" s="8" t="n">
        <v>1073</v>
      </c>
      <c r="H34" s="8" t="s">
        <v>1242</v>
      </c>
      <c r="I34" s="8" t="s">
        <v>1243</v>
      </c>
      <c r="J34" s="8" t="n">
        <v>85</v>
      </c>
      <c r="K34" s="8" t="s">
        <v>62</v>
      </c>
      <c r="L34" s="8"/>
    </row>
    <row r="35" customFormat="false" ht="15" hidden="false" customHeight="false" outlineLevel="0" collapsed="false">
      <c r="A35" s="8"/>
      <c r="B35" s="8" t="s">
        <v>8469</v>
      </c>
      <c r="C35" s="8" t="s">
        <v>6773</v>
      </c>
      <c r="D35" s="8" t="s">
        <v>10440</v>
      </c>
      <c r="E35" s="8" t="s">
        <v>335</v>
      </c>
      <c r="F35" s="8" t="s">
        <v>336</v>
      </c>
      <c r="G35" s="8" t="s">
        <v>10441</v>
      </c>
      <c r="H35" s="8" t="s">
        <v>203</v>
      </c>
      <c r="I35" s="8" t="s">
        <v>204</v>
      </c>
      <c r="J35" s="8" t="n">
        <v>134</v>
      </c>
      <c r="K35" s="8" t="s">
        <v>62</v>
      </c>
      <c r="L35" s="8"/>
    </row>
    <row r="36" customFormat="false" ht="15" hidden="false" customHeight="false" outlineLevel="0" collapsed="false">
      <c r="A36" s="8" t="s">
        <v>10442</v>
      </c>
      <c r="B36" s="8" t="s">
        <v>10443</v>
      </c>
      <c r="C36" s="8" t="s">
        <v>926</v>
      </c>
      <c r="D36" s="8" t="n">
        <v>350</v>
      </c>
      <c r="E36" s="8" t="s">
        <v>2049</v>
      </c>
      <c r="F36" s="8" t="s">
        <v>2050</v>
      </c>
      <c r="G36" s="8" t="n">
        <v>1261</v>
      </c>
      <c r="H36" s="8" t="s">
        <v>5919</v>
      </c>
      <c r="I36" s="8" t="s">
        <v>10444</v>
      </c>
      <c r="J36" s="8" t="n">
        <v>701</v>
      </c>
      <c r="K36" s="8" t="s">
        <v>62</v>
      </c>
      <c r="L36" s="8"/>
    </row>
    <row r="37" customFormat="false" ht="15" hidden="false" customHeight="false" outlineLevel="0" collapsed="false">
      <c r="A37" s="8"/>
      <c r="B37" s="8" t="s">
        <v>5416</v>
      </c>
      <c r="C37" s="8" t="s">
        <v>5417</v>
      </c>
      <c r="D37" s="8" t="s">
        <v>10417</v>
      </c>
      <c r="E37" s="8" t="s">
        <v>10445</v>
      </c>
      <c r="F37" s="8" t="s">
        <v>10446</v>
      </c>
      <c r="G37" s="8" t="n">
        <v>1069</v>
      </c>
      <c r="H37" s="8" t="s">
        <v>1623</v>
      </c>
      <c r="I37" s="8" t="s">
        <v>1624</v>
      </c>
      <c r="J37" s="8" t="s">
        <v>10417</v>
      </c>
      <c r="K37" s="8" t="s">
        <v>62</v>
      </c>
      <c r="L37" s="8"/>
    </row>
    <row r="38" customFormat="false" ht="15" hidden="false" customHeight="false" outlineLevel="0" collapsed="false">
      <c r="A38" s="8" t="s">
        <v>10447</v>
      </c>
      <c r="B38" s="8" t="s">
        <v>10360</v>
      </c>
      <c r="C38" s="8" t="s">
        <v>10361</v>
      </c>
      <c r="D38" s="8" t="n">
        <v>73</v>
      </c>
      <c r="E38" s="8" t="s">
        <v>8579</v>
      </c>
      <c r="F38" s="8" t="s">
        <v>10448</v>
      </c>
      <c r="G38" s="8" t="s">
        <v>10449</v>
      </c>
      <c r="H38" s="8" t="s">
        <v>5432</v>
      </c>
      <c r="I38" s="8" t="s">
        <v>5433</v>
      </c>
      <c r="J38" s="8" t="n">
        <v>1218</v>
      </c>
      <c r="K38" s="8" t="s">
        <v>62</v>
      </c>
      <c r="L38" s="8"/>
    </row>
    <row r="39" customFormat="false" ht="15" hidden="false" customHeight="false" outlineLevel="0" collapsed="false">
      <c r="A39" s="8"/>
      <c r="B39" s="8" t="s">
        <v>8665</v>
      </c>
      <c r="C39" s="8" t="s">
        <v>10450</v>
      </c>
      <c r="D39" s="8" t="n">
        <v>207</v>
      </c>
      <c r="E39" s="8" t="s">
        <v>8746</v>
      </c>
      <c r="F39" s="8" t="s">
        <v>6765</v>
      </c>
      <c r="G39" s="8" t="s">
        <v>10451</v>
      </c>
      <c r="H39" s="8" t="s">
        <v>5389</v>
      </c>
      <c r="I39" s="8" t="s">
        <v>5390</v>
      </c>
      <c r="J39" s="8" t="n">
        <v>711</v>
      </c>
      <c r="K39" s="8" t="s">
        <v>62</v>
      </c>
      <c r="L39" s="8"/>
    </row>
    <row r="40" customFormat="false" ht="15" hidden="false" customHeight="false" outlineLevel="0" collapsed="false">
      <c r="A40" s="8" t="s">
        <v>10452</v>
      </c>
      <c r="B40" s="8" t="s">
        <v>4637</v>
      </c>
      <c r="C40" s="8" t="s">
        <v>8829</v>
      </c>
      <c r="D40" s="8" t="s">
        <v>10453</v>
      </c>
      <c r="E40" s="8" t="s">
        <v>8734</v>
      </c>
      <c r="F40" s="8" t="s">
        <v>8735</v>
      </c>
      <c r="G40" s="8" t="s">
        <v>10454</v>
      </c>
      <c r="H40" s="8" t="s">
        <v>10455</v>
      </c>
      <c r="I40" s="8" t="s">
        <v>6117</v>
      </c>
      <c r="J40" s="8" t="n">
        <v>147</v>
      </c>
      <c r="K40" s="8" t="s">
        <v>62</v>
      </c>
      <c r="L40" s="8"/>
    </row>
    <row r="41" customFormat="false" ht="15" hidden="false" customHeight="false" outlineLevel="0" collapsed="false">
      <c r="A41" s="8"/>
      <c r="B41" s="8" t="s">
        <v>7103</v>
      </c>
      <c r="C41" s="8" t="s">
        <v>7104</v>
      </c>
      <c r="D41" s="8" t="s">
        <v>10456</v>
      </c>
      <c r="E41" s="8" t="s">
        <v>7100</v>
      </c>
      <c r="F41" s="8" t="s">
        <v>7101</v>
      </c>
      <c r="G41" s="8" t="s">
        <v>10457</v>
      </c>
      <c r="H41" s="8" t="s">
        <v>1245</v>
      </c>
      <c r="I41" s="8" t="s">
        <v>6448</v>
      </c>
      <c r="J41" s="8" t="n">
        <v>139</v>
      </c>
      <c r="K41" s="8" t="s">
        <v>62</v>
      </c>
      <c r="L41" s="8"/>
    </row>
    <row r="42" customFormat="false" ht="15" hidden="false" customHeight="false" outlineLevel="0" collapsed="false">
      <c r="A42" s="8" t="s">
        <v>10458</v>
      </c>
      <c r="B42" s="8" t="s">
        <v>8333</v>
      </c>
      <c r="C42" s="8" t="s">
        <v>8361</v>
      </c>
      <c r="D42" s="8" t="s">
        <v>10459</v>
      </c>
      <c r="E42" s="8" t="s">
        <v>2305</v>
      </c>
      <c r="F42" s="8" t="s">
        <v>10460</v>
      </c>
      <c r="G42" s="8" t="s">
        <v>10461</v>
      </c>
      <c r="H42" s="8" t="s">
        <v>9160</v>
      </c>
      <c r="I42" s="8" t="s">
        <v>10462</v>
      </c>
      <c r="J42" s="8" t="n">
        <v>675</v>
      </c>
      <c r="K42" s="8" t="s">
        <v>62</v>
      </c>
      <c r="L42" s="8"/>
    </row>
    <row r="43" customFormat="false" ht="15" hidden="false" customHeight="false" outlineLevel="0" collapsed="false">
      <c r="A43" s="8"/>
      <c r="B43" s="8" t="s">
        <v>8565</v>
      </c>
      <c r="C43" s="8" t="s">
        <v>10463</v>
      </c>
      <c r="D43" s="8" t="s">
        <v>10464</v>
      </c>
      <c r="E43" s="8" t="s">
        <v>5488</v>
      </c>
      <c r="F43" s="8" t="s">
        <v>10465</v>
      </c>
      <c r="G43" s="8" t="s">
        <v>10466</v>
      </c>
      <c r="H43" s="8" t="s">
        <v>233</v>
      </c>
      <c r="I43" s="8" t="s">
        <v>10467</v>
      </c>
      <c r="J43" s="8" t="n">
        <v>339</v>
      </c>
      <c r="K43" s="8" t="s">
        <v>62</v>
      </c>
      <c r="L43" s="8"/>
    </row>
    <row r="44" customFormat="false" ht="15" hidden="false" customHeight="false" outlineLevel="0" collapsed="false">
      <c r="A44" s="8" t="s">
        <v>10468</v>
      </c>
      <c r="B44" s="8" t="s">
        <v>374</v>
      </c>
      <c r="C44" s="8" t="s">
        <v>10469</v>
      </c>
      <c r="D44" s="8" t="n">
        <v>1029</v>
      </c>
      <c r="E44" s="8" t="s">
        <v>10470</v>
      </c>
      <c r="F44" s="8" t="s">
        <v>1657</v>
      </c>
      <c r="G44" s="8" t="n">
        <v>1627</v>
      </c>
      <c r="H44" s="8" t="s">
        <v>2740</v>
      </c>
      <c r="I44" s="8" t="s">
        <v>470</v>
      </c>
      <c r="J44" s="8" t="n">
        <v>1156</v>
      </c>
      <c r="K44" s="8" t="s">
        <v>62</v>
      </c>
      <c r="L44" s="8"/>
    </row>
    <row r="45" customFormat="false" ht="15" hidden="false" customHeight="false" outlineLevel="0" collapsed="false">
      <c r="A45" s="8" t="s">
        <v>10471</v>
      </c>
      <c r="B45" s="8" t="s">
        <v>7069</v>
      </c>
      <c r="C45" s="8" t="s">
        <v>10472</v>
      </c>
      <c r="D45" s="8" t="n">
        <v>215</v>
      </c>
      <c r="E45" s="8" t="s">
        <v>10473</v>
      </c>
      <c r="F45" s="8" t="s">
        <v>10474</v>
      </c>
      <c r="G45" s="8" t="n">
        <v>1802</v>
      </c>
      <c r="H45" s="8" t="s">
        <v>10475</v>
      </c>
      <c r="I45" s="8" t="s">
        <v>10476</v>
      </c>
      <c r="J45" s="8" t="n">
        <v>254</v>
      </c>
      <c r="K45" s="8" t="s">
        <v>62</v>
      </c>
      <c r="L45" s="8"/>
    </row>
    <row r="46" customFormat="false" ht="15" hidden="false" customHeight="false" outlineLevel="0" collapsed="false">
      <c r="A46" s="8" t="s">
        <v>10477</v>
      </c>
      <c r="B46" s="8" t="s">
        <v>10478</v>
      </c>
      <c r="C46" s="8" t="s">
        <v>10479</v>
      </c>
      <c r="D46" s="8" t="n">
        <v>1313</v>
      </c>
      <c r="E46" s="8" t="s">
        <v>10480</v>
      </c>
      <c r="F46" s="8" t="s">
        <v>10481</v>
      </c>
      <c r="G46" s="8" t="n">
        <v>53</v>
      </c>
      <c r="H46" s="8" t="s">
        <v>10482</v>
      </c>
      <c r="I46" s="8" t="s">
        <v>10483</v>
      </c>
      <c r="J46" s="8" t="n">
        <v>3457</v>
      </c>
      <c r="K46" s="8" t="s">
        <v>62</v>
      </c>
      <c r="L46" s="8"/>
    </row>
    <row r="47" customFormat="false" ht="15" hidden="false" customHeight="false" outlineLevel="0" collapsed="false">
      <c r="A47" s="8"/>
      <c r="B47" s="8" t="s">
        <v>10484</v>
      </c>
      <c r="C47" s="8" t="s">
        <v>10485</v>
      </c>
      <c r="D47" s="8" t="n">
        <v>1886</v>
      </c>
      <c r="E47" s="8" t="s">
        <v>10486</v>
      </c>
      <c r="F47" s="8" t="s">
        <v>10487</v>
      </c>
      <c r="G47" s="8" t="s">
        <v>10412</v>
      </c>
      <c r="H47" s="8" t="s">
        <v>10488</v>
      </c>
      <c r="I47" s="8" t="s">
        <v>10489</v>
      </c>
      <c r="J47" s="8" t="s">
        <v>10417</v>
      </c>
      <c r="K47" s="8" t="s">
        <v>62</v>
      </c>
      <c r="L47" s="8"/>
    </row>
    <row r="48" customFormat="false" ht="15" hidden="false" customHeight="false" outlineLevel="0" collapsed="false">
      <c r="A48" s="8" t="s">
        <v>10490</v>
      </c>
      <c r="B48" s="8" t="s">
        <v>1193</v>
      </c>
      <c r="C48" s="8" t="s">
        <v>10491</v>
      </c>
      <c r="D48" s="8" t="n">
        <v>628</v>
      </c>
      <c r="E48" s="8" t="s">
        <v>10492</v>
      </c>
      <c r="F48" s="8" t="s">
        <v>10493</v>
      </c>
      <c r="G48" s="8" t="s">
        <v>10494</v>
      </c>
      <c r="H48" s="8" t="s">
        <v>9648</v>
      </c>
      <c r="I48" s="8" t="s">
        <v>6480</v>
      </c>
      <c r="J48" s="8" t="n">
        <v>1249</v>
      </c>
      <c r="K48" s="8" t="s">
        <v>62</v>
      </c>
      <c r="L48" s="8"/>
    </row>
    <row r="49" customFormat="false" ht="15" hidden="false" customHeight="false" outlineLevel="0" collapsed="false">
      <c r="A49" s="8" t="s">
        <v>10495</v>
      </c>
      <c r="B49" s="8" t="s">
        <v>8324</v>
      </c>
      <c r="C49" s="8" t="s">
        <v>10496</v>
      </c>
      <c r="D49" s="8" t="n">
        <v>17</v>
      </c>
      <c r="E49" s="8" t="s">
        <v>10497</v>
      </c>
      <c r="F49" s="8" t="s">
        <v>10498</v>
      </c>
      <c r="G49" s="8" t="n">
        <v>504</v>
      </c>
      <c r="H49" s="8" t="s">
        <v>10499</v>
      </c>
      <c r="I49" s="8" t="s">
        <v>10500</v>
      </c>
      <c r="J49" s="8" t="n">
        <v>1372</v>
      </c>
      <c r="K49" s="8" t="s">
        <v>62</v>
      </c>
      <c r="L49" s="8"/>
    </row>
    <row r="50" customFormat="false" ht="15" hidden="false" customHeight="false" outlineLevel="0" collapsed="false">
      <c r="A50" s="8" t="s">
        <v>10501</v>
      </c>
      <c r="B50" s="8" t="s">
        <v>8539</v>
      </c>
      <c r="C50" s="8" t="s">
        <v>10502</v>
      </c>
      <c r="D50" s="8" t="n">
        <v>133</v>
      </c>
      <c r="E50" s="8" t="s">
        <v>10503</v>
      </c>
      <c r="F50" s="8" t="s">
        <v>10504</v>
      </c>
      <c r="G50" s="8" t="n">
        <v>1354</v>
      </c>
      <c r="H50" s="8" t="s">
        <v>10505</v>
      </c>
      <c r="I50" s="8" t="s">
        <v>10506</v>
      </c>
      <c r="J50" s="8" t="n">
        <v>844</v>
      </c>
      <c r="K50" s="8" t="s">
        <v>62</v>
      </c>
      <c r="L50" s="8"/>
    </row>
    <row r="51" customFormat="false" ht="15" hidden="false" customHeight="false" outlineLevel="0" collapsed="false">
      <c r="A51" s="8" t="s">
        <v>10507</v>
      </c>
      <c r="B51" s="8" t="s">
        <v>10508</v>
      </c>
      <c r="C51" s="8" t="s">
        <v>10509</v>
      </c>
      <c r="D51" s="8" t="n">
        <v>629</v>
      </c>
      <c r="E51" s="8" t="s">
        <v>10510</v>
      </c>
      <c r="F51" s="8" t="s">
        <v>6816</v>
      </c>
      <c r="G51" s="8" t="n">
        <v>382</v>
      </c>
      <c r="H51" s="8" t="s">
        <v>10511</v>
      </c>
      <c r="I51" s="8" t="s">
        <v>10512</v>
      </c>
      <c r="J51" s="8" t="n">
        <v>149</v>
      </c>
      <c r="K51" s="8" t="s">
        <v>62</v>
      </c>
      <c r="L51" s="8"/>
    </row>
    <row r="52" customFormat="false" ht="15" hidden="false" customHeight="false" outlineLevel="0" collapsed="false">
      <c r="A52" s="8" t="s">
        <v>10513</v>
      </c>
      <c r="B52" s="8" t="s">
        <v>3354</v>
      </c>
      <c r="C52" s="8" t="s">
        <v>3355</v>
      </c>
      <c r="D52" s="8" t="n">
        <v>363</v>
      </c>
      <c r="E52" s="8" t="s">
        <v>10514</v>
      </c>
      <c r="F52" s="8" t="s">
        <v>10515</v>
      </c>
      <c r="G52" s="8" t="n">
        <v>1942</v>
      </c>
      <c r="H52" s="8" t="s">
        <v>7010</v>
      </c>
      <c r="I52" s="8" t="s">
        <v>10516</v>
      </c>
      <c r="J52" s="8" t="n">
        <v>184</v>
      </c>
      <c r="K52" s="8" t="s">
        <v>62</v>
      </c>
      <c r="L52" s="8"/>
    </row>
    <row r="53" customFormat="false" ht="15" hidden="false" customHeight="false" outlineLevel="0" collapsed="false">
      <c r="A53" s="8"/>
      <c r="B53" s="8" t="s">
        <v>10517</v>
      </c>
      <c r="C53" s="8" t="s">
        <v>10518</v>
      </c>
      <c r="D53" s="8" t="n">
        <v>175</v>
      </c>
      <c r="E53" s="8" t="s">
        <v>10519</v>
      </c>
      <c r="F53" s="8" t="s">
        <v>10520</v>
      </c>
      <c r="G53" s="8" t="s">
        <v>10417</v>
      </c>
      <c r="H53" s="8" t="s">
        <v>9177</v>
      </c>
      <c r="I53" s="8" t="s">
        <v>6810</v>
      </c>
      <c r="J53" s="8" t="n">
        <v>685</v>
      </c>
      <c r="K53" s="8" t="s">
        <v>62</v>
      </c>
      <c r="L53" s="8"/>
    </row>
    <row r="54" customFormat="false" ht="15" hidden="false" customHeight="false" outlineLevel="0" collapsed="false">
      <c r="A54" s="8" t="s">
        <v>10521</v>
      </c>
      <c r="B54" s="8" t="s">
        <v>10522</v>
      </c>
      <c r="C54" s="8" t="s">
        <v>10523</v>
      </c>
      <c r="D54" s="8" t="n">
        <v>426</v>
      </c>
      <c r="E54" s="8" t="s">
        <v>10524</v>
      </c>
      <c r="F54" s="8" t="s">
        <v>10525</v>
      </c>
      <c r="G54" s="8" t="n">
        <v>1210</v>
      </c>
      <c r="H54" s="8" t="s">
        <v>10526</v>
      </c>
      <c r="I54" s="8" t="s">
        <v>10527</v>
      </c>
      <c r="J54" s="8" t="n">
        <v>453</v>
      </c>
      <c r="K54" s="8" t="s">
        <v>62</v>
      </c>
      <c r="L54" s="8"/>
    </row>
    <row r="55" customFormat="false" ht="15" hidden="false" customHeight="false" outlineLevel="0" collapsed="false">
      <c r="A55" s="8" t="s">
        <v>10528</v>
      </c>
      <c r="B55" s="8" t="s">
        <v>8416</v>
      </c>
      <c r="C55" s="8" t="s">
        <v>8417</v>
      </c>
      <c r="D55" s="8" t="n">
        <v>66</v>
      </c>
      <c r="E55" s="8" t="s">
        <v>708</v>
      </c>
      <c r="F55" s="8" t="s">
        <v>10529</v>
      </c>
      <c r="G55" s="8" t="n">
        <v>478</v>
      </c>
      <c r="H55" s="8" t="s">
        <v>9669</v>
      </c>
      <c r="I55" s="8" t="s">
        <v>9670</v>
      </c>
      <c r="J55" s="8" t="n">
        <v>1287</v>
      </c>
      <c r="K55" s="8" t="s">
        <v>62</v>
      </c>
      <c r="L55" s="8"/>
    </row>
    <row r="56" customFormat="false" ht="15" hidden="false" customHeight="false" outlineLevel="0" collapsed="false">
      <c r="A56" s="8" t="s">
        <v>10530</v>
      </c>
      <c r="B56" s="8" t="s">
        <v>10531</v>
      </c>
      <c r="C56" s="8" t="s">
        <v>10532</v>
      </c>
      <c r="D56" s="8" t="n">
        <v>763</v>
      </c>
      <c r="E56" s="8" t="s">
        <v>10533</v>
      </c>
      <c r="F56" s="8" t="s">
        <v>10534</v>
      </c>
      <c r="G56" s="8" t="n">
        <v>1756</v>
      </c>
      <c r="H56" s="8" t="s">
        <v>10535</v>
      </c>
      <c r="I56" s="8" t="s">
        <v>10536</v>
      </c>
      <c r="J56" s="8" t="n">
        <v>19266</v>
      </c>
      <c r="K56" s="8" t="s">
        <v>62</v>
      </c>
      <c r="L56" s="8"/>
    </row>
    <row r="57" customFormat="false" ht="15" hidden="false" customHeight="false" outlineLevel="0" collapsed="false">
      <c r="A57" s="8" t="s">
        <v>10537</v>
      </c>
      <c r="B57" s="8" t="s">
        <v>10538</v>
      </c>
      <c r="C57" s="8" t="s">
        <v>10539</v>
      </c>
      <c r="D57" s="8" t="n">
        <v>209</v>
      </c>
      <c r="E57" s="8" t="s">
        <v>10540</v>
      </c>
      <c r="F57" s="8" t="s">
        <v>10541</v>
      </c>
      <c r="G57" s="8" t="n">
        <v>222</v>
      </c>
      <c r="H57" s="8" t="s">
        <v>10542</v>
      </c>
      <c r="I57" s="8" t="s">
        <v>10543</v>
      </c>
      <c r="J57" s="8" t="n">
        <v>1339</v>
      </c>
      <c r="K57" s="8" t="s">
        <v>62</v>
      </c>
      <c r="L57" s="8"/>
    </row>
    <row r="58" customFormat="false" ht="15" hidden="false" customHeight="false" outlineLevel="0" collapsed="false">
      <c r="A58" s="8" t="s">
        <v>10544</v>
      </c>
      <c r="B58" s="8" t="s">
        <v>472</v>
      </c>
      <c r="C58" s="8" t="s">
        <v>473</v>
      </c>
      <c r="D58" s="8" t="n">
        <v>1752</v>
      </c>
      <c r="E58" s="8" t="s">
        <v>8573</v>
      </c>
      <c r="F58" s="8" t="s">
        <v>8574</v>
      </c>
      <c r="G58" s="8" t="n">
        <v>149</v>
      </c>
      <c r="H58" s="8" t="s">
        <v>1263</v>
      </c>
      <c r="I58" s="8" t="s">
        <v>1264</v>
      </c>
      <c r="J58" s="8" t="n">
        <v>306</v>
      </c>
      <c r="K58" s="8" t="s">
        <v>62</v>
      </c>
      <c r="L58" s="8"/>
    </row>
    <row r="59" customFormat="false" ht="15" hidden="false" customHeight="false" outlineLevel="0" collapsed="false">
      <c r="A59" s="8" t="s">
        <v>10545</v>
      </c>
      <c r="B59" s="8" t="s">
        <v>8402</v>
      </c>
      <c r="C59" s="8" t="s">
        <v>8403</v>
      </c>
      <c r="D59" s="8" t="n">
        <v>57</v>
      </c>
      <c r="E59" s="8" t="s">
        <v>8994</v>
      </c>
      <c r="F59" s="8" t="s">
        <v>10546</v>
      </c>
      <c r="G59" s="8" t="n">
        <v>478</v>
      </c>
      <c r="H59" s="8" t="s">
        <v>1591</v>
      </c>
      <c r="I59" s="8" t="s">
        <v>9020</v>
      </c>
      <c r="J59" s="8" t="n">
        <v>501</v>
      </c>
      <c r="K59" s="8" t="s">
        <v>62</v>
      </c>
      <c r="L59" s="8"/>
    </row>
    <row r="60" customFormat="false" ht="15" hidden="false" customHeight="false" outlineLevel="0" collapsed="false">
      <c r="A60" s="9" t="s">
        <v>10547</v>
      </c>
      <c r="B60" s="9"/>
      <c r="C60" s="9"/>
      <c r="D60" s="9"/>
      <c r="E60" s="9"/>
      <c r="F60" s="9"/>
      <c r="G60" s="9"/>
      <c r="H60" s="9"/>
      <c r="I60" s="9"/>
      <c r="J60" s="9"/>
      <c r="K60" s="9"/>
      <c r="L60" s="9"/>
    </row>
    <row r="61" customFormat="false" ht="15" hidden="false" customHeight="false" outlineLevel="0" collapsed="false">
      <c r="A61" s="8" t="s">
        <v>10548</v>
      </c>
      <c r="B61" s="8" t="s">
        <v>8327</v>
      </c>
      <c r="C61" s="8" t="s">
        <v>10549</v>
      </c>
      <c r="D61" s="8" t="n">
        <v>19</v>
      </c>
      <c r="E61" s="8" t="s">
        <v>9799</v>
      </c>
      <c r="F61" s="8" t="s">
        <v>10550</v>
      </c>
      <c r="G61" s="8" t="n">
        <v>1564</v>
      </c>
      <c r="H61" s="8" t="s">
        <v>8810</v>
      </c>
      <c r="I61" s="8" t="s">
        <v>8811</v>
      </c>
      <c r="J61" s="8" t="n">
        <v>316</v>
      </c>
      <c r="K61" s="8" t="s">
        <v>62</v>
      </c>
      <c r="L61" s="8"/>
    </row>
    <row r="62" customFormat="false" ht="15" hidden="false" customHeight="false" outlineLevel="0" collapsed="false">
      <c r="A62" s="8" t="s">
        <v>10551</v>
      </c>
      <c r="B62" s="8" t="s">
        <v>8726</v>
      </c>
      <c r="C62" s="8" t="s">
        <v>8727</v>
      </c>
      <c r="D62" s="8" t="n">
        <v>251</v>
      </c>
      <c r="E62" s="8" t="s">
        <v>10552</v>
      </c>
      <c r="F62" s="8" t="s">
        <v>10553</v>
      </c>
      <c r="G62" s="8" t="n">
        <v>1857</v>
      </c>
      <c r="H62" s="8" t="s">
        <v>10554</v>
      </c>
      <c r="I62" s="8" t="s">
        <v>10555</v>
      </c>
      <c r="J62" s="8" t="s">
        <v>10417</v>
      </c>
      <c r="K62" s="8" t="s">
        <v>62</v>
      </c>
      <c r="L62" s="8"/>
    </row>
    <row r="63" customFormat="false" ht="15" hidden="false" customHeight="false" outlineLevel="0" collapsed="false">
      <c r="A63" s="8" t="s">
        <v>10556</v>
      </c>
      <c r="B63" s="8" t="s">
        <v>8761</v>
      </c>
      <c r="C63" s="8" t="s">
        <v>8762</v>
      </c>
      <c r="D63" s="8" t="n">
        <v>274</v>
      </c>
      <c r="E63" s="8" t="s">
        <v>10557</v>
      </c>
      <c r="F63" s="8" t="s">
        <v>10558</v>
      </c>
      <c r="G63" s="8" t="n">
        <v>346</v>
      </c>
      <c r="H63" s="8" t="s">
        <v>10559</v>
      </c>
      <c r="I63" s="8" t="s">
        <v>10560</v>
      </c>
      <c r="J63" s="8" t="s">
        <v>10417</v>
      </c>
      <c r="K63" s="8" t="s">
        <v>62</v>
      </c>
      <c r="L63" s="8"/>
    </row>
    <row r="64" customFormat="false" ht="15" hidden="false" customHeight="false" outlineLevel="0" collapsed="false">
      <c r="A64" s="8" t="s">
        <v>10561</v>
      </c>
      <c r="B64" s="8" t="s">
        <v>1550</v>
      </c>
      <c r="C64" s="8" t="s">
        <v>7043</v>
      </c>
      <c r="D64" s="8" t="n">
        <v>135</v>
      </c>
      <c r="E64" s="8" t="s">
        <v>10562</v>
      </c>
      <c r="F64" s="8" t="s">
        <v>10563</v>
      </c>
      <c r="G64" s="8" t="n">
        <v>873</v>
      </c>
      <c r="H64" s="8" t="s">
        <v>10564</v>
      </c>
      <c r="I64" s="8" t="s">
        <v>10565</v>
      </c>
      <c r="J64" s="8" t="s">
        <v>10417</v>
      </c>
      <c r="K64" s="8" t="s">
        <v>62</v>
      </c>
      <c r="L64" s="8"/>
    </row>
    <row r="65" customFormat="false" ht="15" hidden="false" customHeight="false" outlineLevel="0" collapsed="false">
      <c r="A65" s="8" t="s">
        <v>10566</v>
      </c>
      <c r="B65" s="8" t="s">
        <v>10567</v>
      </c>
      <c r="C65" s="8" t="s">
        <v>10568</v>
      </c>
      <c r="D65" s="8" t="n">
        <v>913</v>
      </c>
      <c r="E65" s="8" t="s">
        <v>10569</v>
      </c>
      <c r="F65" s="8" t="s">
        <v>10570</v>
      </c>
      <c r="G65" s="8" t="n">
        <v>1133</v>
      </c>
      <c r="H65" s="8" t="s">
        <v>10571</v>
      </c>
      <c r="I65" s="8" t="s">
        <v>10572</v>
      </c>
      <c r="J65" s="8" t="s">
        <v>10417</v>
      </c>
      <c r="K65" s="8" t="s">
        <v>62</v>
      </c>
      <c r="L65" s="8"/>
    </row>
    <row r="66" customFormat="false" ht="26.85" hidden="false" customHeight="false" outlineLevel="0" collapsed="false">
      <c r="A66" s="8" t="s">
        <v>10573</v>
      </c>
      <c r="B66" s="8" t="s">
        <v>10574</v>
      </c>
      <c r="C66" s="8" t="s">
        <v>10575</v>
      </c>
      <c r="D66" s="8" t="n">
        <v>1875</v>
      </c>
      <c r="E66" s="8" t="s">
        <v>10576</v>
      </c>
      <c r="F66" s="8" t="s">
        <v>10577</v>
      </c>
      <c r="G66" s="8" t="n">
        <v>839</v>
      </c>
      <c r="H66" s="8" t="s">
        <v>10578</v>
      </c>
      <c r="I66" s="8" t="s">
        <v>10579</v>
      </c>
      <c r="J66" s="8" t="s">
        <v>10417</v>
      </c>
      <c r="K66" s="8" t="s">
        <v>62</v>
      </c>
      <c r="L66" s="8"/>
    </row>
    <row r="67" customFormat="false" ht="15" hidden="false" customHeight="false" outlineLevel="0" collapsed="false">
      <c r="A67" s="8" t="s">
        <v>10580</v>
      </c>
      <c r="B67" s="8" t="s">
        <v>10581</v>
      </c>
      <c r="C67" s="8" t="s">
        <v>10582</v>
      </c>
      <c r="D67" s="8" t="n">
        <v>363</v>
      </c>
      <c r="E67" s="8" t="s">
        <v>10583</v>
      </c>
      <c r="F67" s="8" t="s">
        <v>10584</v>
      </c>
      <c r="G67" s="8" t="n">
        <v>995</v>
      </c>
      <c r="H67" s="8" t="s">
        <v>10585</v>
      </c>
      <c r="I67" s="8" t="s">
        <v>10586</v>
      </c>
      <c r="J67" s="8" t="s">
        <v>10417</v>
      </c>
      <c r="K67" s="8" t="s">
        <v>62</v>
      </c>
      <c r="L67" s="8"/>
    </row>
    <row r="68" customFormat="false" ht="15" hidden="false" customHeight="false" outlineLevel="0" collapsed="false">
      <c r="A68" s="8"/>
      <c r="B68" s="8"/>
      <c r="C68" s="8"/>
      <c r="D68" s="8"/>
      <c r="E68" s="8"/>
      <c r="F68" s="8"/>
      <c r="G68" s="8"/>
      <c r="H68" s="8"/>
      <c r="I68" s="8"/>
      <c r="J68" s="8"/>
      <c r="K68" s="8"/>
      <c r="L68" s="8"/>
    </row>
    <row r="69" customFormat="false" ht="15" hidden="false" customHeight="false" outlineLevel="0" collapsed="false">
      <c r="A69" s="8"/>
      <c r="B69" s="8"/>
      <c r="C69" s="8"/>
      <c r="D69" s="8"/>
      <c r="E69" s="8"/>
      <c r="F69" s="8"/>
      <c r="G69" s="8"/>
      <c r="H69" s="8"/>
      <c r="I69" s="8"/>
      <c r="J69" s="8"/>
      <c r="K69" s="8"/>
      <c r="L69" s="8"/>
    </row>
    <row r="70" customFormat="false" ht="15" hidden="false" customHeight="false" outlineLevel="0" collapsed="false">
      <c r="A70" s="8"/>
      <c r="B70" s="8"/>
      <c r="C70" s="8"/>
      <c r="D70" s="8"/>
      <c r="E70" s="8"/>
      <c r="F70" s="8"/>
      <c r="G70" s="8"/>
      <c r="H70" s="8"/>
      <c r="I70" s="8"/>
      <c r="J70" s="8"/>
      <c r="K70" s="8"/>
      <c r="L70" s="8"/>
    </row>
    <row r="71" customFormat="false" ht="15" hidden="false" customHeight="false" outlineLevel="0" collapsed="false">
      <c r="A71" s="8"/>
      <c r="B71" s="8"/>
      <c r="C71" s="8"/>
      <c r="D71" s="8"/>
      <c r="E71" s="8"/>
      <c r="F71" s="8"/>
      <c r="G71" s="8"/>
      <c r="H71" s="8"/>
      <c r="I71" s="8"/>
      <c r="J71" s="8"/>
      <c r="K71" s="8"/>
      <c r="L71" s="8"/>
    </row>
    <row r="72" customFormat="false" ht="15" hidden="false" customHeight="false" outlineLevel="0" collapsed="false">
      <c r="A72" s="8"/>
      <c r="B72" s="8"/>
      <c r="C72" s="8"/>
      <c r="D72" s="8"/>
      <c r="E72" s="8"/>
      <c r="F72" s="8"/>
      <c r="G72" s="8"/>
      <c r="H72" s="8"/>
      <c r="I72" s="8"/>
      <c r="J72" s="8"/>
      <c r="K72" s="8"/>
      <c r="L72" s="8"/>
    </row>
    <row r="73" customFormat="false" ht="15" hidden="false" customHeight="false" outlineLevel="0" collapsed="false">
      <c r="A73" s="8"/>
      <c r="B73" s="8"/>
      <c r="C73" s="8"/>
      <c r="D73" s="8"/>
      <c r="E73" s="8"/>
      <c r="F73" s="8"/>
      <c r="G73" s="8"/>
      <c r="H73" s="8"/>
      <c r="I73" s="8"/>
      <c r="J73" s="8"/>
      <c r="K73" s="8"/>
      <c r="L73" s="8"/>
    </row>
    <row r="74" customFormat="false" ht="15" hidden="false" customHeight="false" outlineLevel="0" collapsed="false">
      <c r="A74" s="8"/>
      <c r="B74" s="8"/>
      <c r="C74" s="8"/>
      <c r="D74" s="8"/>
      <c r="E74" s="8"/>
      <c r="F74" s="8"/>
      <c r="G74" s="8"/>
      <c r="H74" s="8"/>
      <c r="I74" s="8"/>
      <c r="J74" s="8"/>
      <c r="K74" s="8"/>
      <c r="L74" s="8"/>
    </row>
    <row r="75" customFormat="false" ht="15" hidden="false" customHeight="false" outlineLevel="0" collapsed="false">
      <c r="A75" s="8"/>
      <c r="B75" s="8"/>
      <c r="C75" s="8"/>
      <c r="D75" s="8"/>
      <c r="E75" s="8"/>
      <c r="F75" s="8"/>
      <c r="G75" s="8"/>
      <c r="H75" s="8"/>
      <c r="I75" s="8"/>
      <c r="J75" s="8"/>
      <c r="K75" s="8"/>
      <c r="L75" s="8"/>
    </row>
    <row r="76" customFormat="false" ht="15" hidden="false" customHeight="false" outlineLevel="0" collapsed="false">
      <c r="A76" s="8"/>
      <c r="B76" s="8"/>
      <c r="C76" s="8"/>
      <c r="D76" s="8"/>
      <c r="E76" s="8"/>
      <c r="F76" s="8"/>
      <c r="G76" s="8"/>
      <c r="H76" s="8"/>
      <c r="I76" s="8"/>
      <c r="J76" s="8"/>
      <c r="K76" s="8"/>
      <c r="L76" s="8"/>
    </row>
    <row r="77" customFormat="false" ht="15" hidden="false" customHeight="false" outlineLevel="0" collapsed="false">
      <c r="A77" s="8"/>
      <c r="B77" s="8"/>
      <c r="C77" s="8"/>
      <c r="D77" s="8"/>
      <c r="E77" s="8"/>
      <c r="F77" s="8"/>
      <c r="G77" s="8"/>
      <c r="H77" s="8"/>
      <c r="I77" s="8"/>
      <c r="J77" s="8"/>
      <c r="K77" s="8"/>
      <c r="L77" s="8"/>
    </row>
    <row r="78" customFormat="false" ht="15" hidden="false" customHeight="false" outlineLevel="0" collapsed="false">
      <c r="A78" s="8"/>
      <c r="B78" s="8"/>
      <c r="C78" s="8"/>
      <c r="D78" s="8"/>
      <c r="E78" s="8"/>
      <c r="F78" s="8"/>
      <c r="G78" s="8"/>
      <c r="H78" s="8"/>
      <c r="I78" s="8"/>
      <c r="J78" s="8"/>
      <c r="K78" s="8"/>
      <c r="L78" s="8"/>
    </row>
    <row r="79" customFormat="false" ht="15" hidden="false" customHeight="false" outlineLevel="0" collapsed="false">
      <c r="A79" s="8"/>
      <c r="B79" s="8"/>
      <c r="C79" s="8"/>
      <c r="D79" s="8"/>
      <c r="E79" s="8"/>
      <c r="F79" s="8"/>
      <c r="G79" s="8"/>
      <c r="H79" s="8"/>
      <c r="I79" s="8"/>
      <c r="J79" s="8"/>
      <c r="K79" s="8"/>
      <c r="L79" s="8"/>
    </row>
    <row r="80" customFormat="false" ht="15" hidden="false" customHeight="false" outlineLevel="0" collapsed="false">
      <c r="A80" s="8"/>
      <c r="B80" s="8"/>
      <c r="C80" s="8"/>
      <c r="D80" s="8"/>
      <c r="E80" s="8"/>
      <c r="F80" s="8"/>
      <c r="G80" s="8"/>
      <c r="H80" s="8"/>
      <c r="I80" s="8"/>
      <c r="J80" s="8"/>
      <c r="K80" s="8"/>
      <c r="L80" s="8"/>
    </row>
    <row r="81" customFormat="false" ht="15" hidden="false" customHeight="false" outlineLevel="0" collapsed="false">
      <c r="A81" s="8"/>
      <c r="B81" s="8"/>
      <c r="C81" s="8"/>
      <c r="D81" s="8"/>
      <c r="E81" s="8"/>
      <c r="F81" s="8"/>
      <c r="G81" s="8"/>
      <c r="H81" s="8"/>
      <c r="I81" s="8"/>
      <c r="J81" s="8"/>
      <c r="K81" s="8"/>
      <c r="L81" s="8"/>
    </row>
    <row r="82" customFormat="false" ht="15" hidden="false" customHeight="false" outlineLevel="0" collapsed="false">
      <c r="A82" s="8"/>
      <c r="B82" s="8"/>
      <c r="C82" s="8"/>
      <c r="D82" s="8"/>
      <c r="E82" s="8"/>
      <c r="F82" s="8"/>
      <c r="G82" s="8"/>
      <c r="H82" s="8"/>
      <c r="I82" s="8"/>
      <c r="J82" s="8"/>
      <c r="K82" s="8"/>
      <c r="L82" s="8"/>
    </row>
    <row r="83" customFormat="false" ht="15" hidden="false" customHeight="false" outlineLevel="0" collapsed="false">
      <c r="A83" s="8"/>
      <c r="B83" s="8"/>
      <c r="C83" s="8"/>
      <c r="D83" s="8"/>
      <c r="E83" s="8"/>
      <c r="F83" s="8"/>
      <c r="G83" s="8"/>
      <c r="H83" s="8"/>
      <c r="I83" s="8"/>
      <c r="J83" s="8"/>
      <c r="K83" s="8"/>
      <c r="L83" s="8"/>
    </row>
    <row r="84" customFormat="false" ht="15" hidden="false" customHeight="false" outlineLevel="0" collapsed="false">
      <c r="A84" s="8"/>
      <c r="B84" s="8"/>
      <c r="C84" s="8"/>
      <c r="D84" s="8"/>
      <c r="E84" s="8"/>
      <c r="F84" s="8"/>
      <c r="G84" s="8"/>
      <c r="H84" s="8"/>
      <c r="I84" s="8"/>
      <c r="J84" s="8"/>
      <c r="K84" s="8"/>
      <c r="L84" s="8"/>
    </row>
    <row r="85" customFormat="false" ht="15" hidden="false" customHeight="false" outlineLevel="0" collapsed="false">
      <c r="A85" s="8"/>
      <c r="B85" s="8"/>
      <c r="C85" s="8"/>
      <c r="D85" s="8"/>
      <c r="E85" s="8"/>
      <c r="F85" s="8"/>
      <c r="G85" s="8"/>
      <c r="H85" s="8"/>
      <c r="I85" s="8"/>
      <c r="J85" s="8"/>
      <c r="K85" s="8"/>
      <c r="L85" s="8"/>
    </row>
    <row r="86" customFormat="false" ht="15" hidden="false" customHeight="false" outlineLevel="0" collapsed="false">
      <c r="A86" s="8"/>
      <c r="B86" s="8"/>
      <c r="C86" s="8"/>
      <c r="D86" s="8"/>
      <c r="E86" s="8"/>
      <c r="F86" s="8"/>
      <c r="G86" s="8"/>
      <c r="H86" s="8"/>
      <c r="I86" s="8"/>
      <c r="J86" s="8"/>
      <c r="K86" s="8"/>
      <c r="L86" s="8"/>
    </row>
    <row r="87" customFormat="false" ht="15" hidden="false" customHeight="false" outlineLevel="0" collapsed="false">
      <c r="A87" s="8"/>
      <c r="B87" s="8"/>
      <c r="C87" s="8"/>
      <c r="D87" s="8"/>
      <c r="E87" s="8"/>
      <c r="F87" s="8"/>
      <c r="G87" s="8"/>
      <c r="H87" s="8"/>
      <c r="I87" s="8"/>
      <c r="J87" s="8"/>
      <c r="K87" s="8"/>
      <c r="L87" s="8"/>
    </row>
    <row r="88" customFormat="false" ht="15" hidden="false" customHeight="false" outlineLevel="0" collapsed="false">
      <c r="A88" s="8"/>
      <c r="B88" s="8"/>
      <c r="C88" s="8"/>
      <c r="D88" s="8"/>
      <c r="E88" s="8"/>
      <c r="F88" s="8"/>
      <c r="G88" s="8"/>
      <c r="H88" s="8"/>
      <c r="I88" s="8"/>
      <c r="J88" s="8"/>
      <c r="K88" s="8"/>
      <c r="L88" s="8"/>
    </row>
    <row r="89" customFormat="false" ht="15" hidden="false" customHeight="false" outlineLevel="0" collapsed="false">
      <c r="A89" s="8"/>
      <c r="B89" s="8"/>
      <c r="C89" s="8"/>
      <c r="D89" s="8"/>
      <c r="E89" s="8"/>
      <c r="F89" s="8"/>
      <c r="G89" s="8"/>
      <c r="H89" s="8"/>
      <c r="I89" s="8"/>
      <c r="J89" s="8"/>
      <c r="K89" s="8"/>
      <c r="L89" s="8"/>
    </row>
    <row r="90" customFormat="false" ht="15" hidden="false" customHeight="false" outlineLevel="0" collapsed="false">
      <c r="A90" s="8"/>
      <c r="B90" s="8"/>
      <c r="C90" s="8"/>
      <c r="D90" s="8"/>
      <c r="E90" s="8"/>
      <c r="F90" s="8"/>
      <c r="G90" s="8"/>
      <c r="H90" s="8"/>
      <c r="I90" s="8"/>
      <c r="J90" s="8"/>
      <c r="K90" s="8"/>
      <c r="L90" s="8"/>
    </row>
    <row r="91" customFormat="false" ht="15" hidden="false" customHeight="false" outlineLevel="0" collapsed="false">
      <c r="A91" s="8"/>
      <c r="B91" s="8"/>
      <c r="C91" s="8"/>
      <c r="D91" s="8"/>
      <c r="E91" s="8"/>
      <c r="F91" s="8"/>
      <c r="G91" s="8"/>
      <c r="H91" s="8"/>
      <c r="I91" s="8"/>
      <c r="J91" s="8"/>
      <c r="K91" s="8"/>
      <c r="L91" s="8"/>
    </row>
    <row r="92" customFormat="false" ht="15" hidden="false" customHeight="false" outlineLevel="0" collapsed="false">
      <c r="A92" s="8"/>
      <c r="B92" s="8"/>
      <c r="C92" s="8"/>
      <c r="D92" s="8"/>
      <c r="E92" s="8"/>
      <c r="F92" s="8"/>
      <c r="G92" s="8"/>
      <c r="H92" s="8"/>
      <c r="I92" s="8"/>
      <c r="J92" s="8"/>
      <c r="K92" s="8"/>
      <c r="L92" s="8"/>
    </row>
    <row r="93" customFormat="false" ht="15" hidden="false" customHeight="false" outlineLevel="0" collapsed="false">
      <c r="A93" s="8"/>
      <c r="B93" s="8"/>
      <c r="C93" s="8"/>
      <c r="D93" s="8"/>
      <c r="E93" s="8"/>
      <c r="F93" s="8"/>
      <c r="G93" s="8"/>
      <c r="H93" s="8"/>
      <c r="I93" s="8"/>
      <c r="J93" s="8"/>
      <c r="K93" s="8"/>
      <c r="L93" s="8"/>
    </row>
    <row r="94" customFormat="false" ht="15" hidden="false" customHeight="false" outlineLevel="0" collapsed="false">
      <c r="A94" s="8"/>
      <c r="B94" s="8"/>
      <c r="C94" s="8"/>
      <c r="D94" s="8"/>
      <c r="E94" s="8"/>
      <c r="F94" s="8"/>
      <c r="G94" s="8"/>
      <c r="H94" s="8"/>
      <c r="I94" s="8"/>
      <c r="J94" s="8"/>
      <c r="K94" s="8"/>
      <c r="L94" s="8"/>
    </row>
    <row r="95" customFormat="false" ht="15" hidden="false" customHeight="false" outlineLevel="0" collapsed="false">
      <c r="A95" s="8"/>
      <c r="B95" s="8"/>
      <c r="C95" s="8"/>
      <c r="D95" s="8"/>
      <c r="E95" s="8"/>
      <c r="F95" s="8"/>
      <c r="G95" s="8"/>
      <c r="H95" s="8"/>
      <c r="I95" s="8"/>
      <c r="J95" s="8"/>
      <c r="K95" s="8"/>
      <c r="L95" s="8"/>
    </row>
    <row r="96" customFormat="false" ht="15" hidden="false" customHeight="false" outlineLevel="0" collapsed="false">
      <c r="A96" s="8"/>
      <c r="B96" s="8"/>
      <c r="C96" s="8"/>
      <c r="D96" s="8"/>
      <c r="E96" s="8"/>
      <c r="F96" s="8"/>
      <c r="G96" s="8"/>
      <c r="H96" s="8"/>
      <c r="I96" s="8"/>
      <c r="J96" s="8"/>
      <c r="K96" s="8"/>
      <c r="L96" s="8"/>
    </row>
    <row r="97" customFormat="false" ht="15" hidden="false" customHeight="false" outlineLevel="0" collapsed="false">
      <c r="A97" s="8"/>
      <c r="B97" s="8"/>
      <c r="C97" s="8"/>
      <c r="D97" s="8"/>
      <c r="E97" s="8"/>
      <c r="F97" s="8"/>
      <c r="G97" s="8"/>
      <c r="H97" s="8"/>
      <c r="I97" s="8"/>
      <c r="J97" s="8"/>
      <c r="K97" s="8"/>
      <c r="L97" s="8"/>
    </row>
    <row r="98" customFormat="false" ht="15" hidden="false" customHeight="false" outlineLevel="0" collapsed="false">
      <c r="A98" s="8"/>
      <c r="B98" s="8"/>
      <c r="C98" s="8"/>
      <c r="D98" s="8"/>
      <c r="E98" s="8"/>
      <c r="F98" s="8"/>
      <c r="G98" s="8"/>
      <c r="H98" s="8"/>
      <c r="I98" s="8"/>
      <c r="J98" s="8"/>
      <c r="K98" s="8"/>
      <c r="L98" s="8"/>
    </row>
    <row r="99" customFormat="false" ht="15" hidden="false" customHeight="false" outlineLevel="0" collapsed="false">
      <c r="A99" s="8"/>
      <c r="B99" s="8"/>
      <c r="C99" s="8"/>
      <c r="D99" s="8"/>
      <c r="E99" s="8"/>
      <c r="F99" s="8"/>
      <c r="G99" s="8"/>
      <c r="H99" s="8"/>
      <c r="I99" s="8"/>
      <c r="J99" s="8"/>
      <c r="K99" s="8"/>
      <c r="L99" s="8"/>
    </row>
    <row r="100" customFormat="false" ht="15" hidden="false" customHeight="false" outlineLevel="0" collapsed="false">
      <c r="A100" s="8"/>
      <c r="B100" s="8"/>
      <c r="C100" s="8"/>
      <c r="D100" s="8"/>
      <c r="E100" s="8"/>
      <c r="F100" s="8"/>
      <c r="G100" s="8"/>
      <c r="H100" s="8"/>
      <c r="I100" s="8"/>
      <c r="J100" s="8"/>
      <c r="K100" s="8"/>
      <c r="L100" s="8"/>
    </row>
    <row r="101" customFormat="false" ht="15" hidden="false" customHeight="false" outlineLevel="0" collapsed="false">
      <c r="A101" s="8"/>
      <c r="B101" s="8"/>
      <c r="C101" s="8"/>
      <c r="D101" s="8"/>
      <c r="E101" s="8"/>
      <c r="F101" s="8"/>
      <c r="G101" s="8"/>
      <c r="H101" s="8"/>
      <c r="I101" s="8"/>
      <c r="J101" s="8"/>
      <c r="K101" s="8"/>
      <c r="L101" s="8"/>
    </row>
    <row r="102" customFormat="false" ht="15" hidden="false" customHeight="false" outlineLevel="0" collapsed="false">
      <c r="A102" s="8"/>
      <c r="B102" s="8"/>
      <c r="C102" s="8"/>
      <c r="D102" s="8"/>
      <c r="E102" s="8"/>
      <c r="F102" s="8"/>
      <c r="G102" s="8"/>
      <c r="H102" s="8"/>
      <c r="I102" s="8"/>
      <c r="J102" s="8"/>
      <c r="K102" s="8"/>
      <c r="L102" s="8"/>
    </row>
    <row r="103" customFormat="false" ht="15" hidden="false" customHeight="false" outlineLevel="0" collapsed="false">
      <c r="A103" s="8"/>
      <c r="B103" s="8"/>
      <c r="C103" s="8"/>
      <c r="D103" s="8"/>
      <c r="E103" s="8"/>
      <c r="F103" s="8"/>
      <c r="G103" s="8"/>
      <c r="H103" s="8"/>
      <c r="I103" s="8"/>
      <c r="J103" s="8"/>
      <c r="K103" s="8"/>
      <c r="L103" s="8"/>
    </row>
    <row r="104" customFormat="false" ht="15" hidden="false" customHeight="false" outlineLevel="0" collapsed="false">
      <c r="A104" s="8"/>
      <c r="B104" s="8"/>
      <c r="C104" s="8"/>
      <c r="D104" s="8"/>
      <c r="E104" s="8"/>
      <c r="F104" s="8"/>
      <c r="G104" s="8"/>
      <c r="H104" s="8"/>
      <c r="I104" s="8"/>
      <c r="J104" s="8"/>
      <c r="K104" s="8"/>
      <c r="L104" s="8"/>
    </row>
    <row r="105" customFormat="false" ht="15" hidden="false" customHeight="false" outlineLevel="0" collapsed="false">
      <c r="A105" s="8"/>
      <c r="B105" s="8"/>
      <c r="C105" s="8"/>
      <c r="D105" s="8"/>
      <c r="E105" s="8"/>
      <c r="F105" s="8"/>
      <c r="G105" s="8"/>
      <c r="H105" s="8"/>
      <c r="I105" s="8"/>
      <c r="J105" s="8"/>
      <c r="K105" s="8"/>
      <c r="L105" s="8"/>
    </row>
    <row r="106" customFormat="false" ht="15" hidden="false" customHeight="false" outlineLevel="0" collapsed="false">
      <c r="A106" s="8"/>
      <c r="B106" s="8"/>
      <c r="C106" s="8"/>
      <c r="D106" s="8"/>
      <c r="E106" s="8"/>
      <c r="F106" s="8"/>
      <c r="G106" s="8"/>
      <c r="H106" s="8"/>
      <c r="I106" s="8"/>
      <c r="J106" s="8"/>
      <c r="K106" s="8"/>
      <c r="L106" s="8"/>
    </row>
    <row r="107" customFormat="false" ht="15" hidden="false" customHeight="false" outlineLevel="0" collapsed="false">
      <c r="A107" s="8"/>
      <c r="B107" s="8"/>
      <c r="C107" s="8"/>
      <c r="D107" s="8"/>
      <c r="E107" s="8"/>
      <c r="F107" s="8"/>
      <c r="G107" s="8"/>
      <c r="H107" s="8"/>
      <c r="I107" s="8"/>
      <c r="J107" s="8"/>
      <c r="K107" s="8"/>
      <c r="L107" s="8"/>
    </row>
    <row r="108" customFormat="false" ht="15" hidden="false" customHeight="false" outlineLevel="0" collapsed="false">
      <c r="A108" s="8"/>
      <c r="B108" s="8"/>
      <c r="C108" s="8"/>
      <c r="D108" s="8"/>
      <c r="E108" s="8"/>
      <c r="F108" s="8"/>
      <c r="G108" s="8"/>
      <c r="H108" s="8"/>
      <c r="I108" s="8"/>
      <c r="J108" s="8"/>
      <c r="K108" s="8"/>
      <c r="L108" s="8"/>
    </row>
    <row r="109" customFormat="false" ht="15" hidden="false" customHeight="false" outlineLevel="0" collapsed="false">
      <c r="A109" s="8"/>
      <c r="B109" s="8"/>
      <c r="C109" s="8"/>
      <c r="D109" s="8"/>
      <c r="E109" s="8"/>
      <c r="F109" s="8"/>
      <c r="G109" s="8"/>
      <c r="H109" s="8"/>
      <c r="I109" s="8"/>
      <c r="J109" s="8"/>
      <c r="K109" s="8"/>
      <c r="L109" s="8"/>
    </row>
    <row r="110" customFormat="false" ht="15" hidden="false" customHeight="false" outlineLevel="0" collapsed="false">
      <c r="A110" s="8"/>
      <c r="B110" s="8"/>
      <c r="C110" s="8"/>
      <c r="D110" s="8"/>
      <c r="E110" s="8"/>
      <c r="F110" s="8"/>
      <c r="G110" s="8"/>
      <c r="H110" s="8"/>
      <c r="I110" s="8"/>
      <c r="J110" s="8"/>
      <c r="K110" s="8"/>
      <c r="L110" s="8"/>
    </row>
    <row r="111" customFormat="false" ht="15" hidden="false" customHeight="false" outlineLevel="0" collapsed="false">
      <c r="A111" s="8"/>
      <c r="B111" s="8"/>
      <c r="C111" s="8"/>
      <c r="D111" s="8"/>
      <c r="E111" s="8"/>
      <c r="F111" s="8"/>
      <c r="G111" s="8"/>
      <c r="H111" s="8"/>
      <c r="I111" s="8"/>
      <c r="J111" s="8"/>
      <c r="K111" s="8"/>
      <c r="L111" s="8"/>
    </row>
    <row r="112" customFormat="false" ht="15" hidden="false" customHeight="false" outlineLevel="0" collapsed="false">
      <c r="A112" s="8"/>
      <c r="B112" s="8"/>
      <c r="C112" s="8"/>
      <c r="D112" s="8"/>
      <c r="E112" s="8"/>
      <c r="F112" s="8"/>
      <c r="G112" s="8"/>
      <c r="H112" s="8"/>
      <c r="I112" s="8"/>
      <c r="J112" s="8"/>
      <c r="K112" s="8"/>
      <c r="L112" s="8"/>
    </row>
    <row r="113" customFormat="false" ht="15" hidden="false" customHeight="false" outlineLevel="0" collapsed="false">
      <c r="A113" s="8"/>
      <c r="B113" s="8"/>
      <c r="C113" s="8"/>
      <c r="D113" s="8"/>
      <c r="E113" s="8"/>
      <c r="F113" s="8"/>
      <c r="G113" s="8"/>
      <c r="H113" s="8"/>
      <c r="I113" s="8"/>
      <c r="J113" s="8"/>
      <c r="K113" s="8"/>
      <c r="L113" s="8"/>
    </row>
    <row r="114" customFormat="false" ht="15" hidden="false" customHeight="false" outlineLevel="0" collapsed="false">
      <c r="A114" s="8"/>
      <c r="B114" s="8"/>
      <c r="C114" s="8"/>
      <c r="D114" s="8"/>
      <c r="E114" s="8"/>
      <c r="F114" s="8"/>
      <c r="G114" s="8"/>
      <c r="H114" s="8"/>
      <c r="I114" s="8"/>
      <c r="J114" s="8"/>
      <c r="K114" s="8"/>
      <c r="L114" s="8"/>
    </row>
    <row r="115" customFormat="false" ht="15" hidden="false" customHeight="false" outlineLevel="0" collapsed="false">
      <c r="A115" s="8"/>
      <c r="B115" s="8"/>
      <c r="C115" s="8"/>
      <c r="D115" s="8"/>
      <c r="E115" s="8"/>
      <c r="F115" s="8"/>
      <c r="G115" s="8"/>
      <c r="H115" s="8"/>
      <c r="I115" s="8"/>
      <c r="J115" s="8"/>
      <c r="K115" s="8"/>
      <c r="L115" s="8"/>
    </row>
    <row r="116" customFormat="false" ht="15" hidden="false" customHeight="false" outlineLevel="0" collapsed="false">
      <c r="A116" s="8"/>
      <c r="B116" s="8"/>
      <c r="C116" s="8"/>
      <c r="D116" s="8"/>
      <c r="E116" s="8"/>
      <c r="F116" s="8"/>
      <c r="G116" s="8"/>
      <c r="H116" s="8"/>
      <c r="I116" s="8"/>
      <c r="J116" s="8"/>
      <c r="K116" s="8"/>
      <c r="L116" s="8"/>
    </row>
    <row r="117" customFormat="false" ht="15" hidden="false" customHeight="false" outlineLevel="0" collapsed="false">
      <c r="A117" s="8"/>
      <c r="B117" s="8"/>
      <c r="C117" s="8"/>
      <c r="D117" s="8"/>
      <c r="E117" s="8"/>
      <c r="F117" s="8"/>
      <c r="G117" s="8"/>
      <c r="H117" s="8"/>
      <c r="I117" s="8"/>
      <c r="J117" s="8"/>
      <c r="K117" s="8"/>
      <c r="L117" s="8"/>
    </row>
    <row r="118" customFormat="false" ht="15" hidden="false" customHeight="false" outlineLevel="0" collapsed="false">
      <c r="A118" s="8"/>
      <c r="B118" s="8"/>
      <c r="C118" s="8"/>
      <c r="D118" s="8"/>
      <c r="E118" s="8"/>
      <c r="F118" s="8"/>
      <c r="G118" s="8"/>
      <c r="H118" s="8"/>
      <c r="I118" s="8"/>
      <c r="J118" s="8"/>
      <c r="K118" s="8"/>
      <c r="L118" s="8"/>
    </row>
    <row r="119" customFormat="false" ht="15" hidden="false" customHeight="false" outlineLevel="0" collapsed="false">
      <c r="A119" s="8"/>
      <c r="B119" s="8"/>
      <c r="C119" s="8"/>
      <c r="D119" s="8"/>
      <c r="E119" s="8"/>
      <c r="F119" s="8"/>
      <c r="G119" s="8"/>
      <c r="H119" s="8"/>
      <c r="I119" s="8"/>
      <c r="J119" s="8"/>
      <c r="K119" s="8"/>
      <c r="L119" s="8"/>
    </row>
    <row r="120" customFormat="false" ht="15" hidden="false" customHeight="false" outlineLevel="0" collapsed="false">
      <c r="A120" s="8"/>
      <c r="B120" s="8"/>
      <c r="C120" s="8"/>
      <c r="D120" s="8"/>
      <c r="E120" s="8"/>
      <c r="F120" s="8"/>
      <c r="G120" s="8"/>
      <c r="H120" s="8"/>
      <c r="I120" s="8"/>
      <c r="J120" s="8"/>
      <c r="K120" s="8"/>
      <c r="L120" s="8"/>
    </row>
    <row r="121" customFormat="false" ht="15" hidden="false" customHeight="false" outlineLevel="0" collapsed="false">
      <c r="A121" s="8"/>
      <c r="B121" s="8"/>
      <c r="C121" s="8"/>
      <c r="D121" s="8"/>
      <c r="E121" s="8"/>
      <c r="F121" s="8"/>
      <c r="G121" s="8"/>
      <c r="H121" s="8"/>
      <c r="I121" s="8"/>
      <c r="J121" s="8"/>
      <c r="K121" s="8"/>
      <c r="L121" s="8"/>
    </row>
    <row r="122" customFormat="false" ht="15" hidden="false" customHeight="false" outlineLevel="0" collapsed="false">
      <c r="A122" s="8"/>
      <c r="B122" s="8"/>
      <c r="C122" s="8"/>
      <c r="D122" s="8"/>
      <c r="E122" s="8"/>
      <c r="F122" s="8"/>
      <c r="G122" s="8"/>
      <c r="H122" s="8"/>
      <c r="I122" s="8"/>
      <c r="J122" s="8"/>
      <c r="K122" s="8"/>
      <c r="L122" s="8"/>
    </row>
    <row r="123" customFormat="false" ht="15" hidden="false" customHeight="false" outlineLevel="0" collapsed="false">
      <c r="A123" s="8"/>
      <c r="B123" s="8"/>
      <c r="C123" s="8"/>
      <c r="D123" s="8"/>
      <c r="E123" s="8"/>
      <c r="F123" s="8"/>
      <c r="G123" s="8"/>
      <c r="H123" s="8"/>
      <c r="I123" s="8"/>
      <c r="J123" s="8"/>
      <c r="K123" s="8"/>
      <c r="L123" s="8"/>
    </row>
    <row r="124" customFormat="false" ht="15" hidden="false" customHeight="false" outlineLevel="0" collapsed="false">
      <c r="A124" s="8"/>
      <c r="B124" s="8"/>
      <c r="C124" s="8"/>
      <c r="D124" s="8"/>
      <c r="E124" s="8"/>
      <c r="F124" s="8"/>
      <c r="G124" s="8"/>
      <c r="H124" s="8"/>
      <c r="I124" s="8"/>
      <c r="J124" s="8"/>
      <c r="K124" s="8"/>
      <c r="L124" s="8"/>
    </row>
    <row r="125" customFormat="false" ht="15" hidden="false" customHeight="false" outlineLevel="0" collapsed="false">
      <c r="A125" s="8"/>
      <c r="B125" s="8"/>
      <c r="C125" s="8"/>
      <c r="D125" s="8"/>
      <c r="E125" s="8"/>
      <c r="F125" s="8"/>
      <c r="G125" s="8"/>
      <c r="H125" s="8"/>
      <c r="I125" s="8"/>
      <c r="J125" s="8"/>
      <c r="K125" s="8"/>
      <c r="L125" s="8"/>
    </row>
    <row r="126" customFormat="false" ht="15" hidden="false" customHeight="false" outlineLevel="0" collapsed="false">
      <c r="A126" s="8"/>
      <c r="B126" s="8"/>
      <c r="C126" s="8"/>
      <c r="D126" s="8"/>
      <c r="E126" s="8"/>
      <c r="F126" s="8"/>
      <c r="G126" s="8"/>
      <c r="H126" s="8"/>
      <c r="I126" s="8"/>
      <c r="J126" s="8"/>
      <c r="K126" s="8"/>
      <c r="L126" s="8"/>
    </row>
    <row r="127" customFormat="false" ht="15" hidden="false" customHeight="false" outlineLevel="0" collapsed="false">
      <c r="A127" s="8"/>
      <c r="B127" s="8"/>
      <c r="C127" s="8"/>
      <c r="D127" s="8"/>
      <c r="E127" s="8"/>
      <c r="F127" s="8"/>
      <c r="G127" s="8"/>
      <c r="H127" s="8"/>
      <c r="I127" s="8"/>
      <c r="J127" s="8"/>
      <c r="K127" s="8"/>
      <c r="L127" s="8"/>
    </row>
    <row r="128" customFormat="false" ht="15" hidden="false" customHeight="false" outlineLevel="0" collapsed="false">
      <c r="A128" s="8"/>
      <c r="B128" s="8"/>
      <c r="C128" s="8"/>
      <c r="D128" s="8"/>
      <c r="E128" s="8"/>
      <c r="F128" s="8"/>
      <c r="G128" s="8"/>
      <c r="H128" s="8"/>
      <c r="I128" s="8"/>
      <c r="J128" s="8"/>
      <c r="K128" s="8"/>
      <c r="L128" s="8"/>
    </row>
    <row r="129" customFormat="false" ht="15" hidden="false" customHeight="false" outlineLevel="0" collapsed="false">
      <c r="A129" s="8"/>
      <c r="B129" s="8"/>
      <c r="C129" s="8"/>
      <c r="D129" s="8"/>
      <c r="E129" s="8"/>
      <c r="F129" s="8"/>
      <c r="G129" s="8"/>
      <c r="H129" s="8"/>
      <c r="I129" s="8"/>
      <c r="J129" s="8"/>
      <c r="K129" s="8"/>
      <c r="L129" s="8"/>
    </row>
    <row r="130" customFormat="false" ht="15" hidden="false" customHeight="false" outlineLevel="0" collapsed="false">
      <c r="A130" s="8"/>
      <c r="B130" s="8"/>
      <c r="C130" s="8"/>
      <c r="D130" s="8"/>
      <c r="E130" s="8"/>
      <c r="F130" s="8"/>
      <c r="G130" s="8"/>
      <c r="H130" s="8"/>
      <c r="I130" s="8"/>
      <c r="J130" s="8"/>
      <c r="K130" s="8"/>
      <c r="L130" s="8"/>
    </row>
    <row r="131" customFormat="false" ht="15" hidden="false" customHeight="false" outlineLevel="0" collapsed="false">
      <c r="A131" s="8"/>
      <c r="B131" s="8"/>
      <c r="C131" s="8"/>
      <c r="D131" s="8"/>
      <c r="E131" s="8"/>
      <c r="F131" s="8"/>
      <c r="G131" s="8"/>
      <c r="H131" s="8"/>
      <c r="I131" s="8"/>
      <c r="J131" s="8"/>
      <c r="K131" s="8"/>
      <c r="L131" s="8"/>
    </row>
    <row r="132" customFormat="false" ht="15" hidden="false" customHeight="false" outlineLevel="0" collapsed="false">
      <c r="A132" s="8"/>
      <c r="B132" s="8"/>
      <c r="C132" s="8"/>
      <c r="D132" s="8"/>
      <c r="E132" s="8"/>
      <c r="F132" s="8"/>
      <c r="G132" s="8"/>
      <c r="H132" s="8"/>
      <c r="I132" s="8"/>
      <c r="J132" s="8"/>
      <c r="K132" s="8"/>
      <c r="L132" s="8"/>
    </row>
    <row r="133" customFormat="false" ht="15" hidden="false" customHeight="false" outlineLevel="0" collapsed="false">
      <c r="A133" s="8"/>
      <c r="B133" s="8"/>
      <c r="C133" s="8"/>
      <c r="D133" s="8"/>
      <c r="E133" s="8"/>
      <c r="F133" s="8"/>
      <c r="G133" s="8"/>
      <c r="H133" s="8"/>
      <c r="I133" s="8"/>
      <c r="J133" s="8"/>
      <c r="K133" s="8"/>
      <c r="L133" s="8"/>
    </row>
    <row r="134" customFormat="false" ht="15" hidden="false" customHeight="false" outlineLevel="0" collapsed="false">
      <c r="A134" s="8"/>
      <c r="B134" s="8"/>
      <c r="C134" s="8"/>
      <c r="D134" s="8"/>
      <c r="E134" s="8"/>
      <c r="F134" s="8"/>
      <c r="G134" s="8"/>
      <c r="H134" s="8"/>
      <c r="I134" s="8"/>
      <c r="J134" s="8"/>
      <c r="K134" s="8"/>
      <c r="L134" s="8"/>
    </row>
    <row r="135" customFormat="false" ht="15" hidden="false" customHeight="false" outlineLevel="0" collapsed="false">
      <c r="A135" s="8"/>
      <c r="B135" s="8"/>
      <c r="C135" s="8"/>
      <c r="D135" s="8"/>
      <c r="E135" s="8"/>
      <c r="F135" s="8"/>
      <c r="G135" s="8"/>
      <c r="H135" s="8"/>
      <c r="I135" s="8"/>
      <c r="J135" s="8"/>
      <c r="K135" s="8"/>
      <c r="L135" s="8"/>
    </row>
    <row r="136" customFormat="false" ht="15" hidden="false" customHeight="false" outlineLevel="0" collapsed="false">
      <c r="A136" s="8"/>
      <c r="B136" s="8"/>
      <c r="C136" s="8"/>
      <c r="D136" s="8"/>
      <c r="E136" s="8"/>
      <c r="F136" s="8"/>
      <c r="G136" s="8"/>
      <c r="H136" s="8"/>
      <c r="I136" s="8"/>
      <c r="J136" s="8"/>
      <c r="K136" s="8"/>
      <c r="L136" s="8"/>
    </row>
    <row r="137" customFormat="false" ht="15" hidden="false" customHeight="false" outlineLevel="0" collapsed="false">
      <c r="A137" s="8"/>
      <c r="B137" s="8"/>
      <c r="C137" s="8"/>
      <c r="D137" s="8"/>
      <c r="E137" s="8"/>
      <c r="F137" s="8"/>
      <c r="G137" s="8"/>
      <c r="H137" s="8"/>
      <c r="I137" s="8"/>
      <c r="J137" s="8"/>
      <c r="K137" s="8"/>
      <c r="L137" s="8"/>
    </row>
    <row r="138" customFormat="false" ht="15" hidden="false" customHeight="false" outlineLevel="0" collapsed="false">
      <c r="A138" s="8"/>
      <c r="B138" s="8"/>
      <c r="C138" s="8"/>
      <c r="D138" s="8"/>
      <c r="E138" s="8"/>
      <c r="F138" s="8"/>
      <c r="G138" s="8"/>
      <c r="H138" s="8"/>
      <c r="I138" s="8"/>
      <c r="J138" s="8"/>
      <c r="K138" s="8"/>
      <c r="L138" s="8"/>
    </row>
    <row r="139" customFormat="false" ht="15" hidden="false" customHeight="false" outlineLevel="0" collapsed="false">
      <c r="A139" s="8"/>
      <c r="B139" s="8"/>
      <c r="C139" s="8"/>
      <c r="D139" s="8"/>
      <c r="E139" s="8"/>
      <c r="F139" s="8"/>
      <c r="G139" s="8"/>
      <c r="H139" s="8"/>
      <c r="I139" s="8"/>
      <c r="J139" s="8"/>
      <c r="K139" s="8"/>
      <c r="L139" s="8"/>
    </row>
    <row r="140" customFormat="false" ht="15" hidden="false" customHeight="false" outlineLevel="0" collapsed="false">
      <c r="A140" s="8"/>
      <c r="B140" s="8"/>
      <c r="C140" s="8"/>
      <c r="D140" s="8"/>
      <c r="E140" s="8"/>
      <c r="F140" s="8"/>
      <c r="G140" s="8"/>
      <c r="H140" s="8"/>
      <c r="I140" s="8"/>
      <c r="J140" s="8"/>
      <c r="K140" s="8"/>
      <c r="L140" s="8"/>
    </row>
    <row r="141" customFormat="false" ht="15" hidden="false" customHeight="false" outlineLevel="0" collapsed="false">
      <c r="A141" s="8"/>
      <c r="B141" s="8"/>
      <c r="C141" s="8"/>
      <c r="D141" s="8"/>
      <c r="E141" s="8"/>
      <c r="F141" s="8"/>
      <c r="G141" s="8"/>
      <c r="H141" s="8"/>
      <c r="I141" s="8"/>
      <c r="J141" s="8"/>
      <c r="K141" s="8"/>
      <c r="L141" s="8"/>
    </row>
    <row r="142" customFormat="false" ht="15" hidden="false" customHeight="false" outlineLevel="0" collapsed="false">
      <c r="A142" s="8"/>
      <c r="B142" s="8"/>
      <c r="C142" s="8"/>
      <c r="D142" s="8"/>
      <c r="E142" s="8"/>
      <c r="F142" s="8"/>
      <c r="G142" s="8"/>
      <c r="H142" s="8"/>
      <c r="I142" s="8"/>
      <c r="J142" s="8"/>
      <c r="K142" s="8"/>
      <c r="L142" s="8"/>
    </row>
    <row r="143" customFormat="false" ht="15" hidden="false" customHeight="false" outlineLevel="0" collapsed="false">
      <c r="A143" s="8"/>
      <c r="B143" s="8"/>
      <c r="C143" s="8"/>
      <c r="D143" s="8"/>
      <c r="E143" s="8"/>
      <c r="F143" s="8"/>
      <c r="G143" s="8"/>
      <c r="H143" s="8"/>
      <c r="I143" s="8"/>
      <c r="J143" s="8"/>
      <c r="K143" s="8"/>
      <c r="L143" s="8"/>
    </row>
    <row r="144" customFormat="false" ht="15" hidden="false" customHeight="false" outlineLevel="0" collapsed="false">
      <c r="A144" s="8"/>
      <c r="B144" s="8"/>
      <c r="C144" s="8"/>
      <c r="D144" s="8"/>
      <c r="E144" s="8"/>
      <c r="F144" s="8"/>
      <c r="G144" s="8"/>
      <c r="H144" s="8"/>
      <c r="I144" s="8"/>
      <c r="J144" s="8"/>
      <c r="K144" s="8"/>
      <c r="L144" s="8"/>
    </row>
    <row r="145" customFormat="false" ht="15" hidden="false" customHeight="false" outlineLevel="0" collapsed="false">
      <c r="A145" s="8"/>
      <c r="B145" s="8"/>
      <c r="C145" s="8"/>
      <c r="D145" s="8"/>
      <c r="E145" s="8"/>
      <c r="F145" s="8"/>
      <c r="G145" s="8"/>
      <c r="H145" s="8"/>
      <c r="I145" s="8"/>
      <c r="J145" s="8"/>
      <c r="K145" s="8"/>
      <c r="L145" s="8"/>
    </row>
    <row r="146" customFormat="false" ht="15" hidden="false" customHeight="false" outlineLevel="0" collapsed="false">
      <c r="A146" s="8"/>
      <c r="B146" s="8"/>
      <c r="C146" s="8"/>
      <c r="D146" s="8"/>
      <c r="E146" s="8"/>
      <c r="F146" s="8"/>
      <c r="G146" s="8"/>
      <c r="H146" s="8"/>
      <c r="I146" s="8"/>
      <c r="J146" s="8"/>
      <c r="K146" s="8"/>
      <c r="L146" s="8"/>
    </row>
    <row r="147" customFormat="false" ht="15" hidden="false" customHeight="false" outlineLevel="0" collapsed="false">
      <c r="A147" s="8"/>
      <c r="B147" s="8"/>
      <c r="C147" s="8"/>
      <c r="D147" s="8"/>
      <c r="E147" s="8"/>
      <c r="F147" s="8"/>
      <c r="G147" s="8"/>
      <c r="H147" s="8"/>
      <c r="I147" s="8"/>
      <c r="J147" s="8"/>
      <c r="K147" s="8"/>
      <c r="L147" s="8"/>
    </row>
    <row r="148" customFormat="false" ht="15" hidden="false" customHeight="false" outlineLevel="0" collapsed="false">
      <c r="A148" s="8"/>
      <c r="B148" s="8"/>
      <c r="C148" s="8"/>
      <c r="D148" s="8"/>
      <c r="E148" s="8"/>
      <c r="F148" s="8"/>
      <c r="G148" s="8"/>
      <c r="H148" s="8"/>
      <c r="I148" s="8"/>
      <c r="J148" s="8"/>
      <c r="K148" s="8"/>
      <c r="L148" s="8"/>
    </row>
    <row r="149" customFormat="false" ht="15" hidden="false" customHeight="false" outlineLevel="0" collapsed="false">
      <c r="A149" s="8"/>
      <c r="B149" s="8"/>
      <c r="C149" s="8"/>
      <c r="D149" s="8"/>
      <c r="E149" s="8"/>
      <c r="F149" s="8"/>
      <c r="G149" s="8"/>
      <c r="H149" s="8"/>
      <c r="I149" s="8"/>
      <c r="J149" s="8"/>
      <c r="K149" s="8"/>
      <c r="L149" s="8"/>
    </row>
    <row r="150" customFormat="false" ht="15" hidden="false" customHeight="false" outlineLevel="0" collapsed="false">
      <c r="A150" s="8"/>
      <c r="B150" s="8"/>
      <c r="C150" s="8"/>
      <c r="D150" s="8"/>
      <c r="E150" s="8"/>
      <c r="F150" s="8"/>
      <c r="G150" s="8"/>
      <c r="H150" s="8"/>
      <c r="I150" s="8"/>
      <c r="J150" s="8"/>
      <c r="K150" s="8"/>
      <c r="L150" s="8"/>
    </row>
    <row r="151" customFormat="false" ht="15" hidden="false" customHeight="false" outlineLevel="0" collapsed="false">
      <c r="A151" s="8"/>
      <c r="B151" s="8"/>
      <c r="C151" s="8"/>
      <c r="D151" s="8"/>
      <c r="E151" s="8"/>
      <c r="F151" s="8"/>
      <c r="G151" s="8"/>
      <c r="H151" s="8"/>
      <c r="I151" s="8"/>
      <c r="J151" s="8"/>
      <c r="K151" s="8"/>
      <c r="L151" s="8"/>
    </row>
    <row r="152" customFormat="false" ht="15" hidden="false" customHeight="false" outlineLevel="0" collapsed="false">
      <c r="A152" s="8"/>
      <c r="B152" s="8"/>
      <c r="C152" s="8"/>
      <c r="D152" s="8"/>
      <c r="E152" s="8"/>
      <c r="F152" s="8"/>
      <c r="G152" s="8"/>
      <c r="H152" s="8"/>
      <c r="I152" s="8"/>
      <c r="J152" s="8"/>
      <c r="K152" s="8"/>
      <c r="L152" s="8"/>
    </row>
    <row r="153" customFormat="false" ht="15" hidden="false" customHeight="false" outlineLevel="0" collapsed="false">
      <c r="A153" s="8"/>
      <c r="B153" s="8"/>
      <c r="C153" s="8"/>
      <c r="D153" s="8"/>
      <c r="E153" s="8"/>
      <c r="F153" s="8"/>
      <c r="G153" s="8"/>
      <c r="H153" s="8"/>
      <c r="I153" s="8"/>
      <c r="J153" s="8"/>
      <c r="K153" s="8"/>
      <c r="L153" s="8"/>
    </row>
    <row r="154" customFormat="false" ht="15" hidden="false" customHeight="false" outlineLevel="0" collapsed="false">
      <c r="A154" s="8"/>
      <c r="B154" s="8"/>
      <c r="C154" s="8"/>
      <c r="D154" s="8"/>
      <c r="E154" s="8"/>
      <c r="F154" s="8"/>
      <c r="G154" s="8"/>
      <c r="H154" s="8"/>
      <c r="I154" s="8"/>
      <c r="J154" s="8"/>
      <c r="K154" s="8"/>
      <c r="L154" s="8"/>
    </row>
    <row r="155" customFormat="false" ht="15" hidden="false" customHeight="false" outlineLevel="0" collapsed="false">
      <c r="A155" s="8"/>
      <c r="B155" s="8"/>
      <c r="C155" s="8"/>
      <c r="D155" s="8"/>
      <c r="E155" s="8"/>
      <c r="F155" s="8"/>
      <c r="G155" s="8"/>
      <c r="H155" s="8"/>
      <c r="I155" s="8"/>
      <c r="J155" s="8"/>
      <c r="K155" s="8"/>
      <c r="L155" s="8"/>
    </row>
    <row r="156" customFormat="false" ht="15" hidden="false" customHeight="false" outlineLevel="0" collapsed="false">
      <c r="A156" s="8"/>
      <c r="B156" s="8"/>
      <c r="C156" s="8"/>
      <c r="D156" s="8"/>
      <c r="E156" s="8"/>
      <c r="F156" s="8"/>
      <c r="G156" s="8"/>
      <c r="H156" s="8"/>
      <c r="I156" s="8"/>
      <c r="J156" s="8"/>
      <c r="K156" s="8"/>
      <c r="L156" s="8"/>
    </row>
    <row r="157" customFormat="false" ht="15" hidden="false" customHeight="false" outlineLevel="0" collapsed="false">
      <c r="A157" s="8"/>
      <c r="B157" s="8"/>
      <c r="C157" s="8"/>
      <c r="D157" s="8"/>
      <c r="E157" s="8"/>
      <c r="F157" s="8"/>
      <c r="G157" s="8"/>
      <c r="H157" s="8"/>
      <c r="I157" s="8"/>
      <c r="J157" s="8"/>
      <c r="K157" s="8"/>
      <c r="L157" s="8"/>
    </row>
    <row r="158" customFormat="false" ht="15" hidden="false" customHeight="false" outlineLevel="0" collapsed="false">
      <c r="A158" s="8"/>
      <c r="B158" s="8"/>
      <c r="C158" s="8"/>
      <c r="D158" s="8"/>
      <c r="E158" s="8"/>
      <c r="F158" s="8"/>
      <c r="G158" s="8"/>
      <c r="H158" s="8"/>
      <c r="I158" s="8"/>
      <c r="J158" s="8"/>
      <c r="K158" s="8"/>
      <c r="L158" s="8"/>
    </row>
    <row r="159" customFormat="false" ht="15" hidden="false" customHeight="false" outlineLevel="0" collapsed="false">
      <c r="A159" s="8"/>
      <c r="B159" s="8"/>
      <c r="C159" s="8"/>
      <c r="D159" s="8"/>
      <c r="E159" s="8"/>
      <c r="F159" s="8"/>
      <c r="G159" s="8"/>
      <c r="H159" s="8"/>
      <c r="I159" s="8"/>
      <c r="J159" s="8"/>
      <c r="K159" s="8"/>
      <c r="L159" s="8"/>
    </row>
    <row r="160" customFormat="false" ht="15" hidden="false" customHeight="false" outlineLevel="0" collapsed="false">
      <c r="A160" s="8"/>
      <c r="B160" s="8"/>
      <c r="C160" s="8"/>
      <c r="D160" s="8"/>
      <c r="E160" s="8"/>
      <c r="F160" s="8"/>
      <c r="G160" s="8"/>
      <c r="H160" s="8"/>
      <c r="I160" s="8"/>
      <c r="J160" s="8"/>
      <c r="K160" s="8"/>
      <c r="L160" s="8"/>
    </row>
    <row r="161" customFormat="false" ht="15" hidden="false" customHeight="false" outlineLevel="0" collapsed="false">
      <c r="A161" s="8"/>
      <c r="B161" s="8"/>
      <c r="C161" s="8"/>
      <c r="D161" s="8"/>
      <c r="E161" s="8"/>
      <c r="F161" s="8"/>
      <c r="G161" s="8"/>
      <c r="H161" s="8"/>
      <c r="I161" s="8"/>
      <c r="J161" s="8"/>
      <c r="K161" s="8"/>
      <c r="L161" s="8"/>
    </row>
    <row r="162" customFormat="false" ht="15" hidden="false" customHeight="false" outlineLevel="0" collapsed="false">
      <c r="A162" s="8"/>
      <c r="B162" s="8"/>
      <c r="C162" s="8"/>
      <c r="D162" s="8"/>
      <c r="E162" s="8"/>
      <c r="F162" s="8"/>
      <c r="G162" s="8"/>
      <c r="H162" s="8"/>
      <c r="I162" s="8"/>
      <c r="J162" s="8"/>
      <c r="K162" s="8"/>
      <c r="L162" s="8"/>
    </row>
    <row r="163" customFormat="false" ht="15" hidden="false" customHeight="false" outlineLevel="0" collapsed="false">
      <c r="A163" s="8"/>
      <c r="B163" s="8"/>
      <c r="C163" s="8"/>
      <c r="D163" s="8"/>
      <c r="E163" s="8"/>
      <c r="F163" s="8"/>
      <c r="G163" s="8"/>
      <c r="H163" s="8"/>
      <c r="I163" s="8"/>
      <c r="J163" s="8"/>
      <c r="K163" s="8"/>
      <c r="L163" s="8"/>
    </row>
    <row r="164" customFormat="false" ht="15" hidden="false" customHeight="false" outlineLevel="0" collapsed="false">
      <c r="A164" s="8"/>
      <c r="B164" s="8"/>
      <c r="C164" s="8"/>
      <c r="D164" s="8"/>
      <c r="E164" s="8"/>
      <c r="F164" s="8"/>
      <c r="G164" s="8"/>
      <c r="H164" s="8"/>
      <c r="I164" s="8"/>
      <c r="J164" s="8"/>
      <c r="K164" s="8"/>
      <c r="L164" s="8"/>
    </row>
    <row r="165" customFormat="false" ht="15" hidden="false" customHeight="false" outlineLevel="0" collapsed="false">
      <c r="A165" s="8"/>
      <c r="B165" s="8"/>
      <c r="C165" s="8"/>
      <c r="D165" s="8"/>
      <c r="E165" s="8"/>
      <c r="F165" s="8"/>
      <c r="G165" s="8"/>
      <c r="H165" s="8"/>
      <c r="I165" s="8"/>
      <c r="J165" s="8"/>
      <c r="K165" s="8"/>
      <c r="L165" s="8"/>
    </row>
    <row r="166" customFormat="false" ht="15" hidden="false" customHeight="false" outlineLevel="0" collapsed="false">
      <c r="A166" s="8"/>
      <c r="B166" s="8"/>
      <c r="C166" s="8"/>
      <c r="D166" s="8"/>
      <c r="E166" s="8"/>
      <c r="F166" s="8"/>
      <c r="G166" s="8"/>
      <c r="H166" s="8"/>
      <c r="I166" s="8"/>
      <c r="J166" s="8"/>
      <c r="K166" s="8"/>
      <c r="L166" s="8"/>
    </row>
    <row r="167" customFormat="false" ht="15" hidden="false" customHeight="false" outlineLevel="0" collapsed="false">
      <c r="A167" s="8"/>
      <c r="B167" s="8"/>
      <c r="C167" s="8"/>
      <c r="D167" s="8"/>
      <c r="E167" s="8"/>
      <c r="F167" s="8"/>
      <c r="G167" s="8"/>
      <c r="H167" s="8"/>
      <c r="I167" s="8"/>
      <c r="J167" s="8"/>
      <c r="K167" s="8"/>
      <c r="L167" s="8"/>
    </row>
    <row r="168" customFormat="false" ht="15" hidden="false" customHeight="false" outlineLevel="0" collapsed="false">
      <c r="A168" s="8"/>
      <c r="B168" s="8"/>
      <c r="C168" s="8"/>
      <c r="D168" s="8"/>
      <c r="E168" s="8"/>
      <c r="F168" s="8"/>
      <c r="G168" s="8"/>
      <c r="H168" s="8"/>
      <c r="I168" s="8"/>
      <c r="J168" s="8"/>
      <c r="K168" s="8"/>
      <c r="L168" s="8"/>
    </row>
    <row r="169" customFormat="false" ht="15" hidden="false" customHeight="false" outlineLevel="0" collapsed="false">
      <c r="A169" s="8"/>
      <c r="B169" s="8"/>
      <c r="C169" s="8"/>
      <c r="D169" s="8"/>
      <c r="E169" s="8"/>
      <c r="F169" s="8"/>
      <c r="G169" s="8"/>
      <c r="H169" s="8"/>
      <c r="I169" s="8"/>
      <c r="J169" s="8"/>
      <c r="K169" s="8"/>
      <c r="L169" s="8"/>
    </row>
    <row r="170" customFormat="false" ht="15" hidden="false" customHeight="false" outlineLevel="0" collapsed="false">
      <c r="A170" s="8"/>
      <c r="B170" s="8"/>
      <c r="C170" s="8"/>
      <c r="D170" s="8"/>
      <c r="E170" s="8"/>
      <c r="F170" s="8"/>
      <c r="G170" s="8"/>
      <c r="H170" s="8"/>
      <c r="I170" s="8"/>
      <c r="J170" s="8"/>
      <c r="K170" s="8"/>
      <c r="L170" s="8"/>
    </row>
    <row r="171" customFormat="false" ht="15" hidden="false" customHeight="false" outlineLevel="0" collapsed="false">
      <c r="A171" s="8"/>
      <c r="B171" s="8"/>
      <c r="C171" s="8"/>
      <c r="D171" s="8"/>
      <c r="E171" s="8"/>
      <c r="F171" s="8"/>
      <c r="G171" s="8"/>
      <c r="H171" s="8"/>
      <c r="I171" s="8"/>
      <c r="J171" s="8"/>
      <c r="K171" s="8"/>
      <c r="L171" s="8"/>
    </row>
    <row r="172" customFormat="false" ht="15" hidden="false" customHeight="false" outlineLevel="0" collapsed="false">
      <c r="A172" s="8"/>
      <c r="B172" s="8"/>
      <c r="C172" s="8"/>
      <c r="D172" s="8"/>
      <c r="E172" s="8"/>
      <c r="F172" s="8"/>
      <c r="G172" s="8"/>
      <c r="H172" s="8"/>
      <c r="I172" s="8"/>
      <c r="J172" s="8"/>
      <c r="K172" s="8"/>
      <c r="L172" s="8"/>
    </row>
    <row r="173" customFormat="false" ht="15" hidden="false" customHeight="false" outlineLevel="0" collapsed="false">
      <c r="A173" s="8"/>
      <c r="B173" s="8"/>
      <c r="C173" s="8"/>
      <c r="D173" s="8"/>
      <c r="E173" s="8"/>
      <c r="F173" s="8"/>
      <c r="G173" s="8"/>
      <c r="H173" s="8"/>
      <c r="I173" s="8"/>
      <c r="J173" s="8"/>
      <c r="K173" s="8"/>
      <c r="L173" s="8"/>
    </row>
    <row r="174" customFormat="false" ht="15" hidden="false" customHeight="false" outlineLevel="0" collapsed="false">
      <c r="A174" s="8"/>
      <c r="B174" s="8"/>
      <c r="C174" s="8"/>
      <c r="D174" s="8"/>
      <c r="E174" s="8"/>
      <c r="F174" s="8"/>
      <c r="G174" s="8"/>
      <c r="H174" s="8"/>
      <c r="I174" s="8"/>
      <c r="J174" s="8"/>
      <c r="K174" s="8"/>
      <c r="L174" s="8"/>
    </row>
    <row r="175" customFormat="false" ht="15" hidden="false" customHeight="false" outlineLevel="0" collapsed="false">
      <c r="A175" s="8"/>
      <c r="B175" s="8"/>
      <c r="C175" s="8"/>
      <c r="D175" s="8"/>
      <c r="E175" s="8"/>
      <c r="F175" s="8"/>
      <c r="G175" s="8"/>
      <c r="H175" s="8"/>
      <c r="I175" s="8"/>
      <c r="J175" s="8"/>
      <c r="K175" s="8"/>
      <c r="L175" s="8"/>
    </row>
    <row r="176" customFormat="false" ht="15" hidden="false" customHeight="false" outlineLevel="0" collapsed="false">
      <c r="A176" s="8"/>
      <c r="B176" s="8"/>
      <c r="C176" s="8"/>
      <c r="D176" s="8"/>
      <c r="E176" s="8"/>
      <c r="F176" s="8"/>
      <c r="G176" s="8"/>
      <c r="H176" s="8"/>
      <c r="I176" s="8"/>
      <c r="J176" s="8"/>
      <c r="K176" s="8"/>
      <c r="L176" s="8"/>
    </row>
    <row r="177" customFormat="false" ht="15" hidden="false" customHeight="false" outlineLevel="0" collapsed="false">
      <c r="A177" s="8"/>
      <c r="B177" s="8"/>
      <c r="C177" s="8"/>
      <c r="D177" s="8"/>
      <c r="E177" s="8"/>
      <c r="F177" s="8"/>
      <c r="G177" s="8"/>
      <c r="H177" s="8"/>
      <c r="I177" s="8"/>
      <c r="J177" s="8"/>
      <c r="K177" s="8"/>
      <c r="L177" s="8"/>
    </row>
    <row r="178" customFormat="false" ht="15" hidden="false" customHeight="false" outlineLevel="0" collapsed="false">
      <c r="A178" s="8"/>
      <c r="B178" s="8"/>
      <c r="C178" s="8"/>
      <c r="D178" s="8"/>
      <c r="E178" s="8"/>
      <c r="F178" s="8"/>
      <c r="G178" s="8"/>
      <c r="H178" s="8"/>
      <c r="I178" s="8"/>
      <c r="J178" s="8"/>
      <c r="K178" s="8"/>
      <c r="L178" s="8"/>
    </row>
    <row r="179" customFormat="false" ht="15" hidden="false" customHeight="false" outlineLevel="0" collapsed="false">
      <c r="A179" s="8"/>
      <c r="B179" s="8"/>
      <c r="C179" s="8"/>
      <c r="D179" s="8"/>
      <c r="E179" s="8"/>
      <c r="F179" s="8"/>
      <c r="G179" s="8"/>
      <c r="H179" s="8"/>
      <c r="I179" s="8"/>
      <c r="J179" s="8"/>
      <c r="K179" s="8"/>
      <c r="L179" s="8"/>
    </row>
    <row r="180" customFormat="false" ht="15" hidden="false" customHeight="false" outlineLevel="0" collapsed="false">
      <c r="A180" s="8"/>
      <c r="B180" s="8"/>
      <c r="C180" s="8"/>
      <c r="D180" s="8"/>
      <c r="E180" s="8"/>
      <c r="F180" s="8"/>
      <c r="G180" s="8"/>
      <c r="H180" s="8"/>
      <c r="I180" s="8"/>
      <c r="J180" s="8"/>
      <c r="K180" s="8"/>
      <c r="L180" s="8"/>
    </row>
    <row r="181" customFormat="false" ht="15" hidden="false" customHeight="false" outlineLevel="0" collapsed="false">
      <c r="A181" s="8"/>
      <c r="B181" s="8"/>
      <c r="C181" s="8"/>
      <c r="D181" s="8"/>
      <c r="E181" s="8"/>
      <c r="F181" s="8"/>
      <c r="G181" s="8"/>
      <c r="H181" s="8"/>
      <c r="I181" s="8"/>
      <c r="J181" s="8"/>
      <c r="K181" s="8"/>
      <c r="L181" s="8"/>
    </row>
    <row r="182" customFormat="false" ht="15" hidden="false" customHeight="false" outlineLevel="0" collapsed="false">
      <c r="A182" s="8"/>
      <c r="B182" s="8"/>
      <c r="C182" s="8"/>
      <c r="D182" s="8"/>
      <c r="E182" s="8"/>
      <c r="F182" s="8"/>
      <c r="G182" s="8"/>
      <c r="H182" s="8"/>
      <c r="I182" s="8"/>
      <c r="J182" s="8"/>
      <c r="K182" s="8"/>
      <c r="L182" s="8"/>
    </row>
    <row r="183" customFormat="false" ht="15" hidden="false" customHeight="false" outlineLevel="0" collapsed="false">
      <c r="A183" s="8"/>
      <c r="B183" s="8"/>
      <c r="C183" s="8"/>
      <c r="D183" s="8"/>
      <c r="E183" s="8"/>
      <c r="F183" s="8"/>
      <c r="G183" s="8"/>
      <c r="H183" s="8"/>
      <c r="I183" s="8"/>
      <c r="J183" s="8"/>
      <c r="K183" s="8"/>
      <c r="L183" s="8"/>
    </row>
    <row r="184" customFormat="false" ht="15" hidden="false" customHeight="false" outlineLevel="0" collapsed="false">
      <c r="A184" s="8"/>
      <c r="B184" s="8"/>
      <c r="C184" s="8"/>
      <c r="D184" s="8"/>
      <c r="E184" s="8"/>
      <c r="F184" s="8"/>
      <c r="G184" s="8"/>
      <c r="H184" s="8"/>
      <c r="I184" s="8"/>
      <c r="J184" s="8"/>
      <c r="K184" s="8"/>
      <c r="L184" s="8"/>
    </row>
    <row r="185" customFormat="false" ht="15" hidden="false" customHeight="false" outlineLevel="0" collapsed="false">
      <c r="A185" s="8"/>
      <c r="B185" s="8"/>
      <c r="C185" s="8"/>
      <c r="D185" s="8"/>
      <c r="E185" s="8"/>
      <c r="F185" s="8"/>
      <c r="G185" s="8"/>
      <c r="H185" s="8"/>
      <c r="I185" s="8"/>
      <c r="J185" s="8"/>
      <c r="K185" s="8"/>
      <c r="L185" s="8"/>
    </row>
    <row r="186" customFormat="false" ht="15" hidden="false" customHeight="false" outlineLevel="0" collapsed="false">
      <c r="A186" s="8"/>
      <c r="B186" s="8"/>
      <c r="C186" s="8"/>
      <c r="D186" s="8"/>
      <c r="E186" s="8"/>
      <c r="F186" s="8"/>
      <c r="G186" s="8"/>
      <c r="H186" s="8"/>
      <c r="I186" s="8"/>
      <c r="J186" s="8"/>
      <c r="K186" s="8"/>
      <c r="L186" s="8"/>
    </row>
    <row r="187" customFormat="false" ht="15" hidden="false" customHeight="false" outlineLevel="0" collapsed="false">
      <c r="A187" s="8"/>
      <c r="B187" s="8"/>
      <c r="C187" s="8"/>
      <c r="D187" s="8"/>
      <c r="E187" s="8"/>
      <c r="F187" s="8"/>
      <c r="G187" s="8"/>
      <c r="H187" s="8"/>
      <c r="I187" s="8"/>
      <c r="J187" s="8"/>
      <c r="K187" s="8"/>
      <c r="L187" s="8"/>
    </row>
    <row r="188" customFormat="false" ht="15" hidden="false" customHeight="false" outlineLevel="0" collapsed="false">
      <c r="A188" s="8"/>
      <c r="B188" s="8"/>
      <c r="C188" s="8"/>
      <c r="D188" s="8"/>
      <c r="E188" s="8"/>
      <c r="F188" s="8"/>
      <c r="G188" s="8"/>
      <c r="H188" s="8"/>
      <c r="I188" s="8"/>
      <c r="J188" s="8"/>
      <c r="K188" s="8"/>
      <c r="L188" s="8"/>
    </row>
    <row r="189" customFormat="false" ht="15" hidden="false" customHeight="false" outlineLevel="0" collapsed="false">
      <c r="A189" s="8"/>
      <c r="B189" s="8"/>
      <c r="C189" s="8"/>
      <c r="D189" s="8"/>
      <c r="E189" s="8"/>
      <c r="F189" s="8"/>
      <c r="G189" s="8"/>
      <c r="H189" s="8"/>
      <c r="I189" s="8"/>
      <c r="J189" s="8"/>
      <c r="K189" s="8"/>
      <c r="L189" s="8"/>
    </row>
    <row r="190" customFormat="false" ht="15" hidden="false" customHeight="false" outlineLevel="0" collapsed="false">
      <c r="A190" s="8"/>
      <c r="B190" s="8"/>
      <c r="C190" s="8"/>
      <c r="D190" s="8"/>
      <c r="E190" s="8"/>
      <c r="F190" s="8"/>
      <c r="G190" s="8"/>
      <c r="H190" s="8"/>
      <c r="I190" s="8"/>
      <c r="J190" s="8"/>
      <c r="K190" s="8"/>
      <c r="L190" s="8"/>
    </row>
    <row r="191" customFormat="false" ht="15" hidden="false" customHeight="false" outlineLevel="0" collapsed="false">
      <c r="A191" s="8"/>
      <c r="B191" s="8"/>
      <c r="C191" s="8"/>
      <c r="D191" s="8"/>
      <c r="E191" s="8"/>
      <c r="F191" s="8"/>
      <c r="G191" s="8"/>
      <c r="H191" s="8"/>
      <c r="I191" s="8"/>
      <c r="J191" s="8"/>
      <c r="K191" s="8"/>
      <c r="L191" s="8"/>
    </row>
    <row r="192" customFormat="false" ht="15" hidden="false" customHeight="false" outlineLevel="0" collapsed="false">
      <c r="A192" s="8"/>
      <c r="B192" s="8"/>
      <c r="C192" s="8"/>
      <c r="D192" s="8"/>
      <c r="E192" s="8"/>
      <c r="F192" s="8"/>
      <c r="G192" s="8"/>
      <c r="H192" s="8"/>
      <c r="I192" s="8"/>
      <c r="J192" s="8"/>
      <c r="K192" s="8"/>
      <c r="L192" s="8"/>
    </row>
    <row r="193" customFormat="false" ht="15" hidden="false" customHeight="false" outlineLevel="0" collapsed="false">
      <c r="A193" s="8"/>
      <c r="B193" s="8"/>
      <c r="C193" s="8"/>
      <c r="D193" s="8"/>
      <c r="E193" s="8"/>
      <c r="F193" s="8"/>
      <c r="G193" s="8"/>
      <c r="H193" s="8"/>
      <c r="I193" s="8"/>
      <c r="J193" s="8"/>
      <c r="K193" s="8"/>
      <c r="L193" s="8"/>
    </row>
    <row r="194" customFormat="false" ht="15" hidden="false" customHeight="false" outlineLevel="0" collapsed="false">
      <c r="A194" s="8"/>
      <c r="B194" s="8"/>
      <c r="C194" s="8"/>
      <c r="D194" s="8"/>
      <c r="E194" s="8"/>
      <c r="F194" s="8"/>
      <c r="G194" s="8"/>
      <c r="H194" s="8"/>
      <c r="I194" s="8"/>
      <c r="J194" s="8"/>
      <c r="K194" s="8"/>
      <c r="L194" s="8"/>
    </row>
    <row r="195" customFormat="false" ht="15" hidden="false" customHeight="false" outlineLevel="0" collapsed="false">
      <c r="A195" s="8"/>
      <c r="B195" s="8"/>
      <c r="C195" s="8"/>
      <c r="D195" s="8"/>
      <c r="E195" s="8"/>
      <c r="F195" s="8"/>
      <c r="G195" s="8"/>
      <c r="H195" s="8"/>
      <c r="I195" s="8"/>
      <c r="J195" s="8"/>
      <c r="K195" s="8"/>
      <c r="L195" s="8"/>
    </row>
    <row r="196" customFormat="false" ht="15" hidden="false" customHeight="false" outlineLevel="0" collapsed="false">
      <c r="A196" s="8"/>
      <c r="B196" s="8"/>
      <c r="C196" s="8"/>
      <c r="D196" s="8"/>
      <c r="E196" s="8"/>
      <c r="F196" s="8"/>
      <c r="G196" s="8"/>
      <c r="H196" s="8"/>
      <c r="I196" s="8"/>
      <c r="J196" s="8"/>
      <c r="K196" s="8"/>
      <c r="L196" s="8"/>
    </row>
    <row r="197" customFormat="false" ht="15" hidden="false" customHeight="false" outlineLevel="0" collapsed="false">
      <c r="A197" s="8"/>
      <c r="B197" s="8"/>
      <c r="C197" s="8"/>
      <c r="D197" s="8"/>
      <c r="E197" s="8"/>
      <c r="F197" s="8"/>
      <c r="G197" s="8"/>
      <c r="H197" s="8"/>
      <c r="I197" s="8"/>
      <c r="J197" s="8"/>
      <c r="K197" s="8"/>
      <c r="L197" s="8"/>
    </row>
    <row r="198" customFormat="false" ht="15" hidden="false" customHeight="false" outlineLevel="0" collapsed="false">
      <c r="A198" s="8"/>
      <c r="B198" s="8"/>
      <c r="C198" s="8"/>
      <c r="D198" s="8"/>
      <c r="E198" s="8"/>
      <c r="F198" s="8"/>
      <c r="G198" s="8"/>
      <c r="H198" s="8"/>
      <c r="I198" s="8"/>
      <c r="J198" s="8"/>
      <c r="K198" s="8"/>
      <c r="L198" s="8"/>
    </row>
    <row r="199" customFormat="false" ht="15" hidden="false" customHeight="false" outlineLevel="0" collapsed="false">
      <c r="A199" s="8"/>
      <c r="B199" s="8"/>
      <c r="C199" s="8"/>
      <c r="D199" s="8"/>
      <c r="E199" s="8"/>
      <c r="F199" s="8"/>
      <c r="G199" s="8"/>
      <c r="H199" s="8"/>
      <c r="I199" s="8"/>
      <c r="J199" s="8"/>
      <c r="K199" s="8"/>
      <c r="L199" s="8"/>
    </row>
    <row r="200" customFormat="false" ht="15" hidden="false" customHeight="false" outlineLevel="0" collapsed="false">
      <c r="A200" s="8"/>
      <c r="B200" s="8"/>
      <c r="C200" s="8"/>
      <c r="D200" s="8"/>
      <c r="E200" s="8"/>
      <c r="F200" s="8"/>
      <c r="G200" s="8"/>
      <c r="H200" s="8"/>
      <c r="I200" s="8"/>
      <c r="J200" s="8"/>
      <c r="K200" s="8"/>
      <c r="L200" s="8"/>
    </row>
    <row r="201" customFormat="false" ht="15" hidden="false" customHeight="false" outlineLevel="0" collapsed="false">
      <c r="A201" s="8"/>
      <c r="B201" s="8"/>
      <c r="C201" s="8"/>
      <c r="D201" s="8"/>
      <c r="E201" s="8"/>
      <c r="F201" s="8"/>
      <c r="G201" s="8"/>
      <c r="H201" s="8"/>
      <c r="I201" s="8"/>
      <c r="J201" s="8"/>
      <c r="K201" s="8"/>
      <c r="L201" s="8"/>
    </row>
    <row r="202" customFormat="false" ht="15" hidden="false" customHeight="false" outlineLevel="0" collapsed="false">
      <c r="A202" s="8"/>
      <c r="B202" s="8"/>
      <c r="C202" s="8"/>
      <c r="D202" s="8"/>
      <c r="E202" s="8"/>
      <c r="F202" s="8"/>
      <c r="G202" s="8"/>
      <c r="H202" s="8"/>
      <c r="I202" s="8"/>
      <c r="J202" s="8"/>
      <c r="K202" s="8"/>
      <c r="L202" s="8"/>
    </row>
    <row r="203" customFormat="false" ht="15" hidden="false" customHeight="false" outlineLevel="0" collapsed="false">
      <c r="A203" s="8"/>
      <c r="B203" s="8"/>
      <c r="C203" s="8"/>
      <c r="D203" s="8"/>
      <c r="E203" s="8"/>
      <c r="F203" s="8"/>
      <c r="G203" s="8"/>
      <c r="H203" s="8"/>
      <c r="I203" s="8"/>
      <c r="J203" s="8"/>
      <c r="K203" s="8"/>
      <c r="L203" s="8"/>
    </row>
    <row r="204" customFormat="false" ht="15" hidden="false" customHeight="false" outlineLevel="0" collapsed="false">
      <c r="A204" s="8"/>
      <c r="B204" s="8"/>
      <c r="C204" s="8"/>
      <c r="D204" s="8"/>
      <c r="E204" s="8"/>
      <c r="F204" s="8"/>
      <c r="G204" s="8"/>
      <c r="H204" s="8"/>
      <c r="I204" s="8"/>
      <c r="J204" s="8"/>
      <c r="K204" s="8"/>
      <c r="L204" s="8"/>
    </row>
    <row r="205" customFormat="false" ht="15" hidden="false" customHeight="false" outlineLevel="0" collapsed="false">
      <c r="A205" s="8"/>
      <c r="B205" s="8"/>
      <c r="C205" s="8"/>
      <c r="D205" s="8"/>
      <c r="E205" s="8"/>
      <c r="F205" s="8"/>
      <c r="G205" s="8"/>
      <c r="H205" s="8"/>
      <c r="I205" s="8"/>
      <c r="J205" s="8"/>
      <c r="K205" s="8"/>
      <c r="L205" s="8"/>
    </row>
    <row r="206" customFormat="false" ht="15" hidden="false" customHeight="false" outlineLevel="0" collapsed="false">
      <c r="A206" s="8"/>
      <c r="B206" s="8"/>
      <c r="C206" s="8"/>
      <c r="D206" s="8"/>
      <c r="E206" s="8"/>
      <c r="F206" s="8"/>
      <c r="G206" s="8"/>
      <c r="H206" s="8"/>
      <c r="I206" s="8"/>
      <c r="J206" s="8"/>
      <c r="K206" s="8"/>
      <c r="L206" s="8"/>
    </row>
    <row r="207" customFormat="false" ht="15" hidden="false" customHeight="false" outlineLevel="0" collapsed="false">
      <c r="A207" s="8"/>
      <c r="B207" s="8"/>
      <c r="C207" s="8"/>
      <c r="D207" s="8"/>
      <c r="E207" s="8"/>
      <c r="F207" s="8"/>
      <c r="G207" s="8"/>
      <c r="H207" s="8"/>
      <c r="I207" s="8"/>
      <c r="J207" s="8"/>
      <c r="K207" s="8"/>
      <c r="L207" s="8"/>
    </row>
    <row r="208" customFormat="false" ht="15" hidden="false" customHeight="false" outlineLevel="0" collapsed="false">
      <c r="A208" s="8"/>
      <c r="B208" s="8"/>
      <c r="C208" s="8"/>
      <c r="D208" s="8"/>
      <c r="E208" s="8"/>
      <c r="F208" s="8"/>
      <c r="G208" s="8"/>
      <c r="H208" s="8"/>
      <c r="I208" s="8"/>
      <c r="J208" s="8"/>
      <c r="K208" s="8"/>
      <c r="L208" s="8"/>
    </row>
    <row r="209" customFormat="false" ht="15" hidden="false" customHeight="false" outlineLevel="0" collapsed="false">
      <c r="A209" s="8"/>
      <c r="B209" s="8"/>
      <c r="C209" s="8"/>
      <c r="D209" s="8"/>
      <c r="E209" s="8"/>
      <c r="F209" s="8"/>
      <c r="G209" s="8"/>
      <c r="H209" s="8"/>
      <c r="I209" s="8"/>
      <c r="J209" s="8"/>
      <c r="K209" s="8"/>
      <c r="L209" s="8"/>
    </row>
    <row r="210" customFormat="false" ht="15" hidden="false" customHeight="false" outlineLevel="0" collapsed="false">
      <c r="A210" s="8"/>
      <c r="B210" s="8"/>
      <c r="C210" s="8"/>
      <c r="D210" s="8"/>
      <c r="E210" s="8"/>
      <c r="F210" s="8"/>
      <c r="G210" s="8"/>
      <c r="H210" s="8"/>
      <c r="I210" s="8"/>
      <c r="J210" s="8"/>
      <c r="K210" s="8"/>
      <c r="L210" s="8"/>
    </row>
    <row r="211" customFormat="false" ht="15" hidden="false" customHeight="false" outlineLevel="0" collapsed="false">
      <c r="A211" s="8"/>
      <c r="B211" s="8"/>
      <c r="C211" s="8"/>
      <c r="D211" s="8"/>
      <c r="E211" s="8"/>
      <c r="F211" s="8"/>
      <c r="G211" s="8"/>
      <c r="H211" s="8"/>
      <c r="I211" s="8"/>
      <c r="J211" s="8"/>
      <c r="K211" s="8"/>
      <c r="L211" s="8"/>
    </row>
    <row r="212" customFormat="false" ht="15" hidden="false" customHeight="false" outlineLevel="0" collapsed="false">
      <c r="A212" s="8"/>
      <c r="B212" s="8"/>
      <c r="C212" s="8"/>
      <c r="D212" s="8"/>
      <c r="E212" s="8"/>
      <c r="F212" s="8"/>
      <c r="G212" s="8"/>
      <c r="H212" s="8"/>
      <c r="I212" s="8"/>
      <c r="J212" s="8"/>
      <c r="K212" s="8"/>
      <c r="L212" s="8"/>
    </row>
    <row r="213" customFormat="false" ht="15" hidden="false" customHeight="false" outlineLevel="0" collapsed="false">
      <c r="A213" s="8"/>
      <c r="B213" s="8"/>
      <c r="C213" s="8"/>
      <c r="D213" s="8"/>
      <c r="E213" s="8"/>
      <c r="F213" s="8"/>
      <c r="G213" s="8"/>
      <c r="H213" s="8"/>
      <c r="I213" s="8"/>
      <c r="J213" s="8"/>
      <c r="K213" s="8"/>
      <c r="L213" s="8"/>
    </row>
    <row r="214" customFormat="false" ht="15" hidden="false" customHeight="false" outlineLevel="0" collapsed="false">
      <c r="A214" s="8"/>
      <c r="B214" s="8"/>
      <c r="C214" s="8"/>
      <c r="D214" s="8"/>
      <c r="E214" s="8"/>
      <c r="F214" s="8"/>
      <c r="G214" s="8"/>
      <c r="H214" s="8"/>
      <c r="I214" s="8"/>
      <c r="J214" s="8"/>
      <c r="K214" s="8"/>
      <c r="L214" s="8"/>
    </row>
    <row r="215" customFormat="false" ht="15" hidden="false" customHeight="false" outlineLevel="0" collapsed="false">
      <c r="A215" s="8"/>
      <c r="B215" s="8"/>
      <c r="C215" s="8"/>
      <c r="D215" s="8"/>
      <c r="E215" s="8"/>
      <c r="F215" s="8"/>
      <c r="G215" s="8"/>
      <c r="H215" s="8"/>
      <c r="I215" s="8"/>
      <c r="J215" s="8"/>
      <c r="K215" s="8"/>
      <c r="L215" s="8"/>
    </row>
    <row r="216" customFormat="false" ht="15" hidden="false" customHeight="false" outlineLevel="0" collapsed="false">
      <c r="A216" s="8"/>
      <c r="B216" s="8"/>
      <c r="C216" s="8"/>
      <c r="D216" s="8"/>
      <c r="E216" s="8"/>
      <c r="F216" s="8"/>
      <c r="G216" s="8"/>
      <c r="H216" s="8"/>
      <c r="I216" s="8"/>
      <c r="J216" s="8"/>
      <c r="K216" s="8"/>
      <c r="L216" s="8"/>
    </row>
    <row r="217" customFormat="false" ht="15" hidden="false" customHeight="false" outlineLevel="0" collapsed="false">
      <c r="A217" s="8"/>
      <c r="B217" s="8"/>
      <c r="C217" s="8"/>
      <c r="D217" s="8"/>
      <c r="E217" s="8"/>
      <c r="F217" s="8"/>
      <c r="G217" s="8"/>
      <c r="H217" s="8"/>
      <c r="I217" s="8"/>
      <c r="J217" s="8"/>
      <c r="K217" s="8"/>
      <c r="L217" s="8"/>
    </row>
    <row r="218" customFormat="false" ht="15" hidden="false" customHeight="false" outlineLevel="0" collapsed="false">
      <c r="A218" s="8"/>
      <c r="B218" s="8"/>
      <c r="C218" s="8"/>
      <c r="D218" s="8"/>
      <c r="E218" s="8"/>
      <c r="F218" s="8"/>
      <c r="G218" s="8"/>
      <c r="H218" s="8"/>
      <c r="I218" s="8"/>
      <c r="J218" s="8"/>
      <c r="K218" s="8"/>
      <c r="L218" s="8"/>
    </row>
    <row r="219" customFormat="false" ht="15" hidden="false" customHeight="false" outlineLevel="0" collapsed="false">
      <c r="A219" s="8"/>
      <c r="B219" s="8"/>
      <c r="C219" s="8"/>
      <c r="D219" s="8"/>
      <c r="E219" s="8"/>
      <c r="F219" s="8"/>
      <c r="G219" s="8"/>
      <c r="H219" s="8"/>
      <c r="I219" s="8"/>
      <c r="J219" s="8"/>
      <c r="K219" s="8"/>
      <c r="L219" s="8"/>
    </row>
    <row r="220" customFormat="false" ht="15" hidden="false" customHeight="false" outlineLevel="0" collapsed="false">
      <c r="A220" s="8"/>
      <c r="B220" s="8"/>
      <c r="C220" s="8"/>
      <c r="D220" s="8"/>
      <c r="E220" s="8"/>
      <c r="F220" s="8"/>
      <c r="G220" s="8"/>
      <c r="H220" s="8"/>
      <c r="I220" s="8"/>
      <c r="J220" s="8"/>
      <c r="K220" s="8"/>
      <c r="L220" s="8"/>
    </row>
    <row r="221" customFormat="false" ht="15" hidden="false" customHeight="false" outlineLevel="0" collapsed="false">
      <c r="A221" s="8"/>
      <c r="B221" s="8"/>
      <c r="C221" s="8"/>
      <c r="D221" s="8"/>
      <c r="E221" s="8"/>
      <c r="F221" s="8"/>
      <c r="G221" s="8"/>
      <c r="H221" s="8"/>
      <c r="I221" s="8"/>
      <c r="J221" s="8"/>
      <c r="K221" s="8"/>
      <c r="L221" s="8"/>
    </row>
    <row r="222" customFormat="false" ht="15" hidden="false" customHeight="false" outlineLevel="0" collapsed="false">
      <c r="A222" s="8"/>
      <c r="B222" s="8"/>
      <c r="C222" s="8"/>
      <c r="D222" s="8"/>
      <c r="E222" s="8"/>
      <c r="F222" s="8"/>
      <c r="G222" s="8"/>
      <c r="H222" s="8"/>
      <c r="I222" s="8"/>
      <c r="J222" s="8"/>
      <c r="K222" s="8"/>
      <c r="L222" s="8"/>
    </row>
    <row r="223" customFormat="false" ht="15" hidden="false" customHeight="false" outlineLevel="0" collapsed="false">
      <c r="A223" s="8"/>
      <c r="B223" s="8"/>
      <c r="C223" s="8"/>
      <c r="D223" s="8"/>
      <c r="E223" s="8"/>
      <c r="F223" s="8"/>
      <c r="G223" s="8"/>
      <c r="H223" s="8"/>
      <c r="I223" s="8"/>
      <c r="J223" s="8"/>
      <c r="K223" s="8"/>
      <c r="L223" s="8"/>
    </row>
    <row r="224" customFormat="false" ht="15" hidden="false" customHeight="false" outlineLevel="0" collapsed="false">
      <c r="A224" s="8"/>
      <c r="B224" s="8"/>
      <c r="C224" s="8"/>
      <c r="D224" s="8"/>
      <c r="E224" s="8"/>
      <c r="F224" s="8"/>
      <c r="G224" s="8"/>
      <c r="H224" s="8"/>
      <c r="I224" s="8"/>
      <c r="J224" s="8"/>
      <c r="K224" s="8"/>
      <c r="L224" s="8"/>
    </row>
    <row r="225" customFormat="false" ht="15" hidden="false" customHeight="false" outlineLevel="0" collapsed="false">
      <c r="A225" s="8"/>
      <c r="B225" s="8"/>
      <c r="C225" s="8"/>
      <c r="D225" s="8"/>
      <c r="E225" s="8"/>
      <c r="F225" s="8"/>
      <c r="G225" s="8"/>
      <c r="H225" s="8"/>
      <c r="I225" s="8"/>
      <c r="J225" s="8"/>
      <c r="K225" s="8"/>
      <c r="L225" s="8"/>
    </row>
    <row r="226" customFormat="false" ht="15" hidden="false" customHeight="false" outlineLevel="0" collapsed="false">
      <c r="A226" s="8"/>
      <c r="B226" s="8"/>
      <c r="C226" s="8"/>
      <c r="D226" s="8"/>
      <c r="E226" s="8"/>
      <c r="F226" s="8"/>
      <c r="G226" s="8"/>
      <c r="H226" s="8"/>
      <c r="I226" s="8"/>
      <c r="J226" s="8"/>
      <c r="K226" s="8"/>
      <c r="L226" s="8"/>
    </row>
    <row r="227" customFormat="false" ht="15" hidden="false" customHeight="false" outlineLevel="0" collapsed="false">
      <c r="A227" s="8"/>
      <c r="B227" s="8"/>
      <c r="C227" s="8"/>
      <c r="D227" s="8"/>
      <c r="E227" s="8"/>
      <c r="F227" s="8"/>
      <c r="G227" s="8"/>
      <c r="H227" s="8"/>
      <c r="I227" s="8"/>
      <c r="J227" s="8"/>
      <c r="K227" s="8"/>
      <c r="L227" s="8"/>
    </row>
    <row r="228" customFormat="false" ht="15" hidden="false" customHeight="false" outlineLevel="0" collapsed="false">
      <c r="A228" s="8"/>
      <c r="B228" s="8"/>
      <c r="C228" s="8"/>
      <c r="D228" s="8"/>
      <c r="E228" s="8"/>
      <c r="F228" s="8"/>
      <c r="G228" s="8"/>
      <c r="H228" s="8"/>
      <c r="I228" s="8"/>
      <c r="J228" s="8"/>
      <c r="K228" s="8"/>
      <c r="L228" s="8"/>
    </row>
    <row r="229" customFormat="false" ht="15" hidden="false" customHeight="false" outlineLevel="0" collapsed="false">
      <c r="A229" s="8"/>
      <c r="B229" s="8"/>
      <c r="C229" s="8"/>
      <c r="D229" s="8"/>
      <c r="E229" s="8"/>
      <c r="F229" s="8"/>
      <c r="G229" s="8"/>
      <c r="H229" s="8"/>
      <c r="I229" s="8"/>
      <c r="J229" s="8"/>
      <c r="K229" s="8"/>
      <c r="L229" s="8"/>
    </row>
    <row r="230" customFormat="false" ht="15" hidden="false" customHeight="false" outlineLevel="0" collapsed="false">
      <c r="A230" s="8"/>
      <c r="B230" s="8"/>
      <c r="C230" s="8"/>
      <c r="D230" s="8"/>
      <c r="E230" s="8"/>
      <c r="F230" s="8"/>
      <c r="G230" s="8"/>
      <c r="H230" s="8"/>
      <c r="I230" s="8"/>
      <c r="J230" s="8"/>
      <c r="K230" s="8"/>
      <c r="L230" s="8"/>
    </row>
    <row r="231" customFormat="false" ht="15" hidden="false" customHeight="false" outlineLevel="0" collapsed="false">
      <c r="A231" s="8"/>
      <c r="B231" s="8"/>
      <c r="C231" s="8"/>
      <c r="D231" s="8"/>
      <c r="E231" s="8"/>
      <c r="F231" s="8"/>
      <c r="G231" s="8"/>
      <c r="H231" s="8"/>
      <c r="I231" s="8"/>
      <c r="J231" s="8"/>
      <c r="K231" s="8"/>
      <c r="L231" s="8"/>
    </row>
    <row r="232" customFormat="false" ht="15" hidden="false" customHeight="false" outlineLevel="0" collapsed="false">
      <c r="A232" s="8"/>
      <c r="B232" s="8"/>
      <c r="C232" s="8"/>
      <c r="D232" s="8"/>
      <c r="E232" s="8"/>
      <c r="F232" s="8"/>
      <c r="G232" s="8"/>
      <c r="H232" s="8"/>
      <c r="I232" s="8"/>
      <c r="J232" s="8"/>
      <c r="K232" s="8"/>
      <c r="L232" s="8"/>
    </row>
    <row r="233" customFormat="false" ht="15" hidden="false" customHeight="false" outlineLevel="0" collapsed="false">
      <c r="A233" s="8"/>
      <c r="B233" s="8"/>
      <c r="C233" s="8"/>
      <c r="D233" s="8"/>
      <c r="E233" s="8"/>
      <c r="F233" s="8"/>
      <c r="G233" s="8"/>
      <c r="H233" s="8"/>
      <c r="I233" s="8"/>
      <c r="J233" s="8"/>
      <c r="K233" s="8"/>
      <c r="L233" s="8"/>
    </row>
    <row r="234" customFormat="false" ht="15" hidden="false" customHeight="false" outlineLevel="0" collapsed="false">
      <c r="A234" s="8"/>
      <c r="B234" s="8"/>
      <c r="C234" s="8"/>
      <c r="D234" s="8"/>
      <c r="E234" s="8"/>
      <c r="F234" s="8"/>
      <c r="G234" s="8"/>
      <c r="H234" s="8"/>
      <c r="I234" s="8"/>
      <c r="J234" s="8"/>
      <c r="K234" s="8"/>
      <c r="L234" s="8"/>
    </row>
    <row r="235" customFormat="false" ht="15" hidden="false" customHeight="false" outlineLevel="0" collapsed="false">
      <c r="A235" s="8"/>
      <c r="B235" s="8"/>
      <c r="C235" s="8"/>
      <c r="D235" s="8"/>
      <c r="E235" s="8"/>
      <c r="F235" s="8"/>
      <c r="G235" s="8"/>
      <c r="H235" s="8"/>
      <c r="I235" s="8"/>
      <c r="J235" s="8"/>
      <c r="K235" s="8"/>
      <c r="L235" s="8"/>
    </row>
    <row r="236" customFormat="false" ht="15" hidden="false" customHeight="false" outlineLevel="0" collapsed="false">
      <c r="A236" s="8"/>
      <c r="B236" s="8"/>
      <c r="C236" s="8"/>
      <c r="D236" s="8"/>
      <c r="E236" s="8"/>
      <c r="F236" s="8"/>
      <c r="G236" s="8"/>
      <c r="H236" s="8"/>
      <c r="I236" s="8"/>
      <c r="J236" s="8"/>
      <c r="K236" s="8"/>
      <c r="L236" s="8"/>
    </row>
    <row r="237" customFormat="false" ht="15" hidden="false" customHeight="false" outlineLevel="0" collapsed="false">
      <c r="A237" s="8"/>
      <c r="B237" s="8"/>
      <c r="C237" s="8"/>
      <c r="D237" s="8"/>
      <c r="E237" s="8"/>
      <c r="F237" s="8"/>
      <c r="G237" s="8"/>
      <c r="H237" s="8"/>
      <c r="I237" s="8"/>
      <c r="J237" s="8"/>
      <c r="K237" s="8"/>
      <c r="L237" s="8"/>
    </row>
    <row r="238" customFormat="false" ht="15" hidden="false" customHeight="false" outlineLevel="0" collapsed="false">
      <c r="A238" s="8"/>
      <c r="B238" s="8"/>
      <c r="C238" s="8"/>
      <c r="D238" s="8"/>
      <c r="E238" s="8"/>
      <c r="F238" s="8"/>
      <c r="G238" s="8"/>
      <c r="H238" s="8"/>
      <c r="I238" s="8"/>
      <c r="J238" s="8"/>
      <c r="K238" s="8"/>
      <c r="L238" s="8"/>
    </row>
    <row r="239" customFormat="false" ht="15" hidden="false" customHeight="false" outlineLevel="0" collapsed="false">
      <c r="A239" s="8"/>
      <c r="B239" s="8"/>
      <c r="C239" s="8"/>
      <c r="D239" s="8"/>
      <c r="E239" s="8"/>
      <c r="F239" s="8"/>
      <c r="G239" s="8"/>
      <c r="H239" s="8"/>
      <c r="I239" s="8"/>
      <c r="J239" s="8"/>
      <c r="K239" s="8"/>
      <c r="L239" s="8"/>
    </row>
    <row r="240" customFormat="false" ht="15" hidden="false" customHeight="false" outlineLevel="0" collapsed="false">
      <c r="A240" s="8"/>
      <c r="B240" s="8"/>
      <c r="C240" s="8"/>
      <c r="D240" s="8"/>
      <c r="E240" s="8"/>
      <c r="F240" s="8"/>
      <c r="G240" s="8"/>
      <c r="H240" s="8"/>
      <c r="I240" s="8"/>
      <c r="J240" s="8"/>
      <c r="K240" s="8"/>
      <c r="L240" s="8"/>
    </row>
    <row r="241" customFormat="false" ht="15" hidden="false" customHeight="false" outlineLevel="0" collapsed="false">
      <c r="A241" s="8"/>
      <c r="B241" s="8"/>
      <c r="C241" s="8"/>
      <c r="D241" s="8"/>
      <c r="E241" s="8"/>
      <c r="F241" s="8"/>
      <c r="G241" s="8"/>
      <c r="H241" s="8"/>
      <c r="I241" s="8"/>
      <c r="J241" s="8"/>
      <c r="K241" s="8"/>
      <c r="L241" s="8"/>
    </row>
    <row r="242" customFormat="false" ht="15" hidden="false" customHeight="false" outlineLevel="0" collapsed="false">
      <c r="A242" s="8"/>
      <c r="B242" s="8"/>
      <c r="C242" s="8"/>
      <c r="D242" s="8"/>
      <c r="E242" s="8"/>
      <c r="F242" s="8"/>
      <c r="G242" s="8"/>
      <c r="H242" s="8"/>
      <c r="I242" s="8"/>
      <c r="J242" s="8"/>
      <c r="K242" s="8"/>
      <c r="L242" s="8"/>
    </row>
    <row r="243" customFormat="false" ht="15" hidden="false" customHeight="false" outlineLevel="0" collapsed="false">
      <c r="A243" s="8"/>
      <c r="B243" s="8"/>
      <c r="C243" s="8"/>
      <c r="D243" s="8"/>
      <c r="E243" s="8"/>
      <c r="F243" s="8"/>
      <c r="G243" s="8"/>
      <c r="H243" s="8"/>
      <c r="I243" s="8"/>
      <c r="J243" s="8"/>
      <c r="K243" s="8"/>
      <c r="L243" s="8"/>
    </row>
    <row r="244" customFormat="false" ht="15" hidden="false" customHeight="false" outlineLevel="0" collapsed="false">
      <c r="A244" s="8"/>
      <c r="B244" s="8"/>
      <c r="C244" s="8"/>
      <c r="D244" s="8"/>
      <c r="E244" s="8"/>
      <c r="F244" s="8"/>
      <c r="G244" s="8"/>
      <c r="H244" s="8"/>
      <c r="I244" s="8"/>
      <c r="J244" s="8"/>
      <c r="K244" s="8"/>
      <c r="L244" s="8"/>
    </row>
    <row r="245" customFormat="false" ht="15" hidden="false" customHeight="false" outlineLevel="0" collapsed="false">
      <c r="A245" s="8"/>
      <c r="B245" s="8"/>
      <c r="C245" s="8"/>
      <c r="D245" s="8"/>
      <c r="E245" s="8"/>
      <c r="F245" s="8"/>
      <c r="G245" s="8"/>
      <c r="H245" s="8"/>
      <c r="I245" s="8"/>
      <c r="J245" s="8"/>
      <c r="K245" s="8"/>
      <c r="L245" s="8"/>
    </row>
    <row r="246" customFormat="false" ht="15" hidden="false" customHeight="false" outlineLevel="0" collapsed="false">
      <c r="A246" s="8"/>
      <c r="B246" s="8"/>
      <c r="C246" s="8"/>
      <c r="D246" s="8"/>
      <c r="E246" s="8"/>
      <c r="F246" s="8"/>
      <c r="G246" s="8"/>
      <c r="H246" s="8"/>
      <c r="I246" s="8"/>
      <c r="J246" s="8"/>
      <c r="K246" s="8"/>
      <c r="L246" s="8"/>
    </row>
    <row r="247" customFormat="false" ht="15" hidden="false" customHeight="false" outlineLevel="0" collapsed="false">
      <c r="A247" s="8"/>
      <c r="B247" s="8"/>
      <c r="C247" s="8"/>
      <c r="D247" s="8"/>
      <c r="E247" s="8"/>
      <c r="F247" s="8"/>
      <c r="G247" s="8"/>
      <c r="H247" s="8"/>
      <c r="I247" s="8"/>
      <c r="J247" s="8"/>
      <c r="K247" s="8"/>
      <c r="L247" s="8"/>
    </row>
    <row r="248" customFormat="false" ht="15" hidden="false" customHeight="false" outlineLevel="0" collapsed="false">
      <c r="A248" s="8"/>
      <c r="B248" s="8"/>
      <c r="C248" s="8"/>
      <c r="D248" s="8"/>
      <c r="E248" s="8"/>
      <c r="F248" s="8"/>
      <c r="G248" s="8"/>
      <c r="H248" s="8"/>
      <c r="I248" s="8"/>
      <c r="J248" s="8"/>
      <c r="K248" s="8"/>
      <c r="L248" s="8"/>
    </row>
    <row r="249" customFormat="false" ht="15" hidden="false" customHeight="false" outlineLevel="0" collapsed="false">
      <c r="A249" s="8"/>
      <c r="B249" s="8"/>
      <c r="C249" s="8"/>
      <c r="D249" s="8"/>
      <c r="E249" s="8"/>
      <c r="F249" s="8"/>
      <c r="G249" s="8"/>
      <c r="H249" s="8"/>
      <c r="I249" s="8"/>
      <c r="J249" s="8"/>
      <c r="K249" s="8"/>
      <c r="L249" s="8"/>
    </row>
    <row r="250" customFormat="false" ht="15" hidden="false" customHeight="false" outlineLevel="0" collapsed="false">
      <c r="A250" s="8"/>
      <c r="B250" s="8"/>
      <c r="C250" s="8"/>
      <c r="D250" s="8"/>
      <c r="E250" s="8"/>
      <c r="F250" s="8"/>
      <c r="G250" s="8"/>
      <c r="H250" s="8"/>
      <c r="I250" s="8"/>
      <c r="J250" s="8"/>
      <c r="K250" s="8"/>
      <c r="L250" s="8"/>
    </row>
    <row r="251" customFormat="false" ht="15" hidden="false" customHeight="false" outlineLevel="0" collapsed="false">
      <c r="A251" s="8"/>
      <c r="B251" s="8"/>
      <c r="C251" s="8"/>
      <c r="D251" s="8"/>
      <c r="E251" s="8"/>
      <c r="F251" s="8"/>
      <c r="G251" s="8"/>
      <c r="H251" s="8"/>
      <c r="I251" s="8"/>
      <c r="J251" s="8"/>
      <c r="K251" s="8"/>
      <c r="L251" s="8"/>
    </row>
    <row r="252" customFormat="false" ht="15" hidden="false" customHeight="false" outlineLevel="0" collapsed="false">
      <c r="A252" s="8"/>
      <c r="B252" s="8"/>
      <c r="C252" s="8"/>
      <c r="D252" s="8"/>
      <c r="E252" s="8"/>
      <c r="F252" s="8"/>
      <c r="G252" s="8"/>
      <c r="H252" s="8"/>
      <c r="I252" s="8"/>
      <c r="J252" s="8"/>
      <c r="K252" s="8"/>
      <c r="L252" s="8"/>
    </row>
    <row r="253" customFormat="false" ht="15" hidden="false" customHeight="false" outlineLevel="0" collapsed="false">
      <c r="A253" s="8"/>
      <c r="B253" s="8"/>
      <c r="C253" s="8"/>
      <c r="D253" s="8"/>
      <c r="E253" s="8"/>
      <c r="F253" s="8"/>
      <c r="G253" s="8"/>
      <c r="H253" s="8"/>
      <c r="I253" s="8"/>
      <c r="J253" s="8"/>
      <c r="K253" s="8"/>
      <c r="L253" s="8"/>
    </row>
    <row r="254" customFormat="false" ht="15" hidden="false" customHeight="false" outlineLevel="0" collapsed="false">
      <c r="A254" s="8"/>
      <c r="B254" s="8"/>
      <c r="C254" s="8"/>
      <c r="D254" s="8"/>
      <c r="E254" s="8"/>
      <c r="F254" s="8"/>
      <c r="G254" s="8"/>
      <c r="H254" s="8"/>
      <c r="I254" s="8"/>
      <c r="J254" s="8"/>
      <c r="K254" s="8"/>
      <c r="L254" s="8"/>
    </row>
    <row r="255" customFormat="false" ht="15" hidden="false" customHeight="false" outlineLevel="0" collapsed="false">
      <c r="A255" s="8"/>
      <c r="B255" s="8"/>
      <c r="C255" s="8"/>
      <c r="D255" s="8"/>
      <c r="E255" s="8"/>
      <c r="F255" s="8"/>
      <c r="G255" s="8"/>
      <c r="H255" s="8"/>
      <c r="I255" s="8"/>
      <c r="J255" s="8"/>
      <c r="K255" s="8"/>
      <c r="L255" s="8"/>
    </row>
    <row r="256" customFormat="false" ht="15" hidden="false" customHeight="false" outlineLevel="0" collapsed="false">
      <c r="A256" s="8"/>
      <c r="B256" s="8"/>
      <c r="C256" s="8"/>
      <c r="D256" s="8"/>
      <c r="E256" s="8"/>
      <c r="F256" s="8"/>
      <c r="G256" s="8"/>
      <c r="H256" s="8"/>
      <c r="I256" s="8"/>
      <c r="J256" s="8"/>
      <c r="K256" s="8"/>
      <c r="L256" s="8"/>
    </row>
    <row r="257" customFormat="false" ht="15" hidden="false" customHeight="false" outlineLevel="0" collapsed="false">
      <c r="A257" s="8"/>
      <c r="B257" s="8"/>
      <c r="C257" s="8"/>
      <c r="D257" s="8"/>
      <c r="E257" s="8"/>
      <c r="F257" s="8"/>
      <c r="G257" s="8"/>
      <c r="H257" s="8"/>
      <c r="I257" s="8"/>
      <c r="J257" s="8"/>
      <c r="K257" s="8"/>
      <c r="L257" s="8"/>
    </row>
    <row r="258" customFormat="false" ht="15" hidden="false" customHeight="false" outlineLevel="0" collapsed="false">
      <c r="A258" s="8"/>
      <c r="B258" s="8"/>
      <c r="C258" s="8"/>
      <c r="D258" s="8"/>
      <c r="E258" s="8"/>
      <c r="F258" s="8"/>
      <c r="G258" s="8"/>
      <c r="H258" s="8"/>
      <c r="I258" s="8"/>
      <c r="J258" s="8"/>
      <c r="K258" s="8"/>
      <c r="L258" s="8"/>
    </row>
    <row r="259" customFormat="false" ht="15" hidden="false" customHeight="false" outlineLevel="0" collapsed="false">
      <c r="A259" s="8"/>
      <c r="B259" s="8"/>
      <c r="C259" s="8"/>
      <c r="D259" s="8"/>
      <c r="E259" s="8"/>
      <c r="F259" s="8"/>
      <c r="G259" s="8"/>
      <c r="H259" s="8"/>
      <c r="I259" s="8"/>
      <c r="J259" s="8"/>
      <c r="K259" s="8"/>
      <c r="L259" s="8"/>
    </row>
    <row r="260" customFormat="false" ht="15" hidden="false" customHeight="false" outlineLevel="0" collapsed="false">
      <c r="A260" s="8"/>
      <c r="B260" s="8"/>
      <c r="C260" s="8"/>
      <c r="D260" s="8"/>
      <c r="E260" s="8"/>
      <c r="F260" s="8"/>
      <c r="G260" s="8"/>
      <c r="H260" s="8"/>
      <c r="I260" s="8"/>
      <c r="J260" s="8"/>
      <c r="K260" s="8"/>
      <c r="L260" s="8"/>
    </row>
    <row r="261" customFormat="false" ht="15" hidden="false" customHeight="false" outlineLevel="0" collapsed="false">
      <c r="A261" s="8"/>
      <c r="B261" s="8"/>
      <c r="C261" s="8"/>
      <c r="D261" s="8"/>
      <c r="E261" s="8"/>
      <c r="F261" s="8"/>
      <c r="G261" s="8"/>
      <c r="H261" s="8"/>
      <c r="I261" s="8"/>
      <c r="J261" s="8"/>
      <c r="K261" s="8"/>
      <c r="L261" s="8"/>
    </row>
    <row r="262" customFormat="false" ht="15" hidden="false" customHeight="false" outlineLevel="0" collapsed="false">
      <c r="A262" s="8"/>
      <c r="B262" s="8"/>
      <c r="C262" s="8"/>
      <c r="D262" s="8"/>
      <c r="E262" s="8"/>
      <c r="F262" s="8"/>
      <c r="G262" s="8"/>
      <c r="H262" s="8"/>
      <c r="I262" s="8"/>
      <c r="J262" s="8"/>
      <c r="K262" s="8"/>
      <c r="L262" s="8"/>
    </row>
    <row r="263" customFormat="false" ht="15" hidden="false" customHeight="false" outlineLevel="0" collapsed="false">
      <c r="A263" s="8"/>
      <c r="B263" s="8"/>
      <c r="C263" s="8"/>
      <c r="D263" s="8"/>
      <c r="E263" s="8"/>
      <c r="F263" s="8"/>
      <c r="G263" s="8"/>
      <c r="H263" s="8"/>
      <c r="I263" s="8"/>
      <c r="J263" s="8"/>
      <c r="K263" s="8"/>
      <c r="L263" s="8"/>
    </row>
    <row r="264" customFormat="false" ht="15" hidden="false" customHeight="false" outlineLevel="0" collapsed="false">
      <c r="A264" s="8"/>
      <c r="B264" s="8"/>
      <c r="C264" s="8"/>
      <c r="D264" s="8"/>
      <c r="E264" s="8"/>
      <c r="F264" s="8"/>
      <c r="G264" s="8"/>
      <c r="H264" s="8"/>
      <c r="I264" s="8"/>
      <c r="J264" s="8"/>
      <c r="K264" s="8"/>
      <c r="L264" s="8"/>
    </row>
    <row r="265" customFormat="false" ht="15" hidden="false" customHeight="false" outlineLevel="0" collapsed="false">
      <c r="A265" s="8"/>
      <c r="B265" s="8"/>
      <c r="C265" s="8"/>
      <c r="D265" s="8"/>
      <c r="E265" s="8"/>
      <c r="F265" s="8"/>
      <c r="G265" s="8"/>
      <c r="H265" s="8"/>
      <c r="I265" s="8"/>
      <c r="J265" s="8"/>
      <c r="K265" s="8"/>
      <c r="L265" s="8"/>
    </row>
    <row r="266" customFormat="false" ht="15" hidden="false" customHeight="false" outlineLevel="0" collapsed="false">
      <c r="A266" s="8"/>
      <c r="B266" s="8"/>
      <c r="C266" s="8"/>
      <c r="D266" s="8"/>
      <c r="E266" s="8"/>
      <c r="F266" s="8"/>
      <c r="G266" s="8"/>
      <c r="H266" s="8"/>
      <c r="I266" s="8"/>
      <c r="J266" s="8"/>
      <c r="K266" s="8"/>
      <c r="L266" s="8"/>
    </row>
    <row r="267" customFormat="false" ht="15" hidden="false" customHeight="false" outlineLevel="0" collapsed="false">
      <c r="A267" s="8"/>
      <c r="B267" s="8"/>
      <c r="C267" s="8"/>
      <c r="D267" s="8"/>
      <c r="E267" s="8"/>
      <c r="F267" s="8"/>
      <c r="G267" s="8"/>
      <c r="H267" s="8"/>
      <c r="I267" s="8"/>
      <c r="J267" s="8"/>
      <c r="K267" s="8"/>
      <c r="L267" s="8"/>
    </row>
    <row r="268" customFormat="false" ht="15" hidden="false" customHeight="false" outlineLevel="0" collapsed="false">
      <c r="A268" s="8"/>
      <c r="B268" s="8"/>
      <c r="C268" s="8"/>
      <c r="D268" s="8"/>
      <c r="E268" s="8"/>
      <c r="F268" s="8"/>
      <c r="G268" s="8"/>
      <c r="H268" s="8"/>
      <c r="I268" s="8"/>
      <c r="J268" s="8"/>
      <c r="K268" s="8"/>
      <c r="L268" s="8"/>
    </row>
    <row r="269" customFormat="false" ht="15" hidden="false" customHeight="false" outlineLevel="0" collapsed="false">
      <c r="A269" s="8"/>
      <c r="B269" s="8"/>
      <c r="C269" s="8"/>
      <c r="D269" s="8"/>
      <c r="E269" s="8"/>
      <c r="F269" s="8"/>
      <c r="G269" s="8"/>
      <c r="H269" s="8"/>
      <c r="I269" s="8"/>
      <c r="J269" s="8"/>
      <c r="K269" s="8"/>
      <c r="L269" s="8"/>
    </row>
    <row r="270" customFormat="false" ht="15" hidden="false" customHeight="false" outlineLevel="0" collapsed="false">
      <c r="A270" s="8"/>
      <c r="B270" s="8"/>
      <c r="C270" s="8"/>
      <c r="D270" s="8"/>
      <c r="E270" s="8"/>
      <c r="F270" s="8"/>
      <c r="G270" s="8"/>
      <c r="H270" s="8"/>
      <c r="I270" s="8"/>
      <c r="J270" s="8"/>
      <c r="K270" s="8"/>
      <c r="L270" s="8"/>
    </row>
    <row r="271" customFormat="false" ht="15" hidden="false" customHeight="false" outlineLevel="0" collapsed="false">
      <c r="A271" s="8"/>
      <c r="B271" s="8"/>
      <c r="C271" s="8"/>
      <c r="D271" s="8"/>
      <c r="E271" s="8"/>
      <c r="F271" s="8"/>
      <c r="G271" s="8"/>
      <c r="H271" s="8"/>
      <c r="I271" s="8"/>
      <c r="J271" s="8"/>
      <c r="K271" s="8"/>
      <c r="L271" s="8"/>
    </row>
    <row r="272" customFormat="false" ht="15" hidden="false" customHeight="false" outlineLevel="0" collapsed="false">
      <c r="A272" s="8"/>
      <c r="B272" s="8"/>
      <c r="C272" s="8"/>
      <c r="D272" s="8"/>
      <c r="E272" s="8"/>
      <c r="F272" s="8"/>
      <c r="G272" s="8"/>
      <c r="H272" s="8"/>
      <c r="I272" s="8"/>
      <c r="J272" s="8"/>
      <c r="K272" s="8"/>
      <c r="L272" s="8"/>
    </row>
    <row r="273" customFormat="false" ht="15" hidden="false" customHeight="false" outlineLevel="0" collapsed="false">
      <c r="A273" s="8"/>
      <c r="B273" s="8"/>
      <c r="C273" s="8"/>
      <c r="D273" s="8"/>
      <c r="E273" s="8"/>
      <c r="F273" s="8"/>
      <c r="G273" s="8"/>
      <c r="H273" s="8"/>
      <c r="I273" s="8"/>
      <c r="J273" s="8"/>
      <c r="K273" s="8"/>
      <c r="L273" s="8"/>
    </row>
    <row r="274" customFormat="false" ht="15" hidden="false" customHeight="false" outlineLevel="0" collapsed="false">
      <c r="A274" s="8"/>
      <c r="B274" s="8"/>
      <c r="C274" s="8"/>
      <c r="D274" s="8"/>
      <c r="E274" s="8"/>
      <c r="F274" s="8"/>
      <c r="G274" s="8"/>
      <c r="H274" s="8"/>
      <c r="I274" s="8"/>
      <c r="J274" s="8"/>
      <c r="K274" s="8"/>
      <c r="L274" s="8"/>
    </row>
    <row r="275" customFormat="false" ht="15" hidden="false" customHeight="false" outlineLevel="0" collapsed="false">
      <c r="A275" s="8"/>
      <c r="B275" s="8"/>
      <c r="C275" s="8"/>
      <c r="D275" s="8"/>
      <c r="E275" s="8"/>
      <c r="F275" s="8"/>
      <c r="G275" s="8"/>
      <c r="H275" s="8"/>
      <c r="I275" s="8"/>
      <c r="J275" s="8"/>
      <c r="K275" s="8"/>
      <c r="L275" s="8"/>
    </row>
    <row r="276" customFormat="false" ht="15" hidden="false" customHeight="false" outlineLevel="0" collapsed="false">
      <c r="A276" s="8"/>
      <c r="B276" s="8"/>
      <c r="C276" s="8"/>
      <c r="D276" s="8"/>
      <c r="E276" s="8"/>
      <c r="F276" s="8"/>
      <c r="G276" s="8"/>
      <c r="H276" s="8"/>
      <c r="I276" s="8"/>
      <c r="J276" s="8"/>
      <c r="K276" s="8"/>
      <c r="L276" s="8"/>
    </row>
    <row r="277" customFormat="false" ht="15" hidden="false" customHeight="false" outlineLevel="0" collapsed="false">
      <c r="A277" s="8"/>
      <c r="B277" s="8"/>
      <c r="C277" s="8"/>
      <c r="D277" s="8"/>
      <c r="E277" s="8"/>
      <c r="F277" s="8"/>
      <c r="G277" s="8"/>
      <c r="H277" s="8"/>
      <c r="I277" s="8"/>
      <c r="J277" s="8"/>
      <c r="K277" s="8"/>
      <c r="L277" s="8"/>
    </row>
    <row r="278" customFormat="false" ht="15" hidden="false" customHeight="false" outlineLevel="0" collapsed="false">
      <c r="A278" s="8"/>
      <c r="B278" s="8"/>
      <c r="C278" s="8"/>
      <c r="D278" s="8"/>
      <c r="E278" s="8"/>
      <c r="F278" s="8"/>
      <c r="G278" s="8"/>
      <c r="H278" s="8"/>
      <c r="I278" s="8"/>
      <c r="J278" s="8"/>
      <c r="K278" s="8"/>
      <c r="L278" s="8"/>
    </row>
    <row r="279" customFormat="false" ht="15" hidden="false" customHeight="false" outlineLevel="0" collapsed="false">
      <c r="A279" s="8"/>
      <c r="B279" s="8"/>
      <c r="C279" s="8"/>
      <c r="D279" s="8"/>
      <c r="E279" s="8"/>
      <c r="F279" s="8"/>
      <c r="G279" s="8"/>
      <c r="H279" s="8"/>
      <c r="I279" s="8"/>
      <c r="J279" s="8"/>
      <c r="K279" s="8"/>
      <c r="L279" s="8"/>
    </row>
    <row r="280" customFormat="false" ht="15" hidden="false" customHeight="false" outlineLevel="0" collapsed="false">
      <c r="A280" s="8"/>
      <c r="B280" s="8"/>
      <c r="C280" s="8"/>
      <c r="D280" s="8"/>
      <c r="E280" s="8"/>
      <c r="F280" s="8"/>
      <c r="G280" s="8"/>
      <c r="H280" s="8"/>
      <c r="I280" s="8"/>
      <c r="J280" s="8"/>
      <c r="K280" s="8"/>
      <c r="L280" s="8"/>
    </row>
    <row r="281" customFormat="false" ht="15" hidden="false" customHeight="false" outlineLevel="0" collapsed="false">
      <c r="A281" s="8"/>
      <c r="B281" s="8"/>
      <c r="C281" s="8"/>
      <c r="D281" s="8"/>
      <c r="E281" s="8"/>
      <c r="F281" s="8"/>
      <c r="G281" s="8"/>
      <c r="H281" s="8"/>
      <c r="I281" s="8"/>
      <c r="J281" s="8"/>
      <c r="K281" s="8"/>
      <c r="L281" s="8"/>
    </row>
    <row r="282" customFormat="false" ht="15" hidden="false" customHeight="false" outlineLevel="0" collapsed="false">
      <c r="A282" s="8"/>
      <c r="B282" s="8"/>
      <c r="C282" s="8"/>
      <c r="D282" s="8"/>
      <c r="E282" s="8"/>
      <c r="F282" s="8"/>
      <c r="G282" s="8"/>
      <c r="H282" s="8"/>
      <c r="I282" s="8"/>
      <c r="J282" s="8"/>
      <c r="K282" s="8"/>
      <c r="L282" s="8"/>
    </row>
    <row r="283" customFormat="false" ht="15" hidden="false" customHeight="false" outlineLevel="0" collapsed="false">
      <c r="A283" s="8"/>
      <c r="B283" s="8"/>
      <c r="C283" s="8"/>
      <c r="D283" s="8"/>
      <c r="E283" s="8"/>
      <c r="F283" s="8"/>
      <c r="G283" s="8"/>
      <c r="H283" s="8"/>
      <c r="I283" s="8"/>
      <c r="J283" s="8"/>
      <c r="K283" s="8"/>
      <c r="L283" s="8"/>
    </row>
    <row r="284" customFormat="false" ht="15" hidden="false" customHeight="false" outlineLevel="0" collapsed="false">
      <c r="A284" s="8"/>
      <c r="B284" s="8"/>
      <c r="C284" s="8"/>
      <c r="D284" s="8"/>
      <c r="E284" s="8"/>
      <c r="F284" s="8"/>
      <c r="G284" s="8"/>
      <c r="H284" s="8"/>
      <c r="I284" s="8"/>
      <c r="J284" s="8"/>
      <c r="K284" s="8"/>
      <c r="L284" s="8"/>
    </row>
    <row r="285" customFormat="false" ht="15" hidden="false" customHeight="false" outlineLevel="0" collapsed="false">
      <c r="A285" s="8"/>
      <c r="B285" s="8"/>
      <c r="C285" s="8"/>
      <c r="D285" s="8"/>
      <c r="E285" s="8"/>
      <c r="F285" s="8"/>
      <c r="G285" s="8"/>
      <c r="H285" s="8"/>
      <c r="I285" s="8"/>
      <c r="J285" s="8"/>
      <c r="K285" s="8"/>
      <c r="L285" s="8"/>
    </row>
    <row r="286" customFormat="false" ht="15" hidden="false" customHeight="false" outlineLevel="0" collapsed="false">
      <c r="A286" s="8"/>
      <c r="B286" s="8"/>
      <c r="C286" s="8"/>
      <c r="D286" s="8"/>
      <c r="E286" s="8"/>
      <c r="F286" s="8"/>
      <c r="G286" s="8"/>
      <c r="H286" s="8"/>
      <c r="I286" s="8"/>
      <c r="J286" s="8"/>
      <c r="K286" s="8"/>
      <c r="L286" s="8"/>
    </row>
    <row r="287" customFormat="false" ht="15" hidden="false" customHeight="false" outlineLevel="0" collapsed="false">
      <c r="A287" s="8"/>
      <c r="B287" s="8"/>
      <c r="C287" s="8"/>
      <c r="D287" s="8"/>
      <c r="E287" s="8"/>
      <c r="F287" s="8"/>
      <c r="G287" s="8"/>
      <c r="H287" s="8"/>
      <c r="I287" s="8"/>
      <c r="J287" s="8"/>
      <c r="K287" s="8"/>
      <c r="L287" s="8"/>
    </row>
    <row r="288" customFormat="false" ht="15" hidden="false" customHeight="false" outlineLevel="0" collapsed="false">
      <c r="A288" s="8"/>
      <c r="B288" s="8"/>
      <c r="C288" s="8"/>
      <c r="D288" s="8"/>
      <c r="E288" s="8"/>
      <c r="F288" s="8"/>
      <c r="G288" s="8"/>
      <c r="H288" s="8"/>
      <c r="I288" s="8"/>
      <c r="J288" s="8"/>
      <c r="K288" s="8"/>
      <c r="L288" s="8"/>
    </row>
    <row r="289" customFormat="false" ht="15" hidden="false" customHeight="false" outlineLevel="0" collapsed="false">
      <c r="A289" s="8"/>
      <c r="B289" s="8"/>
      <c r="C289" s="8"/>
      <c r="D289" s="8"/>
      <c r="E289" s="8"/>
      <c r="F289" s="8"/>
      <c r="G289" s="8"/>
      <c r="H289" s="8"/>
      <c r="I289" s="8"/>
      <c r="J289" s="8"/>
      <c r="K289" s="8"/>
      <c r="L289" s="8"/>
    </row>
    <row r="290" customFormat="false" ht="15" hidden="false" customHeight="false" outlineLevel="0" collapsed="false">
      <c r="A290" s="8"/>
      <c r="B290" s="8"/>
      <c r="C290" s="8"/>
      <c r="D290" s="8"/>
      <c r="E290" s="8"/>
      <c r="F290" s="8"/>
      <c r="G290" s="8"/>
      <c r="H290" s="8"/>
      <c r="I290" s="8"/>
      <c r="J290" s="8"/>
      <c r="K290" s="8"/>
      <c r="L290" s="8"/>
    </row>
    <row r="291" customFormat="false" ht="15" hidden="false" customHeight="false" outlineLevel="0" collapsed="false">
      <c r="A291" s="8"/>
      <c r="B291" s="8"/>
      <c r="C291" s="8"/>
      <c r="D291" s="8"/>
      <c r="E291" s="8"/>
      <c r="F291" s="8"/>
      <c r="G291" s="8"/>
      <c r="H291" s="8"/>
      <c r="I291" s="8"/>
      <c r="J291" s="8"/>
      <c r="K291" s="8"/>
      <c r="L291" s="8"/>
    </row>
    <row r="292" customFormat="false" ht="15" hidden="false" customHeight="false" outlineLevel="0" collapsed="false">
      <c r="A292" s="8"/>
      <c r="B292" s="8"/>
      <c r="C292" s="8"/>
      <c r="D292" s="8"/>
      <c r="E292" s="8"/>
      <c r="F292" s="8"/>
      <c r="G292" s="8"/>
      <c r="H292" s="8"/>
      <c r="I292" s="8"/>
      <c r="J292" s="8"/>
      <c r="K292" s="8"/>
      <c r="L292" s="8"/>
    </row>
    <row r="293" customFormat="false" ht="15" hidden="false" customHeight="false" outlineLevel="0" collapsed="false">
      <c r="A293" s="8"/>
      <c r="B293" s="8"/>
      <c r="C293" s="8"/>
      <c r="D293" s="8"/>
      <c r="E293" s="8"/>
      <c r="F293" s="8"/>
      <c r="G293" s="8"/>
      <c r="H293" s="8"/>
      <c r="I293" s="8"/>
      <c r="J293" s="8"/>
      <c r="K293" s="8"/>
      <c r="L293" s="8"/>
    </row>
    <row r="294" customFormat="false" ht="15" hidden="false" customHeight="false" outlineLevel="0" collapsed="false">
      <c r="A294" s="8"/>
      <c r="B294" s="8"/>
      <c r="C294" s="8"/>
      <c r="D294" s="8"/>
      <c r="E294" s="8"/>
      <c r="F294" s="8"/>
      <c r="G294" s="8"/>
      <c r="H294" s="8"/>
      <c r="I294" s="8"/>
      <c r="J294" s="8"/>
      <c r="K294" s="8"/>
      <c r="L294" s="8"/>
    </row>
    <row r="295" customFormat="false" ht="15" hidden="false" customHeight="false" outlineLevel="0" collapsed="false">
      <c r="A295" s="8"/>
      <c r="B295" s="8"/>
      <c r="C295" s="8"/>
      <c r="D295" s="8"/>
      <c r="E295" s="8"/>
      <c r="F295" s="8"/>
      <c r="G295" s="8"/>
      <c r="H295" s="8"/>
      <c r="I295" s="8"/>
      <c r="J295" s="8"/>
      <c r="K295" s="8"/>
      <c r="L295" s="8"/>
    </row>
    <row r="296" customFormat="false" ht="15" hidden="false" customHeight="false" outlineLevel="0" collapsed="false">
      <c r="A296" s="8"/>
      <c r="B296" s="8"/>
      <c r="C296" s="8"/>
      <c r="D296" s="8"/>
      <c r="E296" s="8"/>
      <c r="F296" s="8"/>
      <c r="G296" s="8"/>
      <c r="H296" s="8"/>
      <c r="I296" s="8"/>
      <c r="J296" s="8"/>
      <c r="K296" s="8"/>
      <c r="L296" s="8"/>
    </row>
    <row r="297" customFormat="false" ht="15" hidden="false" customHeight="false" outlineLevel="0" collapsed="false">
      <c r="A297" s="8"/>
      <c r="B297" s="8"/>
      <c r="C297" s="8"/>
      <c r="D297" s="8"/>
      <c r="E297" s="8"/>
      <c r="F297" s="8"/>
      <c r="G297" s="8"/>
      <c r="H297" s="8"/>
      <c r="I297" s="8"/>
      <c r="J297" s="8"/>
      <c r="K297" s="8"/>
      <c r="L297" s="8"/>
    </row>
    <row r="298" customFormat="false" ht="15" hidden="false" customHeight="false" outlineLevel="0" collapsed="false">
      <c r="A298" s="8"/>
      <c r="B298" s="8"/>
      <c r="C298" s="8"/>
      <c r="D298" s="8"/>
      <c r="E298" s="8"/>
      <c r="F298" s="8"/>
      <c r="G298" s="8"/>
      <c r="H298" s="8"/>
      <c r="I298" s="8"/>
      <c r="J298" s="8"/>
      <c r="K298" s="8"/>
      <c r="L298" s="8"/>
    </row>
    <row r="299" customFormat="false" ht="15" hidden="false" customHeight="false" outlineLevel="0" collapsed="false">
      <c r="A299" s="8"/>
      <c r="B299" s="8"/>
      <c r="C299" s="8"/>
      <c r="D299" s="8"/>
      <c r="E299" s="8"/>
      <c r="F299" s="8"/>
      <c r="G299" s="8"/>
      <c r="H299" s="8"/>
      <c r="I299" s="8"/>
      <c r="J299" s="8"/>
      <c r="K299" s="8"/>
      <c r="L299" s="8"/>
    </row>
    <row r="300" customFormat="false" ht="15" hidden="false" customHeight="false" outlineLevel="0" collapsed="false">
      <c r="A300" s="8"/>
      <c r="B300" s="8"/>
      <c r="C300" s="8"/>
      <c r="D300" s="8"/>
      <c r="E300" s="8"/>
      <c r="F300" s="8"/>
      <c r="G300" s="8"/>
      <c r="H300" s="8"/>
      <c r="I300" s="8"/>
      <c r="J300" s="8"/>
      <c r="K300" s="8"/>
      <c r="L300" s="8"/>
    </row>
  </sheetData>
  <autoFilter ref="A1:L300"/>
  <dataValidations count="1">
    <dataValidation allowBlank="true" error="Choose a value from the Status list (Lists sheet), or leave blank." errorStyle="stop" errorTitle="Not on the list" operator="between" showDropDown="false" showErrorMessage="true" showInputMessage="false" sqref="K2:K300" type="list">
      <formula1>Lists!$E$2:$E$6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90"/>
    <col collapsed="false" customWidth="true" hidden="false" outlineLevel="0" max="4" min="4" style="0" width="10"/>
    <col collapsed="false" customWidth="true" hidden="false" outlineLevel="0" max="5" min="5" style="0" width="30"/>
  </cols>
  <sheetData>
    <row r="1" customFormat="false" ht="31.5" hidden="false" customHeight="true" outlineLevel="0" collapsed="false">
      <c r="A1" s="7" t="s">
        <v>88</v>
      </c>
      <c r="B1" s="7" t="s">
        <v>10587</v>
      </c>
      <c r="C1" s="7" t="s">
        <v>10588</v>
      </c>
      <c r="D1" s="7" t="s">
        <v>5</v>
      </c>
      <c r="E1" s="7" t="s">
        <v>97</v>
      </c>
    </row>
    <row r="2" customFormat="false" ht="109.5" hidden="false" customHeight="true" outlineLevel="0" collapsed="false">
      <c r="A2" s="4" t="s">
        <v>10589</v>
      </c>
      <c r="B2" s="8" t="s">
        <v>8161</v>
      </c>
      <c r="C2" s="8" t="s">
        <v>10590</v>
      </c>
      <c r="D2" s="8" t="s">
        <v>62</v>
      </c>
      <c r="E2" s="8"/>
    </row>
    <row r="3" customFormat="false" ht="109.5" hidden="false" customHeight="true" outlineLevel="0" collapsed="false">
      <c r="A3" s="4" t="s">
        <v>10591</v>
      </c>
      <c r="B3" s="8" t="s">
        <v>10592</v>
      </c>
      <c r="C3" s="8" t="s">
        <v>10593</v>
      </c>
      <c r="D3" s="8" t="s">
        <v>62</v>
      </c>
      <c r="E3" s="8"/>
    </row>
    <row r="4" customFormat="false" ht="109.5" hidden="false" customHeight="true" outlineLevel="0" collapsed="false">
      <c r="A4" s="4" t="s">
        <v>10594</v>
      </c>
      <c r="B4" s="8" t="s">
        <v>10595</v>
      </c>
      <c r="C4" s="8" t="s">
        <v>10596</v>
      </c>
      <c r="D4" s="8" t="s">
        <v>62</v>
      </c>
      <c r="E4" s="8"/>
    </row>
    <row r="5" customFormat="false" ht="109.5" hidden="false" customHeight="true" outlineLevel="0" collapsed="false">
      <c r="A5" s="4" t="s">
        <v>10597</v>
      </c>
      <c r="B5" s="8" t="s">
        <v>10598</v>
      </c>
      <c r="C5" s="8" t="s">
        <v>10599</v>
      </c>
      <c r="D5" s="8" t="s">
        <v>62</v>
      </c>
      <c r="E5" s="8"/>
    </row>
    <row r="6" customFormat="false" ht="109.5" hidden="false" customHeight="true" outlineLevel="0" collapsed="false">
      <c r="A6" s="4" t="s">
        <v>10600</v>
      </c>
      <c r="B6" s="8" t="s">
        <v>7095</v>
      </c>
      <c r="C6" s="8" t="s">
        <v>10601</v>
      </c>
      <c r="D6" s="8" t="s">
        <v>62</v>
      </c>
      <c r="E6" s="8"/>
    </row>
    <row r="7" customFormat="false" ht="109.5" hidden="false" customHeight="true" outlineLevel="0" collapsed="false">
      <c r="A7" s="4" t="s">
        <v>10602</v>
      </c>
      <c r="B7" s="8" t="s">
        <v>8067</v>
      </c>
      <c r="C7" s="8" t="s">
        <v>10603</v>
      </c>
      <c r="D7" s="8" t="s">
        <v>62</v>
      </c>
      <c r="E7" s="8"/>
    </row>
    <row r="8" customFormat="false" ht="109.5" hidden="false" customHeight="true" outlineLevel="0" collapsed="false">
      <c r="A8" s="4" t="s">
        <v>10604</v>
      </c>
      <c r="B8" s="8" t="s">
        <v>10605</v>
      </c>
      <c r="C8" s="8" t="s">
        <v>10606</v>
      </c>
      <c r="D8" s="8" t="s">
        <v>62</v>
      </c>
      <c r="E8" s="8"/>
    </row>
    <row r="9" customFormat="false" ht="109.5" hidden="false" customHeight="true" outlineLevel="0" collapsed="false">
      <c r="A9" s="4" t="s">
        <v>10607</v>
      </c>
      <c r="B9" s="8" t="s">
        <v>11</v>
      </c>
      <c r="C9" s="8" t="s">
        <v>10608</v>
      </c>
      <c r="D9" s="8" t="s">
        <v>62</v>
      </c>
      <c r="E9" s="8"/>
    </row>
    <row r="10" customFormat="false" ht="109.5" hidden="false" customHeight="true" outlineLevel="0" collapsed="false">
      <c r="A10" s="4" t="s">
        <v>10609</v>
      </c>
      <c r="B10" s="8" t="s">
        <v>8175</v>
      </c>
      <c r="C10" s="8" t="s">
        <v>10610</v>
      </c>
      <c r="D10" s="8" t="s">
        <v>62</v>
      </c>
      <c r="E10" s="8"/>
    </row>
    <row r="11" customFormat="false" ht="15" hidden="false" customHeight="false" outlineLevel="0" collapsed="false">
      <c r="A11" s="4"/>
      <c r="B11" s="8"/>
      <c r="C11" s="8"/>
      <c r="D11" s="8"/>
      <c r="E11" s="8"/>
    </row>
    <row r="12" customFormat="false" ht="15" hidden="false" customHeight="false" outlineLevel="0" collapsed="false">
      <c r="A12" s="4"/>
      <c r="B12" s="8"/>
      <c r="C12" s="8"/>
      <c r="D12" s="8"/>
      <c r="E12" s="8"/>
    </row>
    <row r="13" customFormat="false" ht="15" hidden="false" customHeight="false" outlineLevel="0" collapsed="false">
      <c r="A13" s="4"/>
      <c r="B13" s="8"/>
      <c r="C13" s="8"/>
      <c r="D13" s="8"/>
      <c r="E13" s="8"/>
    </row>
    <row r="14" customFormat="false" ht="15" hidden="false" customHeight="false" outlineLevel="0" collapsed="false">
      <c r="A14" s="4"/>
      <c r="B14" s="8"/>
      <c r="C14" s="8"/>
      <c r="D14" s="8"/>
      <c r="E14" s="8"/>
    </row>
    <row r="15" customFormat="false" ht="15" hidden="false" customHeight="false" outlineLevel="0" collapsed="false">
      <c r="A15" s="4"/>
      <c r="B15" s="8"/>
      <c r="C15" s="8"/>
      <c r="D15" s="8"/>
      <c r="E15" s="8"/>
    </row>
    <row r="16" customFormat="false" ht="15" hidden="false" customHeight="false" outlineLevel="0" collapsed="false">
      <c r="A16" s="4"/>
      <c r="B16" s="8"/>
      <c r="C16" s="8"/>
      <c r="D16" s="8"/>
      <c r="E16" s="8"/>
    </row>
    <row r="17" customFormat="false" ht="15" hidden="false" customHeight="false" outlineLevel="0" collapsed="false">
      <c r="A17" s="4"/>
      <c r="B17" s="8"/>
      <c r="C17" s="8"/>
      <c r="D17" s="8"/>
      <c r="E17" s="8"/>
    </row>
    <row r="18" customFormat="false" ht="15" hidden="false" customHeight="false" outlineLevel="0" collapsed="false">
      <c r="A18" s="4"/>
      <c r="B18" s="8"/>
      <c r="C18" s="8"/>
      <c r="D18" s="8"/>
      <c r="E18" s="8"/>
    </row>
    <row r="19" customFormat="false" ht="15" hidden="false" customHeight="false" outlineLevel="0" collapsed="false">
      <c r="A19" s="4"/>
      <c r="B19" s="8"/>
      <c r="C19" s="8"/>
      <c r="D19" s="8"/>
      <c r="E19" s="8"/>
    </row>
    <row r="20" customFormat="false" ht="15" hidden="false" customHeight="false" outlineLevel="0" collapsed="false">
      <c r="A20" s="4"/>
      <c r="B20" s="8"/>
      <c r="C20" s="8"/>
      <c r="D20" s="8"/>
      <c r="E20" s="8"/>
    </row>
    <row r="21" customFormat="false" ht="15" hidden="false" customHeight="false" outlineLevel="0" collapsed="false">
      <c r="A21" s="4"/>
      <c r="B21" s="8"/>
      <c r="C21" s="8"/>
      <c r="D21" s="8"/>
      <c r="E21" s="8"/>
    </row>
    <row r="22" customFormat="false" ht="15" hidden="false" customHeight="false" outlineLevel="0" collapsed="false">
      <c r="A22" s="4"/>
      <c r="B22" s="8"/>
      <c r="C22" s="8"/>
      <c r="D22" s="8"/>
      <c r="E22" s="8"/>
    </row>
    <row r="23" customFormat="false" ht="15" hidden="false" customHeight="false" outlineLevel="0" collapsed="false">
      <c r="A23" s="4"/>
      <c r="B23" s="8"/>
      <c r="C23" s="8"/>
      <c r="D23" s="8"/>
      <c r="E23" s="8"/>
    </row>
    <row r="24" customFormat="false" ht="15" hidden="false" customHeight="false" outlineLevel="0" collapsed="false">
      <c r="A24" s="4"/>
      <c r="B24" s="8"/>
      <c r="C24" s="8"/>
      <c r="D24" s="8"/>
      <c r="E24" s="8"/>
    </row>
    <row r="25" customFormat="false" ht="15" hidden="false" customHeight="false" outlineLevel="0" collapsed="false">
      <c r="A25" s="4"/>
      <c r="B25" s="8"/>
      <c r="C25" s="8"/>
      <c r="D25" s="8"/>
      <c r="E25" s="8"/>
    </row>
    <row r="26" customFormat="false" ht="15" hidden="false" customHeight="false" outlineLevel="0" collapsed="false">
      <c r="A26" s="4"/>
      <c r="B26" s="8"/>
      <c r="C26" s="8"/>
      <c r="D26" s="8"/>
      <c r="E26" s="8"/>
    </row>
    <row r="27" customFormat="false" ht="15" hidden="false" customHeight="false" outlineLevel="0" collapsed="false">
      <c r="A27" s="4"/>
      <c r="B27" s="8"/>
      <c r="C27" s="8"/>
      <c r="D27" s="8"/>
      <c r="E27" s="8"/>
    </row>
    <row r="28" customFormat="false" ht="15" hidden="false" customHeight="false" outlineLevel="0" collapsed="false">
      <c r="A28" s="4"/>
      <c r="B28" s="8"/>
      <c r="C28" s="8"/>
      <c r="D28" s="8"/>
      <c r="E28" s="8"/>
    </row>
    <row r="29" customFormat="false" ht="15" hidden="false" customHeight="false" outlineLevel="0" collapsed="false">
      <c r="A29" s="4"/>
      <c r="B29" s="8"/>
      <c r="C29" s="8"/>
      <c r="D29" s="8"/>
      <c r="E29" s="8"/>
    </row>
    <row r="30" customFormat="false" ht="15" hidden="false" customHeight="false" outlineLevel="0" collapsed="false">
      <c r="A30" s="4"/>
      <c r="B30" s="8"/>
      <c r="C30" s="8"/>
      <c r="D30" s="8"/>
      <c r="E30" s="8"/>
    </row>
    <row r="31" customFormat="false" ht="15" hidden="false" customHeight="false" outlineLevel="0" collapsed="false">
      <c r="A31" s="4"/>
      <c r="B31" s="8"/>
      <c r="C31" s="8"/>
      <c r="D31" s="8"/>
      <c r="E31" s="8"/>
    </row>
    <row r="32" customFormat="false" ht="15" hidden="false" customHeight="false" outlineLevel="0" collapsed="false">
      <c r="A32" s="4"/>
      <c r="B32" s="8"/>
      <c r="C32" s="8"/>
      <c r="D32" s="8"/>
      <c r="E32" s="8"/>
    </row>
    <row r="33" customFormat="false" ht="15" hidden="false" customHeight="false" outlineLevel="0" collapsed="false">
      <c r="A33" s="4"/>
      <c r="B33" s="8"/>
      <c r="C33" s="8"/>
      <c r="D33" s="8"/>
      <c r="E33" s="8"/>
    </row>
    <row r="34" customFormat="false" ht="15" hidden="false" customHeight="false" outlineLevel="0" collapsed="false">
      <c r="A34" s="4"/>
      <c r="B34" s="8"/>
      <c r="C34" s="8"/>
      <c r="D34" s="8"/>
      <c r="E34" s="8"/>
    </row>
    <row r="35" customFormat="false" ht="15" hidden="false" customHeight="false" outlineLevel="0" collapsed="false">
      <c r="A35" s="4"/>
      <c r="B35" s="8"/>
      <c r="C35" s="8"/>
      <c r="D35" s="8"/>
      <c r="E35" s="8"/>
    </row>
    <row r="36" customFormat="false" ht="15" hidden="false" customHeight="false" outlineLevel="0" collapsed="false">
      <c r="A36" s="4"/>
      <c r="B36" s="8"/>
      <c r="C36" s="8"/>
      <c r="D36" s="8"/>
      <c r="E36" s="8"/>
    </row>
    <row r="37" customFormat="false" ht="15" hidden="false" customHeight="false" outlineLevel="0" collapsed="false">
      <c r="A37" s="4"/>
      <c r="B37" s="8"/>
      <c r="C37" s="8"/>
      <c r="D37" s="8"/>
      <c r="E37" s="8"/>
    </row>
    <row r="38" customFormat="false" ht="15" hidden="false" customHeight="false" outlineLevel="0" collapsed="false">
      <c r="A38" s="4"/>
      <c r="B38" s="8"/>
      <c r="C38" s="8"/>
      <c r="D38" s="8"/>
      <c r="E38" s="8"/>
    </row>
    <row r="39" customFormat="false" ht="15" hidden="false" customHeight="false" outlineLevel="0" collapsed="false">
      <c r="A39" s="4"/>
      <c r="B39" s="8"/>
      <c r="C39" s="8"/>
      <c r="D39" s="8"/>
      <c r="E39" s="8"/>
    </row>
    <row r="40" customFormat="false" ht="15" hidden="false" customHeight="false" outlineLevel="0" collapsed="false">
      <c r="A40" s="4"/>
      <c r="B40" s="8"/>
      <c r="C40" s="8"/>
      <c r="D40" s="8"/>
      <c r="E40" s="8"/>
    </row>
    <row r="41" customFormat="false" ht="15" hidden="false" customHeight="false" outlineLevel="0" collapsed="false">
      <c r="A41" s="4"/>
      <c r="B41" s="8"/>
      <c r="C41" s="8"/>
      <c r="D41" s="8"/>
      <c r="E41" s="8"/>
    </row>
    <row r="42" customFormat="false" ht="15" hidden="false" customHeight="false" outlineLevel="0" collapsed="false">
      <c r="A42" s="4"/>
      <c r="B42" s="8"/>
      <c r="C42" s="8"/>
      <c r="D42" s="8"/>
      <c r="E42" s="8"/>
    </row>
    <row r="43" customFormat="false" ht="15" hidden="false" customHeight="false" outlineLevel="0" collapsed="false">
      <c r="A43" s="4"/>
      <c r="B43" s="8"/>
      <c r="C43" s="8"/>
      <c r="D43" s="8"/>
      <c r="E43" s="8"/>
    </row>
    <row r="44" customFormat="false" ht="15" hidden="false" customHeight="false" outlineLevel="0" collapsed="false">
      <c r="A44" s="4"/>
      <c r="B44" s="8"/>
      <c r="C44" s="8"/>
      <c r="D44" s="8"/>
      <c r="E44" s="8"/>
    </row>
    <row r="45" customFormat="false" ht="15" hidden="false" customHeight="false" outlineLevel="0" collapsed="false">
      <c r="A45" s="4"/>
      <c r="B45" s="8"/>
      <c r="C45" s="8"/>
      <c r="D45" s="8"/>
      <c r="E45" s="8"/>
    </row>
    <row r="46" customFormat="false" ht="15" hidden="false" customHeight="false" outlineLevel="0" collapsed="false">
      <c r="A46" s="4"/>
      <c r="B46" s="8"/>
      <c r="C46" s="8"/>
      <c r="D46" s="8"/>
      <c r="E46" s="8"/>
    </row>
    <row r="47" customFormat="false" ht="15" hidden="false" customHeight="false" outlineLevel="0" collapsed="false">
      <c r="A47" s="4"/>
      <c r="B47" s="8"/>
      <c r="C47" s="8"/>
      <c r="D47" s="8"/>
      <c r="E47" s="8"/>
    </row>
    <row r="48" customFormat="false" ht="15" hidden="false" customHeight="false" outlineLevel="0" collapsed="false">
      <c r="A48" s="4"/>
      <c r="B48" s="8"/>
      <c r="C48" s="8"/>
      <c r="D48" s="8"/>
      <c r="E48" s="8"/>
    </row>
    <row r="49" customFormat="false" ht="15" hidden="false" customHeight="false" outlineLevel="0" collapsed="false">
      <c r="A49" s="4"/>
      <c r="B49" s="8"/>
      <c r="C49" s="8"/>
      <c r="D49" s="8"/>
      <c r="E49" s="8"/>
    </row>
    <row r="50" customFormat="false" ht="15" hidden="false" customHeight="false" outlineLevel="0" collapsed="false">
      <c r="A50" s="4"/>
      <c r="B50" s="8"/>
      <c r="C50" s="8"/>
      <c r="D50" s="8"/>
      <c r="E50" s="8"/>
    </row>
    <row r="51" customFormat="false" ht="15" hidden="false" customHeight="false" outlineLevel="0" collapsed="false">
      <c r="A51" s="4"/>
      <c r="B51" s="8"/>
      <c r="C51" s="8"/>
      <c r="D51" s="8"/>
      <c r="E51" s="8"/>
    </row>
    <row r="52" customFormat="false" ht="15" hidden="false" customHeight="false" outlineLevel="0" collapsed="false">
      <c r="A52" s="4"/>
      <c r="B52" s="8"/>
      <c r="C52" s="8"/>
      <c r="D52" s="8"/>
      <c r="E52" s="8"/>
    </row>
    <row r="53" customFormat="false" ht="15" hidden="false" customHeight="false" outlineLevel="0" collapsed="false">
      <c r="A53" s="4"/>
      <c r="B53" s="8"/>
      <c r="C53" s="8"/>
      <c r="D53" s="8"/>
      <c r="E53" s="8"/>
    </row>
    <row r="54" customFormat="false" ht="15" hidden="false" customHeight="false" outlineLevel="0" collapsed="false">
      <c r="A54" s="4"/>
      <c r="B54" s="8"/>
      <c r="C54" s="8"/>
      <c r="D54" s="8"/>
      <c r="E54" s="8"/>
    </row>
    <row r="55" customFormat="false" ht="15" hidden="false" customHeight="false" outlineLevel="0" collapsed="false">
      <c r="A55" s="4"/>
      <c r="B55" s="8"/>
      <c r="C55" s="8"/>
      <c r="D55" s="8"/>
      <c r="E55" s="8"/>
    </row>
    <row r="56" customFormat="false" ht="15" hidden="false" customHeight="false" outlineLevel="0" collapsed="false">
      <c r="A56" s="4"/>
      <c r="B56" s="8"/>
      <c r="C56" s="8"/>
      <c r="D56" s="8"/>
      <c r="E56" s="8"/>
    </row>
    <row r="57" customFormat="false" ht="15" hidden="false" customHeight="false" outlineLevel="0" collapsed="false">
      <c r="A57" s="4"/>
      <c r="B57" s="8"/>
      <c r="C57" s="8"/>
      <c r="D57" s="8"/>
      <c r="E57" s="8"/>
    </row>
    <row r="58" customFormat="false" ht="15" hidden="false" customHeight="false" outlineLevel="0" collapsed="false">
      <c r="A58" s="4"/>
      <c r="B58" s="8"/>
      <c r="C58" s="8"/>
      <c r="D58" s="8"/>
      <c r="E58" s="8"/>
    </row>
    <row r="59" customFormat="false" ht="15" hidden="false" customHeight="false" outlineLevel="0" collapsed="false">
      <c r="A59" s="4"/>
      <c r="B59" s="8"/>
      <c r="C59" s="8"/>
      <c r="D59" s="8"/>
      <c r="E59" s="8"/>
    </row>
    <row r="60" customFormat="false" ht="15" hidden="false" customHeight="false" outlineLevel="0" collapsed="false">
      <c r="A60" s="4"/>
      <c r="B60" s="8"/>
      <c r="C60" s="8"/>
      <c r="D60" s="8"/>
      <c r="E60" s="8"/>
    </row>
    <row r="61" customFormat="false" ht="15" hidden="false" customHeight="false" outlineLevel="0" collapsed="false">
      <c r="A61" s="4"/>
      <c r="B61" s="8"/>
      <c r="C61" s="8"/>
      <c r="D61" s="8"/>
      <c r="E61" s="8"/>
    </row>
    <row r="62" customFormat="false" ht="15" hidden="false" customHeight="false" outlineLevel="0" collapsed="false">
      <c r="A62" s="4"/>
      <c r="B62" s="8"/>
      <c r="C62" s="8"/>
      <c r="D62" s="8"/>
      <c r="E62" s="8"/>
    </row>
    <row r="63" customFormat="false" ht="15" hidden="false" customHeight="false" outlineLevel="0" collapsed="false">
      <c r="A63" s="4"/>
      <c r="B63" s="8"/>
      <c r="C63" s="8"/>
      <c r="D63" s="8"/>
      <c r="E63" s="8"/>
    </row>
    <row r="64" customFormat="false" ht="15" hidden="false" customHeight="false" outlineLevel="0" collapsed="false">
      <c r="A64" s="4"/>
      <c r="B64" s="8"/>
      <c r="C64" s="8"/>
      <c r="D64" s="8"/>
      <c r="E64" s="8"/>
    </row>
    <row r="65" customFormat="false" ht="15" hidden="false" customHeight="false" outlineLevel="0" collapsed="false">
      <c r="A65" s="4"/>
      <c r="B65" s="8"/>
      <c r="C65" s="8"/>
      <c r="D65" s="8"/>
      <c r="E65" s="8"/>
    </row>
    <row r="66" customFormat="false" ht="15" hidden="false" customHeight="false" outlineLevel="0" collapsed="false">
      <c r="A66" s="4"/>
      <c r="B66" s="8"/>
      <c r="C66" s="8"/>
      <c r="D66" s="8"/>
      <c r="E66" s="8"/>
    </row>
    <row r="67" customFormat="false" ht="15" hidden="false" customHeight="false" outlineLevel="0" collapsed="false">
      <c r="A67" s="4"/>
      <c r="B67" s="8"/>
      <c r="C67" s="8"/>
      <c r="D67" s="8"/>
      <c r="E67" s="8"/>
    </row>
    <row r="68" customFormat="false" ht="15" hidden="false" customHeight="false" outlineLevel="0" collapsed="false">
      <c r="A68" s="4"/>
      <c r="B68" s="8"/>
      <c r="C68" s="8"/>
      <c r="D68" s="8"/>
      <c r="E68" s="8"/>
    </row>
    <row r="69" customFormat="false" ht="15" hidden="false" customHeight="false" outlineLevel="0" collapsed="false">
      <c r="A69" s="4"/>
      <c r="B69" s="8"/>
      <c r="C69" s="8"/>
      <c r="D69" s="8"/>
      <c r="E69" s="8"/>
    </row>
    <row r="70" customFormat="false" ht="15" hidden="false" customHeight="false" outlineLevel="0" collapsed="false">
      <c r="A70" s="4"/>
      <c r="B70" s="8"/>
      <c r="C70" s="8"/>
      <c r="D70" s="8"/>
      <c r="E70" s="8"/>
    </row>
    <row r="71" customFormat="false" ht="15" hidden="false" customHeight="false" outlineLevel="0" collapsed="false">
      <c r="A71" s="4"/>
      <c r="B71" s="8"/>
      <c r="C71" s="8"/>
      <c r="D71" s="8"/>
      <c r="E71" s="8"/>
    </row>
    <row r="72" customFormat="false" ht="15" hidden="false" customHeight="false" outlineLevel="0" collapsed="false">
      <c r="A72" s="4"/>
      <c r="B72" s="8"/>
      <c r="C72" s="8"/>
      <c r="D72" s="8"/>
      <c r="E72" s="8"/>
    </row>
    <row r="73" customFormat="false" ht="15" hidden="false" customHeight="false" outlineLevel="0" collapsed="false">
      <c r="A73" s="4"/>
      <c r="B73" s="8"/>
      <c r="C73" s="8"/>
      <c r="D73" s="8"/>
      <c r="E73" s="8"/>
    </row>
    <row r="74" customFormat="false" ht="15" hidden="false" customHeight="false" outlineLevel="0" collapsed="false">
      <c r="A74" s="4"/>
      <c r="B74" s="8"/>
      <c r="C74" s="8"/>
      <c r="D74" s="8"/>
      <c r="E74" s="8"/>
    </row>
    <row r="75" customFormat="false" ht="15" hidden="false" customHeight="false" outlineLevel="0" collapsed="false">
      <c r="A75" s="4"/>
      <c r="B75" s="8"/>
      <c r="C75" s="8"/>
      <c r="D75" s="8"/>
      <c r="E75" s="8"/>
    </row>
    <row r="76" customFormat="false" ht="15" hidden="false" customHeight="false" outlineLevel="0" collapsed="false">
      <c r="A76" s="4"/>
      <c r="B76" s="8"/>
      <c r="C76" s="8"/>
      <c r="D76" s="8"/>
      <c r="E76" s="8"/>
    </row>
    <row r="77" customFormat="false" ht="15" hidden="false" customHeight="false" outlineLevel="0" collapsed="false">
      <c r="A77" s="4"/>
      <c r="B77" s="8"/>
      <c r="C77" s="8"/>
      <c r="D77" s="8"/>
      <c r="E77" s="8"/>
    </row>
    <row r="78" customFormat="false" ht="15" hidden="false" customHeight="false" outlineLevel="0" collapsed="false">
      <c r="A78" s="4"/>
      <c r="B78" s="8"/>
      <c r="C78" s="8"/>
      <c r="D78" s="8"/>
      <c r="E78" s="8"/>
    </row>
    <row r="79" customFormat="false" ht="15" hidden="false" customHeight="false" outlineLevel="0" collapsed="false">
      <c r="A79" s="4"/>
      <c r="B79" s="8"/>
      <c r="C79" s="8"/>
      <c r="D79" s="8"/>
      <c r="E79" s="8"/>
    </row>
    <row r="80" customFormat="false" ht="15" hidden="false" customHeight="false" outlineLevel="0" collapsed="false">
      <c r="A80" s="4"/>
      <c r="B80" s="8"/>
      <c r="C80" s="8"/>
      <c r="D80" s="8"/>
      <c r="E80" s="8"/>
    </row>
    <row r="81" customFormat="false" ht="15" hidden="false" customHeight="false" outlineLevel="0" collapsed="false">
      <c r="A81" s="4"/>
      <c r="B81" s="8"/>
      <c r="C81" s="8"/>
      <c r="D81" s="8"/>
      <c r="E81" s="8"/>
    </row>
    <row r="82" customFormat="false" ht="15" hidden="false" customHeight="false" outlineLevel="0" collapsed="false">
      <c r="A82" s="4"/>
      <c r="B82" s="8"/>
      <c r="C82" s="8"/>
      <c r="D82" s="8"/>
      <c r="E82" s="8"/>
    </row>
    <row r="83" customFormat="false" ht="15" hidden="false" customHeight="false" outlineLevel="0" collapsed="false">
      <c r="A83" s="4"/>
      <c r="B83" s="8"/>
      <c r="C83" s="8"/>
      <c r="D83" s="8"/>
      <c r="E83" s="8"/>
    </row>
    <row r="84" customFormat="false" ht="15" hidden="false" customHeight="false" outlineLevel="0" collapsed="false">
      <c r="A84" s="4"/>
      <c r="B84" s="8"/>
      <c r="C84" s="8"/>
      <c r="D84" s="8"/>
      <c r="E84" s="8"/>
    </row>
    <row r="85" customFormat="false" ht="15" hidden="false" customHeight="false" outlineLevel="0" collapsed="false">
      <c r="A85" s="4"/>
      <c r="B85" s="8"/>
      <c r="C85" s="8"/>
      <c r="D85" s="8"/>
      <c r="E85" s="8"/>
    </row>
    <row r="86" customFormat="false" ht="15" hidden="false" customHeight="false" outlineLevel="0" collapsed="false">
      <c r="A86" s="4"/>
      <c r="B86" s="8"/>
      <c r="C86" s="8"/>
      <c r="D86" s="8"/>
      <c r="E86" s="8"/>
    </row>
    <row r="87" customFormat="false" ht="15" hidden="false" customHeight="false" outlineLevel="0" collapsed="false">
      <c r="A87" s="4"/>
      <c r="B87" s="8"/>
      <c r="C87" s="8"/>
      <c r="D87" s="8"/>
      <c r="E87" s="8"/>
    </row>
    <row r="88" customFormat="false" ht="15" hidden="false" customHeight="false" outlineLevel="0" collapsed="false">
      <c r="A88" s="4"/>
      <c r="B88" s="8"/>
      <c r="C88" s="8"/>
      <c r="D88" s="8"/>
      <c r="E88" s="8"/>
    </row>
    <row r="89" customFormat="false" ht="15" hidden="false" customHeight="false" outlineLevel="0" collapsed="false">
      <c r="A89" s="4"/>
      <c r="B89" s="8"/>
      <c r="C89" s="8"/>
      <c r="D89" s="8"/>
      <c r="E89" s="8"/>
    </row>
    <row r="90" customFormat="false" ht="15" hidden="false" customHeight="false" outlineLevel="0" collapsed="false">
      <c r="A90" s="4"/>
      <c r="B90" s="8"/>
      <c r="C90" s="8"/>
      <c r="D90" s="8"/>
      <c r="E90" s="8"/>
    </row>
    <row r="91" customFormat="false" ht="15" hidden="false" customHeight="false" outlineLevel="0" collapsed="false">
      <c r="A91" s="4"/>
      <c r="B91" s="8"/>
      <c r="C91" s="8"/>
      <c r="D91" s="8"/>
      <c r="E91" s="8"/>
    </row>
    <row r="92" customFormat="false" ht="15" hidden="false" customHeight="false" outlineLevel="0" collapsed="false">
      <c r="A92" s="4"/>
      <c r="B92" s="8"/>
      <c r="C92" s="8"/>
      <c r="D92" s="8"/>
      <c r="E92" s="8"/>
    </row>
    <row r="93" customFormat="false" ht="15" hidden="false" customHeight="false" outlineLevel="0" collapsed="false">
      <c r="A93" s="4"/>
      <c r="B93" s="8"/>
      <c r="C93" s="8"/>
      <c r="D93" s="8"/>
      <c r="E93" s="8"/>
    </row>
    <row r="94" customFormat="false" ht="15" hidden="false" customHeight="false" outlineLevel="0" collapsed="false">
      <c r="A94" s="4"/>
      <c r="B94" s="8"/>
      <c r="C94" s="8"/>
      <c r="D94" s="8"/>
      <c r="E94" s="8"/>
    </row>
    <row r="95" customFormat="false" ht="15" hidden="false" customHeight="false" outlineLevel="0" collapsed="false">
      <c r="A95" s="4"/>
      <c r="B95" s="8"/>
      <c r="C95" s="8"/>
      <c r="D95" s="8"/>
      <c r="E95" s="8"/>
    </row>
    <row r="96" customFormat="false" ht="15" hidden="false" customHeight="false" outlineLevel="0" collapsed="false">
      <c r="A96" s="4"/>
      <c r="B96" s="8"/>
      <c r="C96" s="8"/>
      <c r="D96" s="8"/>
      <c r="E96" s="8"/>
    </row>
    <row r="97" customFormat="false" ht="15" hidden="false" customHeight="false" outlineLevel="0" collapsed="false">
      <c r="A97" s="4"/>
      <c r="B97" s="8"/>
      <c r="C97" s="8"/>
      <c r="D97" s="8"/>
      <c r="E97" s="8"/>
    </row>
    <row r="98" customFormat="false" ht="15" hidden="false" customHeight="false" outlineLevel="0" collapsed="false">
      <c r="A98" s="4"/>
      <c r="B98" s="8"/>
      <c r="C98" s="8"/>
      <c r="D98" s="8"/>
      <c r="E98" s="8"/>
    </row>
    <row r="99" customFormat="false" ht="15" hidden="false" customHeight="false" outlineLevel="0" collapsed="false">
      <c r="A99" s="4"/>
      <c r="B99" s="8"/>
      <c r="C99" s="8"/>
      <c r="D99" s="8"/>
      <c r="E99" s="8"/>
    </row>
    <row r="100" customFormat="false" ht="15" hidden="false" customHeight="false" outlineLevel="0" collapsed="false">
      <c r="A100" s="4"/>
      <c r="B100" s="8"/>
      <c r="C100" s="8"/>
      <c r="D100" s="8"/>
      <c r="E100" s="8"/>
    </row>
    <row r="101" customFormat="false" ht="15" hidden="false" customHeight="false" outlineLevel="0" collapsed="false">
      <c r="A101" s="4"/>
      <c r="B101" s="8"/>
      <c r="C101" s="8"/>
      <c r="D101" s="8"/>
      <c r="E101" s="8"/>
    </row>
    <row r="102" customFormat="false" ht="15" hidden="false" customHeight="false" outlineLevel="0" collapsed="false">
      <c r="A102" s="4"/>
      <c r="B102" s="8"/>
      <c r="C102" s="8"/>
      <c r="D102" s="8"/>
      <c r="E102" s="8"/>
    </row>
    <row r="103" customFormat="false" ht="15" hidden="false" customHeight="false" outlineLevel="0" collapsed="false">
      <c r="A103" s="4"/>
      <c r="B103" s="8"/>
      <c r="C103" s="8"/>
      <c r="D103" s="8"/>
      <c r="E103" s="8"/>
    </row>
    <row r="104" customFormat="false" ht="15" hidden="false" customHeight="false" outlineLevel="0" collapsed="false">
      <c r="A104" s="4"/>
      <c r="B104" s="8"/>
      <c r="C104" s="8"/>
      <c r="D104" s="8"/>
      <c r="E104" s="8"/>
    </row>
    <row r="105" customFormat="false" ht="15" hidden="false" customHeight="false" outlineLevel="0" collapsed="false">
      <c r="A105" s="4"/>
      <c r="B105" s="8"/>
      <c r="C105" s="8"/>
      <c r="D105" s="8"/>
      <c r="E105" s="8"/>
    </row>
    <row r="106" customFormat="false" ht="15" hidden="false" customHeight="false" outlineLevel="0" collapsed="false">
      <c r="A106" s="4"/>
      <c r="B106" s="8"/>
      <c r="C106" s="8"/>
      <c r="D106" s="8"/>
      <c r="E106" s="8"/>
    </row>
    <row r="107" customFormat="false" ht="15" hidden="false" customHeight="false" outlineLevel="0" collapsed="false">
      <c r="A107" s="4"/>
      <c r="B107" s="8"/>
      <c r="C107" s="8"/>
      <c r="D107" s="8"/>
      <c r="E107" s="8"/>
    </row>
    <row r="108" customFormat="false" ht="15" hidden="false" customHeight="false" outlineLevel="0" collapsed="false">
      <c r="A108" s="4"/>
      <c r="B108" s="8"/>
      <c r="C108" s="8"/>
      <c r="D108" s="8"/>
      <c r="E108" s="8"/>
    </row>
    <row r="109" customFormat="false" ht="15" hidden="false" customHeight="false" outlineLevel="0" collapsed="false">
      <c r="A109" s="4"/>
      <c r="B109" s="8"/>
      <c r="C109" s="8"/>
      <c r="D109" s="8"/>
      <c r="E109" s="8"/>
    </row>
    <row r="110" customFormat="false" ht="15" hidden="false" customHeight="false" outlineLevel="0" collapsed="false">
      <c r="A110" s="4"/>
      <c r="B110" s="8"/>
      <c r="C110" s="8"/>
      <c r="D110" s="8"/>
      <c r="E110" s="8"/>
    </row>
    <row r="111" customFormat="false" ht="15" hidden="false" customHeight="false" outlineLevel="0" collapsed="false">
      <c r="A111" s="4"/>
      <c r="B111" s="8"/>
      <c r="C111" s="8"/>
      <c r="D111" s="8"/>
      <c r="E111" s="8"/>
    </row>
    <row r="112" customFormat="false" ht="15" hidden="false" customHeight="false" outlineLevel="0" collapsed="false">
      <c r="A112" s="4"/>
      <c r="B112" s="8"/>
      <c r="C112" s="8"/>
      <c r="D112" s="8"/>
      <c r="E112" s="8"/>
    </row>
    <row r="113" customFormat="false" ht="15" hidden="false" customHeight="false" outlineLevel="0" collapsed="false">
      <c r="A113" s="4"/>
      <c r="B113" s="8"/>
      <c r="C113" s="8"/>
      <c r="D113" s="8"/>
      <c r="E113" s="8"/>
    </row>
    <row r="114" customFormat="false" ht="15" hidden="false" customHeight="false" outlineLevel="0" collapsed="false">
      <c r="A114" s="4"/>
      <c r="B114" s="8"/>
      <c r="C114" s="8"/>
      <c r="D114" s="8"/>
      <c r="E114" s="8"/>
    </row>
    <row r="115" customFormat="false" ht="15" hidden="false" customHeight="false" outlineLevel="0" collapsed="false">
      <c r="A115" s="4"/>
      <c r="B115" s="8"/>
      <c r="C115" s="8"/>
      <c r="D115" s="8"/>
      <c r="E115" s="8"/>
    </row>
    <row r="116" customFormat="false" ht="15" hidden="false" customHeight="false" outlineLevel="0" collapsed="false">
      <c r="A116" s="4"/>
      <c r="B116" s="8"/>
      <c r="C116" s="8"/>
      <c r="D116" s="8"/>
      <c r="E116" s="8"/>
    </row>
    <row r="117" customFormat="false" ht="15" hidden="false" customHeight="false" outlineLevel="0" collapsed="false">
      <c r="A117" s="4"/>
      <c r="B117" s="8"/>
      <c r="C117" s="8"/>
      <c r="D117" s="8"/>
      <c r="E117" s="8"/>
    </row>
    <row r="118" customFormat="false" ht="15" hidden="false" customHeight="false" outlineLevel="0" collapsed="false">
      <c r="A118" s="4"/>
      <c r="B118" s="8"/>
      <c r="C118" s="8"/>
      <c r="D118" s="8"/>
      <c r="E118" s="8"/>
    </row>
    <row r="119" customFormat="false" ht="15" hidden="false" customHeight="false" outlineLevel="0" collapsed="false">
      <c r="A119" s="4"/>
      <c r="B119" s="8"/>
      <c r="C119" s="8"/>
      <c r="D119" s="8"/>
      <c r="E119" s="8"/>
    </row>
    <row r="120" customFormat="false" ht="15" hidden="false" customHeight="false" outlineLevel="0" collapsed="false">
      <c r="A120" s="4"/>
      <c r="B120" s="8"/>
      <c r="C120" s="8"/>
      <c r="D120" s="8"/>
      <c r="E120" s="8"/>
    </row>
    <row r="121" customFormat="false" ht="15" hidden="false" customHeight="false" outlineLevel="0" collapsed="false">
      <c r="A121" s="4"/>
      <c r="B121" s="8"/>
      <c r="C121" s="8"/>
      <c r="D121" s="8"/>
      <c r="E121" s="8"/>
    </row>
    <row r="122" customFormat="false" ht="15" hidden="false" customHeight="false" outlineLevel="0" collapsed="false">
      <c r="A122" s="4"/>
      <c r="B122" s="8"/>
      <c r="C122" s="8"/>
      <c r="D122" s="8"/>
      <c r="E122" s="8"/>
    </row>
    <row r="123" customFormat="false" ht="15" hidden="false" customHeight="false" outlineLevel="0" collapsed="false">
      <c r="A123" s="4"/>
      <c r="B123" s="8"/>
      <c r="C123" s="8"/>
      <c r="D123" s="8"/>
      <c r="E123" s="8"/>
    </row>
    <row r="124" customFormat="false" ht="15" hidden="false" customHeight="false" outlineLevel="0" collapsed="false">
      <c r="A124" s="4"/>
      <c r="B124" s="8"/>
      <c r="C124" s="8"/>
      <c r="D124" s="8"/>
      <c r="E124" s="8"/>
    </row>
    <row r="125" customFormat="false" ht="15" hidden="false" customHeight="false" outlineLevel="0" collapsed="false">
      <c r="A125" s="4"/>
      <c r="B125" s="8"/>
      <c r="C125" s="8"/>
      <c r="D125" s="8"/>
      <c r="E125" s="8"/>
    </row>
    <row r="126" customFormat="false" ht="15" hidden="false" customHeight="false" outlineLevel="0" collapsed="false">
      <c r="A126" s="4"/>
      <c r="B126" s="8"/>
      <c r="C126" s="8"/>
      <c r="D126" s="8"/>
      <c r="E126" s="8"/>
    </row>
    <row r="127" customFormat="false" ht="15" hidden="false" customHeight="false" outlineLevel="0" collapsed="false">
      <c r="A127" s="4"/>
      <c r="B127" s="8"/>
      <c r="C127" s="8"/>
      <c r="D127" s="8"/>
      <c r="E127" s="8"/>
    </row>
    <row r="128" customFormat="false" ht="15" hidden="false" customHeight="false" outlineLevel="0" collapsed="false">
      <c r="A128" s="4"/>
      <c r="B128" s="8"/>
      <c r="C128" s="8"/>
      <c r="D128" s="8"/>
      <c r="E128" s="8"/>
    </row>
    <row r="129" customFormat="false" ht="15" hidden="false" customHeight="false" outlineLevel="0" collapsed="false">
      <c r="A129" s="4"/>
      <c r="B129" s="8"/>
      <c r="C129" s="8"/>
      <c r="D129" s="8"/>
      <c r="E129" s="8"/>
    </row>
    <row r="130" customFormat="false" ht="15" hidden="false" customHeight="false" outlineLevel="0" collapsed="false">
      <c r="A130" s="4"/>
      <c r="B130" s="8"/>
      <c r="C130" s="8"/>
      <c r="D130" s="8"/>
      <c r="E130" s="8"/>
    </row>
    <row r="131" customFormat="false" ht="15" hidden="false" customHeight="false" outlineLevel="0" collapsed="false">
      <c r="A131" s="4"/>
      <c r="B131" s="8"/>
      <c r="C131" s="8"/>
      <c r="D131" s="8"/>
      <c r="E131" s="8"/>
    </row>
    <row r="132" customFormat="false" ht="15" hidden="false" customHeight="false" outlineLevel="0" collapsed="false">
      <c r="A132" s="4"/>
      <c r="B132" s="8"/>
      <c r="C132" s="8"/>
      <c r="D132" s="8"/>
      <c r="E132" s="8"/>
    </row>
    <row r="133" customFormat="false" ht="15" hidden="false" customHeight="false" outlineLevel="0" collapsed="false">
      <c r="A133" s="4"/>
      <c r="B133" s="8"/>
      <c r="C133" s="8"/>
      <c r="D133" s="8"/>
      <c r="E133" s="8"/>
    </row>
    <row r="134" customFormat="false" ht="15" hidden="false" customHeight="false" outlineLevel="0" collapsed="false">
      <c r="A134" s="4"/>
      <c r="B134" s="8"/>
      <c r="C134" s="8"/>
      <c r="D134" s="8"/>
      <c r="E134" s="8"/>
    </row>
    <row r="135" customFormat="false" ht="15" hidden="false" customHeight="false" outlineLevel="0" collapsed="false">
      <c r="A135" s="4"/>
      <c r="B135" s="8"/>
      <c r="C135" s="8"/>
      <c r="D135" s="8"/>
      <c r="E135" s="8"/>
    </row>
    <row r="136" customFormat="false" ht="15" hidden="false" customHeight="false" outlineLevel="0" collapsed="false">
      <c r="A136" s="4"/>
      <c r="B136" s="8"/>
      <c r="C136" s="8"/>
      <c r="D136" s="8"/>
      <c r="E136" s="8"/>
    </row>
    <row r="137" customFormat="false" ht="15" hidden="false" customHeight="false" outlineLevel="0" collapsed="false">
      <c r="A137" s="4"/>
      <c r="B137" s="8"/>
      <c r="C137" s="8"/>
      <c r="D137" s="8"/>
      <c r="E137" s="8"/>
    </row>
    <row r="138" customFormat="false" ht="15" hidden="false" customHeight="false" outlineLevel="0" collapsed="false">
      <c r="A138" s="4"/>
      <c r="B138" s="8"/>
      <c r="C138" s="8"/>
      <c r="D138" s="8"/>
      <c r="E138" s="8"/>
    </row>
    <row r="139" customFormat="false" ht="15" hidden="false" customHeight="false" outlineLevel="0" collapsed="false">
      <c r="A139" s="4"/>
      <c r="B139" s="8"/>
      <c r="C139" s="8"/>
      <c r="D139" s="8"/>
      <c r="E139" s="8"/>
    </row>
    <row r="140" customFormat="false" ht="15" hidden="false" customHeight="false" outlineLevel="0" collapsed="false">
      <c r="A140" s="4"/>
      <c r="B140" s="8"/>
      <c r="C140" s="8"/>
      <c r="D140" s="8"/>
      <c r="E140" s="8"/>
    </row>
    <row r="141" customFormat="false" ht="15" hidden="false" customHeight="false" outlineLevel="0" collapsed="false">
      <c r="A141" s="4"/>
      <c r="B141" s="8"/>
      <c r="C141" s="8"/>
      <c r="D141" s="8"/>
      <c r="E141" s="8"/>
    </row>
    <row r="142" customFormat="false" ht="15" hidden="false" customHeight="false" outlineLevel="0" collapsed="false">
      <c r="A142" s="4"/>
      <c r="B142" s="8"/>
      <c r="C142" s="8"/>
      <c r="D142" s="8"/>
      <c r="E142" s="8"/>
    </row>
    <row r="143" customFormat="false" ht="15" hidden="false" customHeight="false" outlineLevel="0" collapsed="false">
      <c r="A143" s="4"/>
      <c r="B143" s="8"/>
      <c r="C143" s="8"/>
      <c r="D143" s="8"/>
      <c r="E143" s="8"/>
    </row>
    <row r="144" customFormat="false" ht="15" hidden="false" customHeight="false" outlineLevel="0" collapsed="false">
      <c r="A144" s="4"/>
      <c r="B144" s="8"/>
      <c r="C144" s="8"/>
      <c r="D144" s="8"/>
      <c r="E144" s="8"/>
    </row>
    <row r="145" customFormat="false" ht="15" hidden="false" customHeight="false" outlineLevel="0" collapsed="false">
      <c r="A145" s="4"/>
      <c r="B145" s="8"/>
      <c r="C145" s="8"/>
      <c r="D145" s="8"/>
      <c r="E145" s="8"/>
    </row>
    <row r="146" customFormat="false" ht="15" hidden="false" customHeight="false" outlineLevel="0" collapsed="false">
      <c r="A146" s="4"/>
      <c r="B146" s="8"/>
      <c r="C146" s="8"/>
      <c r="D146" s="8"/>
      <c r="E146" s="8"/>
    </row>
    <row r="147" customFormat="false" ht="15" hidden="false" customHeight="false" outlineLevel="0" collapsed="false">
      <c r="A147" s="4"/>
      <c r="B147" s="8"/>
      <c r="C147" s="8"/>
      <c r="D147" s="8"/>
      <c r="E147" s="8"/>
    </row>
    <row r="148" customFormat="false" ht="15" hidden="false" customHeight="false" outlineLevel="0" collapsed="false">
      <c r="A148" s="4"/>
      <c r="B148" s="8"/>
      <c r="C148" s="8"/>
      <c r="D148" s="8"/>
      <c r="E148" s="8"/>
    </row>
    <row r="149" customFormat="false" ht="15" hidden="false" customHeight="false" outlineLevel="0" collapsed="false">
      <c r="A149" s="4"/>
      <c r="B149" s="8"/>
      <c r="C149" s="8"/>
      <c r="D149" s="8"/>
      <c r="E149" s="8"/>
    </row>
    <row r="150" customFormat="false" ht="15" hidden="false" customHeight="false" outlineLevel="0" collapsed="false">
      <c r="A150" s="4"/>
      <c r="B150" s="8"/>
      <c r="C150" s="8"/>
      <c r="D150" s="8"/>
      <c r="E150" s="8"/>
    </row>
    <row r="151" customFormat="false" ht="15" hidden="false" customHeight="false" outlineLevel="0" collapsed="false">
      <c r="A151" s="4"/>
      <c r="B151" s="8"/>
      <c r="C151" s="8"/>
      <c r="D151" s="8"/>
      <c r="E151" s="8"/>
    </row>
    <row r="152" customFormat="false" ht="15" hidden="false" customHeight="false" outlineLevel="0" collapsed="false">
      <c r="A152" s="4"/>
      <c r="B152" s="8"/>
      <c r="C152" s="8"/>
      <c r="D152" s="8"/>
      <c r="E152" s="8"/>
    </row>
    <row r="153" customFormat="false" ht="15" hidden="false" customHeight="false" outlineLevel="0" collapsed="false">
      <c r="A153" s="4"/>
      <c r="B153" s="8"/>
      <c r="C153" s="8"/>
      <c r="D153" s="8"/>
      <c r="E153" s="8"/>
    </row>
    <row r="154" customFormat="false" ht="15" hidden="false" customHeight="false" outlineLevel="0" collapsed="false">
      <c r="A154" s="4"/>
      <c r="B154" s="8"/>
      <c r="C154" s="8"/>
      <c r="D154" s="8"/>
      <c r="E154" s="8"/>
    </row>
    <row r="155" customFormat="false" ht="15" hidden="false" customHeight="false" outlineLevel="0" collapsed="false">
      <c r="A155" s="4"/>
      <c r="B155" s="8"/>
      <c r="C155" s="8"/>
      <c r="D155" s="8"/>
      <c r="E155" s="8"/>
    </row>
    <row r="156" customFormat="false" ht="15" hidden="false" customHeight="false" outlineLevel="0" collapsed="false">
      <c r="A156" s="4"/>
      <c r="B156" s="8"/>
      <c r="C156" s="8"/>
      <c r="D156" s="8"/>
      <c r="E156" s="8"/>
    </row>
    <row r="157" customFormat="false" ht="15" hidden="false" customHeight="false" outlineLevel="0" collapsed="false">
      <c r="A157" s="4"/>
      <c r="B157" s="8"/>
      <c r="C157" s="8"/>
      <c r="D157" s="8"/>
      <c r="E157" s="8"/>
    </row>
    <row r="158" customFormat="false" ht="15" hidden="false" customHeight="false" outlineLevel="0" collapsed="false">
      <c r="A158" s="4"/>
      <c r="B158" s="8"/>
      <c r="C158" s="8"/>
      <c r="D158" s="8"/>
      <c r="E158" s="8"/>
    </row>
    <row r="159" customFormat="false" ht="15" hidden="false" customHeight="false" outlineLevel="0" collapsed="false">
      <c r="A159" s="4"/>
      <c r="B159" s="8"/>
      <c r="C159" s="8"/>
      <c r="D159" s="8"/>
      <c r="E159" s="8"/>
    </row>
    <row r="160" customFormat="false" ht="15" hidden="false" customHeight="false" outlineLevel="0" collapsed="false">
      <c r="A160" s="4"/>
      <c r="B160" s="8"/>
      <c r="C160" s="8"/>
      <c r="D160" s="8"/>
      <c r="E160" s="8"/>
    </row>
    <row r="161" customFormat="false" ht="15" hidden="false" customHeight="false" outlineLevel="0" collapsed="false">
      <c r="A161" s="4"/>
      <c r="B161" s="8"/>
      <c r="C161" s="8"/>
      <c r="D161" s="8"/>
      <c r="E161" s="8"/>
    </row>
    <row r="162" customFormat="false" ht="15" hidden="false" customHeight="false" outlineLevel="0" collapsed="false">
      <c r="A162" s="4"/>
      <c r="B162" s="8"/>
      <c r="C162" s="8"/>
      <c r="D162" s="8"/>
      <c r="E162" s="8"/>
    </row>
    <row r="163" customFormat="false" ht="15" hidden="false" customHeight="false" outlineLevel="0" collapsed="false">
      <c r="A163" s="4"/>
      <c r="B163" s="8"/>
      <c r="C163" s="8"/>
      <c r="D163" s="8"/>
      <c r="E163" s="8"/>
    </row>
    <row r="164" customFormat="false" ht="15" hidden="false" customHeight="false" outlineLevel="0" collapsed="false">
      <c r="A164" s="4"/>
      <c r="B164" s="8"/>
      <c r="C164" s="8"/>
      <c r="D164" s="8"/>
      <c r="E164" s="8"/>
    </row>
    <row r="165" customFormat="false" ht="15" hidden="false" customHeight="false" outlineLevel="0" collapsed="false">
      <c r="A165" s="4"/>
      <c r="B165" s="8"/>
      <c r="C165" s="8"/>
      <c r="D165" s="8"/>
      <c r="E165" s="8"/>
    </row>
    <row r="166" customFormat="false" ht="15" hidden="false" customHeight="false" outlineLevel="0" collapsed="false">
      <c r="A166" s="4"/>
      <c r="B166" s="8"/>
      <c r="C166" s="8"/>
      <c r="D166" s="8"/>
      <c r="E166" s="8"/>
    </row>
    <row r="167" customFormat="false" ht="15" hidden="false" customHeight="false" outlineLevel="0" collapsed="false">
      <c r="A167" s="4"/>
      <c r="B167" s="8"/>
      <c r="C167" s="8"/>
      <c r="D167" s="8"/>
      <c r="E167" s="8"/>
    </row>
    <row r="168" customFormat="false" ht="15" hidden="false" customHeight="false" outlineLevel="0" collapsed="false">
      <c r="A168" s="4"/>
      <c r="B168" s="8"/>
      <c r="C168" s="8"/>
      <c r="D168" s="8"/>
      <c r="E168" s="8"/>
    </row>
    <row r="169" customFormat="false" ht="15" hidden="false" customHeight="false" outlineLevel="0" collapsed="false">
      <c r="A169" s="4"/>
      <c r="B169" s="8"/>
      <c r="C169" s="8"/>
      <c r="D169" s="8"/>
      <c r="E169" s="8"/>
    </row>
    <row r="170" customFormat="false" ht="15" hidden="false" customHeight="false" outlineLevel="0" collapsed="false">
      <c r="A170" s="4"/>
      <c r="B170" s="8"/>
      <c r="C170" s="8"/>
      <c r="D170" s="8"/>
      <c r="E170" s="8"/>
    </row>
    <row r="171" customFormat="false" ht="15" hidden="false" customHeight="false" outlineLevel="0" collapsed="false">
      <c r="A171" s="4"/>
      <c r="B171" s="8"/>
      <c r="C171" s="8"/>
      <c r="D171" s="8"/>
      <c r="E171" s="8"/>
    </row>
    <row r="172" customFormat="false" ht="15" hidden="false" customHeight="false" outlineLevel="0" collapsed="false">
      <c r="A172" s="4"/>
      <c r="B172" s="8"/>
      <c r="C172" s="8"/>
      <c r="D172" s="8"/>
      <c r="E172" s="8"/>
    </row>
    <row r="173" customFormat="false" ht="15" hidden="false" customHeight="false" outlineLevel="0" collapsed="false">
      <c r="A173" s="4"/>
      <c r="B173" s="8"/>
      <c r="C173" s="8"/>
      <c r="D173" s="8"/>
      <c r="E173" s="8"/>
    </row>
    <row r="174" customFormat="false" ht="15" hidden="false" customHeight="false" outlineLevel="0" collapsed="false">
      <c r="A174" s="4"/>
      <c r="B174" s="8"/>
      <c r="C174" s="8"/>
      <c r="D174" s="8"/>
      <c r="E174" s="8"/>
    </row>
    <row r="175" customFormat="false" ht="15" hidden="false" customHeight="false" outlineLevel="0" collapsed="false">
      <c r="A175" s="4"/>
      <c r="B175" s="8"/>
      <c r="C175" s="8"/>
      <c r="D175" s="8"/>
      <c r="E175" s="8"/>
    </row>
    <row r="176" customFormat="false" ht="15" hidden="false" customHeight="false" outlineLevel="0" collapsed="false">
      <c r="A176" s="4"/>
      <c r="B176" s="8"/>
      <c r="C176" s="8"/>
      <c r="D176" s="8"/>
      <c r="E176" s="8"/>
    </row>
    <row r="177" customFormat="false" ht="15" hidden="false" customHeight="false" outlineLevel="0" collapsed="false">
      <c r="A177" s="4"/>
      <c r="B177" s="8"/>
      <c r="C177" s="8"/>
      <c r="D177" s="8"/>
      <c r="E177" s="8"/>
    </row>
    <row r="178" customFormat="false" ht="15" hidden="false" customHeight="false" outlineLevel="0" collapsed="false">
      <c r="A178" s="4"/>
      <c r="B178" s="8"/>
      <c r="C178" s="8"/>
      <c r="D178" s="8"/>
      <c r="E178" s="8"/>
    </row>
    <row r="179" customFormat="false" ht="15" hidden="false" customHeight="false" outlineLevel="0" collapsed="false">
      <c r="A179" s="4"/>
      <c r="B179" s="8"/>
      <c r="C179" s="8"/>
      <c r="D179" s="8"/>
      <c r="E179" s="8"/>
    </row>
    <row r="180" customFormat="false" ht="15" hidden="false" customHeight="false" outlineLevel="0" collapsed="false">
      <c r="A180" s="4"/>
      <c r="B180" s="8"/>
      <c r="C180" s="8"/>
      <c r="D180" s="8"/>
      <c r="E180" s="8"/>
    </row>
    <row r="181" customFormat="false" ht="15" hidden="false" customHeight="false" outlineLevel="0" collapsed="false">
      <c r="A181" s="4"/>
      <c r="B181" s="8"/>
      <c r="C181" s="8"/>
      <c r="D181" s="8"/>
      <c r="E181" s="8"/>
    </row>
    <row r="182" customFormat="false" ht="15" hidden="false" customHeight="false" outlineLevel="0" collapsed="false">
      <c r="A182" s="4"/>
      <c r="B182" s="8"/>
      <c r="C182" s="8"/>
      <c r="D182" s="8"/>
      <c r="E182" s="8"/>
    </row>
    <row r="183" customFormat="false" ht="15" hidden="false" customHeight="false" outlineLevel="0" collapsed="false">
      <c r="A183" s="4"/>
      <c r="B183" s="8"/>
      <c r="C183" s="8"/>
      <c r="D183" s="8"/>
      <c r="E183" s="8"/>
    </row>
    <row r="184" customFormat="false" ht="15" hidden="false" customHeight="false" outlineLevel="0" collapsed="false">
      <c r="A184" s="4"/>
      <c r="B184" s="8"/>
      <c r="C184" s="8"/>
      <c r="D184" s="8"/>
      <c r="E184" s="8"/>
    </row>
    <row r="185" customFormat="false" ht="15" hidden="false" customHeight="false" outlineLevel="0" collapsed="false">
      <c r="A185" s="4"/>
      <c r="B185" s="8"/>
      <c r="C185" s="8"/>
      <c r="D185" s="8"/>
      <c r="E185" s="8"/>
    </row>
    <row r="186" customFormat="false" ht="15" hidden="false" customHeight="false" outlineLevel="0" collapsed="false">
      <c r="A186" s="4"/>
      <c r="B186" s="8"/>
      <c r="C186" s="8"/>
      <c r="D186" s="8"/>
      <c r="E186" s="8"/>
    </row>
    <row r="187" customFormat="false" ht="15" hidden="false" customHeight="false" outlineLevel="0" collapsed="false">
      <c r="A187" s="4"/>
      <c r="B187" s="8"/>
      <c r="C187" s="8"/>
      <c r="D187" s="8"/>
      <c r="E187" s="8"/>
    </row>
    <row r="188" customFormat="false" ht="15" hidden="false" customHeight="false" outlineLevel="0" collapsed="false">
      <c r="A188" s="4"/>
      <c r="B188" s="8"/>
      <c r="C188" s="8"/>
      <c r="D188" s="8"/>
      <c r="E188" s="8"/>
    </row>
    <row r="189" customFormat="false" ht="15" hidden="false" customHeight="false" outlineLevel="0" collapsed="false">
      <c r="A189" s="4"/>
      <c r="B189" s="8"/>
      <c r="C189" s="8"/>
      <c r="D189" s="8"/>
      <c r="E189" s="8"/>
    </row>
    <row r="190" customFormat="false" ht="15" hidden="false" customHeight="false" outlineLevel="0" collapsed="false">
      <c r="A190" s="4"/>
      <c r="B190" s="8"/>
      <c r="C190" s="8"/>
      <c r="D190" s="8"/>
      <c r="E190" s="8"/>
    </row>
    <row r="191" customFormat="false" ht="15" hidden="false" customHeight="false" outlineLevel="0" collapsed="false">
      <c r="A191" s="4"/>
      <c r="B191" s="8"/>
      <c r="C191" s="8"/>
      <c r="D191" s="8"/>
      <c r="E191" s="8"/>
    </row>
    <row r="192" customFormat="false" ht="15" hidden="false" customHeight="false" outlineLevel="0" collapsed="false">
      <c r="A192" s="4"/>
      <c r="B192" s="8"/>
      <c r="C192" s="8"/>
      <c r="D192" s="8"/>
      <c r="E192" s="8"/>
    </row>
    <row r="193" customFormat="false" ht="15" hidden="false" customHeight="false" outlineLevel="0" collapsed="false">
      <c r="A193" s="4"/>
      <c r="B193" s="8"/>
      <c r="C193" s="8"/>
      <c r="D193" s="8"/>
      <c r="E193" s="8"/>
    </row>
    <row r="194" customFormat="false" ht="15" hidden="false" customHeight="false" outlineLevel="0" collapsed="false">
      <c r="A194" s="4"/>
      <c r="B194" s="8"/>
      <c r="C194" s="8"/>
      <c r="D194" s="8"/>
      <c r="E194" s="8"/>
    </row>
    <row r="195" customFormat="false" ht="15" hidden="false" customHeight="false" outlineLevel="0" collapsed="false">
      <c r="A195" s="4"/>
      <c r="B195" s="8"/>
      <c r="C195" s="8"/>
      <c r="D195" s="8"/>
      <c r="E195" s="8"/>
    </row>
    <row r="196" customFormat="false" ht="15" hidden="false" customHeight="false" outlineLevel="0" collapsed="false">
      <c r="A196" s="4"/>
      <c r="B196" s="8"/>
      <c r="C196" s="8"/>
      <c r="D196" s="8"/>
      <c r="E196" s="8"/>
    </row>
    <row r="197" customFormat="false" ht="15" hidden="false" customHeight="false" outlineLevel="0" collapsed="false">
      <c r="A197" s="4"/>
      <c r="B197" s="8"/>
      <c r="C197" s="8"/>
      <c r="D197" s="8"/>
      <c r="E197" s="8"/>
    </row>
    <row r="198" customFormat="false" ht="15" hidden="false" customHeight="false" outlineLevel="0" collapsed="false">
      <c r="A198" s="4"/>
      <c r="B198" s="8"/>
      <c r="C198" s="8"/>
      <c r="D198" s="8"/>
      <c r="E198" s="8"/>
    </row>
    <row r="199" customFormat="false" ht="15" hidden="false" customHeight="false" outlineLevel="0" collapsed="false">
      <c r="A199" s="4"/>
      <c r="B199" s="8"/>
      <c r="C199" s="8"/>
      <c r="D199" s="8"/>
      <c r="E199" s="8"/>
    </row>
    <row r="200" customFormat="false" ht="15" hidden="false" customHeight="false" outlineLevel="0" collapsed="false">
      <c r="A200" s="4"/>
      <c r="B200" s="8"/>
      <c r="C200" s="8"/>
      <c r="D200" s="8"/>
      <c r="E200" s="8"/>
    </row>
  </sheetData>
  <autoFilter ref="A1:E200"/>
  <dataValidations count="1">
    <dataValidation allowBlank="true" error="Choose a value from the Status list (Lists sheet), or leave blank." errorStyle="stop" errorTitle="Not on the list" operator="between" showDropDown="false" showErrorMessage="true" showInputMessage="false" sqref="D2:D200" type="list">
      <formula1>Lists!$E$2:$E$6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2026-09-26T10:38:56Z</dcterms:created>
  <dc:creator>openpyxl</dc:creator>
  <dc:description/>
  <dc:language>en-US</dc:language>
  <cp:lastModifiedBy/>
  <dcterms:modified xsi:type="dcterms:W3CDTF">2026-09-26T10:38:59Z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